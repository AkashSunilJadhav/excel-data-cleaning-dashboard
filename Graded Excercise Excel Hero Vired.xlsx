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komal\Downloads\"/>
    </mc:Choice>
  </mc:AlternateContent>
  <xr:revisionPtr revIDLastSave="0" documentId="13_ncr:1_{87B60E7B-497E-40CC-B985-751D6597CD55}" xr6:coauthVersionLast="47" xr6:coauthVersionMax="47" xr10:uidLastSave="{00000000-0000-0000-0000-000000000000}"/>
  <bookViews>
    <workbookView xWindow="-108" yWindow="-108" windowWidth="23256" windowHeight="12456" activeTab="1" xr2:uid="{CCB1FD13-BB3E-4806-852E-65334AAE45DE}"/>
  </bookViews>
  <sheets>
    <sheet name="streaming_service_data - " sheetId="1" r:id="rId1"/>
    <sheet name="Data Anomalies -Pls Read It" sheetId="4" r:id="rId2"/>
    <sheet name="Cleaned Data" sheetId="2" r:id="rId3"/>
    <sheet name="Pivot Table" sheetId="3" r:id="rId4"/>
    <sheet name="Dashboard" sheetId="5" r:id="rId5"/>
  </sheets>
  <definedNames>
    <definedName name="_xlnm._FilterDatabase" localSheetId="2" hidden="1">'Cleaned Data'!$A$1:$AC$1001</definedName>
    <definedName name="_xlnm._FilterDatabase" localSheetId="1" hidden="1">'Data Anomalies -Pls Read It'!$A$11:$B$20</definedName>
    <definedName name="_xlnm._FilterDatabase" localSheetId="0" hidden="1">'streaming_service_data - '!$A$1:$W$1001</definedName>
    <definedName name="NativeTimeline_Join_Date">#N/A</definedName>
    <definedName name="Slicer_Age_Group">#N/A</definedName>
    <definedName name="Slicer_Country">#N/A</definedName>
    <definedName name="Slicer_Favorite_Genre">#N/A</definedName>
    <definedName name="Slicer_Price_Tie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8" i="5" l="1"/>
  <c r="B89" i="5"/>
  <c r="C89" i="5"/>
  <c r="D89" i="5"/>
  <c r="E89" i="5"/>
  <c r="F89" i="5"/>
  <c r="G89" i="5"/>
  <c r="H89" i="5"/>
  <c r="I89" i="5"/>
  <c r="B90" i="5"/>
  <c r="C90" i="5"/>
  <c r="D90" i="5"/>
  <c r="E90" i="5"/>
  <c r="F90" i="5"/>
  <c r="G90" i="5"/>
  <c r="H90" i="5"/>
  <c r="I90" i="5"/>
  <c r="B91" i="5"/>
  <c r="C91" i="5"/>
  <c r="D91" i="5"/>
  <c r="E91" i="5"/>
  <c r="F91" i="5"/>
  <c r="G91" i="5"/>
  <c r="H91" i="5"/>
  <c r="I91" i="5"/>
  <c r="B92" i="5"/>
  <c r="C92" i="5"/>
  <c r="D92" i="5"/>
  <c r="E92" i="5"/>
  <c r="F92" i="5"/>
  <c r="G92" i="5"/>
  <c r="H92" i="5"/>
  <c r="I92" i="5"/>
  <c r="B93" i="5"/>
  <c r="C93" i="5"/>
  <c r="D93" i="5"/>
  <c r="E93" i="5"/>
  <c r="F93" i="5"/>
  <c r="G93" i="5"/>
  <c r="H93" i="5"/>
  <c r="I93" i="5"/>
  <c r="H88" i="5"/>
  <c r="H94" i="5" s="1"/>
  <c r="I88" i="5"/>
  <c r="I94" i="5" s="1"/>
  <c r="C88" i="5"/>
  <c r="C94" i="5" s="1"/>
  <c r="D88" i="5"/>
  <c r="D94" i="5" s="1"/>
  <c r="E88" i="5"/>
  <c r="E94" i="5" s="1"/>
  <c r="F88" i="5"/>
  <c r="F94" i="5" s="1"/>
  <c r="G88" i="5"/>
  <c r="G94" i="5" s="1"/>
  <c r="AB1001" i="2"/>
  <c r="AB1000" i="2"/>
  <c r="AB999" i="2"/>
  <c r="AB998" i="2"/>
  <c r="AB997" i="2"/>
  <c r="AB996" i="2"/>
  <c r="AB995" i="2"/>
  <c r="AB994" i="2"/>
  <c r="AB993" i="2"/>
  <c r="AB992" i="2"/>
  <c r="AB991" i="2"/>
  <c r="AB990" i="2"/>
  <c r="AB989" i="2"/>
  <c r="AB988" i="2"/>
  <c r="AB987" i="2"/>
  <c r="AB986" i="2"/>
  <c r="AB985" i="2"/>
  <c r="AB984" i="2"/>
  <c r="AB983" i="2"/>
  <c r="AB982" i="2"/>
  <c r="AB981" i="2"/>
  <c r="AB980" i="2"/>
  <c r="AB979" i="2"/>
  <c r="AB978" i="2"/>
  <c r="AB977" i="2"/>
  <c r="AB976" i="2"/>
  <c r="AB975" i="2"/>
  <c r="AB974" i="2"/>
  <c r="AB973" i="2"/>
  <c r="AB972" i="2"/>
  <c r="AB971" i="2"/>
  <c r="AB970" i="2"/>
  <c r="AB969" i="2"/>
  <c r="AB968" i="2"/>
  <c r="AB967" i="2"/>
  <c r="AB966" i="2"/>
  <c r="AB965" i="2"/>
  <c r="AB964" i="2"/>
  <c r="AB963" i="2"/>
  <c r="AB962" i="2"/>
  <c r="AB961" i="2"/>
  <c r="AB960" i="2"/>
  <c r="AB959" i="2"/>
  <c r="AB958" i="2"/>
  <c r="AB957" i="2"/>
  <c r="AB956" i="2"/>
  <c r="AB955" i="2"/>
  <c r="AB954" i="2"/>
  <c r="AB953" i="2"/>
  <c r="AB952" i="2"/>
  <c r="AB951" i="2"/>
  <c r="AB950" i="2"/>
  <c r="AB949" i="2"/>
  <c r="AB948" i="2"/>
  <c r="AB947" i="2"/>
  <c r="AB946" i="2"/>
  <c r="AB945" i="2"/>
  <c r="AB944" i="2"/>
  <c r="AB943" i="2"/>
  <c r="AB942" i="2"/>
  <c r="AB941" i="2"/>
  <c r="AB940" i="2"/>
  <c r="AB939" i="2"/>
  <c r="AB938" i="2"/>
  <c r="AB937" i="2"/>
  <c r="AB936" i="2"/>
  <c r="AB935" i="2"/>
  <c r="AB934" i="2"/>
  <c r="AB933" i="2"/>
  <c r="AB932" i="2"/>
  <c r="AB931" i="2"/>
  <c r="AB930" i="2"/>
  <c r="AB929" i="2"/>
  <c r="AB928" i="2"/>
  <c r="AB927" i="2"/>
  <c r="AB926" i="2"/>
  <c r="AB925" i="2"/>
  <c r="AB924" i="2"/>
  <c r="AB923" i="2"/>
  <c r="AB922" i="2"/>
  <c r="AB921" i="2"/>
  <c r="AB920" i="2"/>
  <c r="AB919" i="2"/>
  <c r="AB918" i="2"/>
  <c r="AB917" i="2"/>
  <c r="AB916" i="2"/>
  <c r="AB915" i="2"/>
  <c r="AB914" i="2"/>
  <c r="AB913" i="2"/>
  <c r="AB912" i="2"/>
  <c r="AB911" i="2"/>
  <c r="AB910" i="2"/>
  <c r="AB909" i="2"/>
  <c r="AB908" i="2"/>
  <c r="AB907" i="2"/>
  <c r="AB906" i="2"/>
  <c r="AB905" i="2"/>
  <c r="AB904" i="2"/>
  <c r="AB903" i="2"/>
  <c r="AB902" i="2"/>
  <c r="AB901" i="2"/>
  <c r="AB900" i="2"/>
  <c r="AB899" i="2"/>
  <c r="AB898" i="2"/>
  <c r="AB897" i="2"/>
  <c r="AB896" i="2"/>
  <c r="AB895" i="2"/>
  <c r="AB894" i="2"/>
  <c r="AB893" i="2"/>
  <c r="AB892" i="2"/>
  <c r="AB891" i="2"/>
  <c r="AB890" i="2"/>
  <c r="AB889" i="2"/>
  <c r="AB888" i="2"/>
  <c r="AB887" i="2"/>
  <c r="AB886" i="2"/>
  <c r="AB885" i="2"/>
  <c r="AB884" i="2"/>
  <c r="AB883" i="2"/>
  <c r="AB882" i="2"/>
  <c r="AB881" i="2"/>
  <c r="AB880" i="2"/>
  <c r="AB879" i="2"/>
  <c r="AB878" i="2"/>
  <c r="AB877" i="2"/>
  <c r="AB876" i="2"/>
  <c r="AB875" i="2"/>
  <c r="AB874" i="2"/>
  <c r="AB873" i="2"/>
  <c r="AB872" i="2"/>
  <c r="AB871" i="2"/>
  <c r="AB870" i="2"/>
  <c r="AB869" i="2"/>
  <c r="AB868" i="2"/>
  <c r="AB867" i="2"/>
  <c r="AB866" i="2"/>
  <c r="AB865" i="2"/>
  <c r="AB864" i="2"/>
  <c r="AB863" i="2"/>
  <c r="AB862" i="2"/>
  <c r="AB861" i="2"/>
  <c r="AB860" i="2"/>
  <c r="AB859" i="2"/>
  <c r="AB858" i="2"/>
  <c r="AB857" i="2"/>
  <c r="AB856" i="2"/>
  <c r="AB855" i="2"/>
  <c r="AB854" i="2"/>
  <c r="AB853" i="2"/>
  <c r="AB852" i="2"/>
  <c r="AB851" i="2"/>
  <c r="AB850" i="2"/>
  <c r="AB849" i="2"/>
  <c r="AB848" i="2"/>
  <c r="AB847" i="2"/>
  <c r="AB846" i="2"/>
  <c r="AB845" i="2"/>
  <c r="AB844" i="2"/>
  <c r="AB843" i="2"/>
  <c r="AB842" i="2"/>
  <c r="AB841" i="2"/>
  <c r="AB840" i="2"/>
  <c r="AB839" i="2"/>
  <c r="AB838" i="2"/>
  <c r="AB837" i="2"/>
  <c r="AB836" i="2"/>
  <c r="AB835" i="2"/>
  <c r="AB834" i="2"/>
  <c r="AB833" i="2"/>
  <c r="AB832" i="2"/>
  <c r="AB831" i="2"/>
  <c r="AB830" i="2"/>
  <c r="AB829" i="2"/>
  <c r="AB828" i="2"/>
  <c r="AB827" i="2"/>
  <c r="AB826" i="2"/>
  <c r="AB825" i="2"/>
  <c r="AB824" i="2"/>
  <c r="AB823" i="2"/>
  <c r="AB822" i="2"/>
  <c r="AB821" i="2"/>
  <c r="AB820" i="2"/>
  <c r="AB819" i="2"/>
  <c r="AB818" i="2"/>
  <c r="AB817" i="2"/>
  <c r="AB816" i="2"/>
  <c r="AB815" i="2"/>
  <c r="AB814" i="2"/>
  <c r="AB813" i="2"/>
  <c r="AB812" i="2"/>
  <c r="AB811" i="2"/>
  <c r="AB810" i="2"/>
  <c r="AB809" i="2"/>
  <c r="AB808" i="2"/>
  <c r="AB807" i="2"/>
  <c r="AB806" i="2"/>
  <c r="AB805" i="2"/>
  <c r="AB804" i="2"/>
  <c r="AB803" i="2"/>
  <c r="AB802" i="2"/>
  <c r="AB801" i="2"/>
  <c r="AB800" i="2"/>
  <c r="AB799" i="2"/>
  <c r="AB798" i="2"/>
  <c r="AB797" i="2"/>
  <c r="AB796" i="2"/>
  <c r="AB795" i="2"/>
  <c r="AB794" i="2"/>
  <c r="AB793" i="2"/>
  <c r="AB792" i="2"/>
  <c r="AB791" i="2"/>
  <c r="AB790" i="2"/>
  <c r="AB789" i="2"/>
  <c r="AB788" i="2"/>
  <c r="AB787" i="2"/>
  <c r="AB786" i="2"/>
  <c r="AB785" i="2"/>
  <c r="AB784" i="2"/>
  <c r="AB783" i="2"/>
  <c r="AB782" i="2"/>
  <c r="AB781" i="2"/>
  <c r="AB780" i="2"/>
  <c r="AB779" i="2"/>
  <c r="AB778" i="2"/>
  <c r="AB777" i="2"/>
  <c r="AB776" i="2"/>
  <c r="AB775" i="2"/>
  <c r="AB774" i="2"/>
  <c r="AB773" i="2"/>
  <c r="AB772" i="2"/>
  <c r="AB771" i="2"/>
  <c r="AB770" i="2"/>
  <c r="AB769" i="2"/>
  <c r="AB768" i="2"/>
  <c r="AB767" i="2"/>
  <c r="AB766" i="2"/>
  <c r="AB765" i="2"/>
  <c r="AB764" i="2"/>
  <c r="AB763" i="2"/>
  <c r="AB762" i="2"/>
  <c r="AB761" i="2"/>
  <c r="AB760" i="2"/>
  <c r="AB759" i="2"/>
  <c r="AB758" i="2"/>
  <c r="AB757" i="2"/>
  <c r="AB756" i="2"/>
  <c r="AB755" i="2"/>
  <c r="AB754" i="2"/>
  <c r="AB753" i="2"/>
  <c r="AB752" i="2"/>
  <c r="AB751" i="2"/>
  <c r="AB750" i="2"/>
  <c r="AB749" i="2"/>
  <c r="AB748" i="2"/>
  <c r="AB747" i="2"/>
  <c r="AB746" i="2"/>
  <c r="AB745" i="2"/>
  <c r="AB744" i="2"/>
  <c r="AB743" i="2"/>
  <c r="AB742" i="2"/>
  <c r="AB741" i="2"/>
  <c r="AB740" i="2"/>
  <c r="AB739" i="2"/>
  <c r="AB738" i="2"/>
  <c r="AB737" i="2"/>
  <c r="AB736" i="2"/>
  <c r="AB735" i="2"/>
  <c r="AB734" i="2"/>
  <c r="AB733" i="2"/>
  <c r="AB732" i="2"/>
  <c r="AB731" i="2"/>
  <c r="AB730" i="2"/>
  <c r="AB729" i="2"/>
  <c r="AB728" i="2"/>
  <c r="AB727" i="2"/>
  <c r="AB726" i="2"/>
  <c r="AB725" i="2"/>
  <c r="AB724" i="2"/>
  <c r="AB723" i="2"/>
  <c r="AB722" i="2"/>
  <c r="AB721" i="2"/>
  <c r="AB720" i="2"/>
  <c r="AB719" i="2"/>
  <c r="AB718" i="2"/>
  <c r="AB717" i="2"/>
  <c r="AB716" i="2"/>
  <c r="AB715" i="2"/>
  <c r="AB714" i="2"/>
  <c r="AB713" i="2"/>
  <c r="AB712" i="2"/>
  <c r="AB711" i="2"/>
  <c r="AB710" i="2"/>
  <c r="AB709" i="2"/>
  <c r="AB708" i="2"/>
  <c r="AB707" i="2"/>
  <c r="AB706" i="2"/>
  <c r="AB705" i="2"/>
  <c r="AB704" i="2"/>
  <c r="AB703" i="2"/>
  <c r="AB702" i="2"/>
  <c r="AB701" i="2"/>
  <c r="AB700" i="2"/>
  <c r="AB699" i="2"/>
  <c r="AB698" i="2"/>
  <c r="AB697" i="2"/>
  <c r="AB696" i="2"/>
  <c r="AB695" i="2"/>
  <c r="AB694" i="2"/>
  <c r="AB693" i="2"/>
  <c r="AB692" i="2"/>
  <c r="AB691" i="2"/>
  <c r="AB690" i="2"/>
  <c r="AB689" i="2"/>
  <c r="AB688" i="2"/>
  <c r="AB687" i="2"/>
  <c r="AB686" i="2"/>
  <c r="AB685" i="2"/>
  <c r="AB684" i="2"/>
  <c r="AB683" i="2"/>
  <c r="AB682" i="2"/>
  <c r="AB681" i="2"/>
  <c r="AB680" i="2"/>
  <c r="AB679" i="2"/>
  <c r="AB678" i="2"/>
  <c r="AB677" i="2"/>
  <c r="AB676" i="2"/>
  <c r="AB675" i="2"/>
  <c r="AB674" i="2"/>
  <c r="AB673" i="2"/>
  <c r="AB672" i="2"/>
  <c r="AB671" i="2"/>
  <c r="AB670" i="2"/>
  <c r="AB669" i="2"/>
  <c r="AB668" i="2"/>
  <c r="AB667" i="2"/>
  <c r="AB666" i="2"/>
  <c r="AB665" i="2"/>
  <c r="AB664" i="2"/>
  <c r="AB663" i="2"/>
  <c r="AB662" i="2"/>
  <c r="AB661" i="2"/>
  <c r="AB660" i="2"/>
  <c r="AB659" i="2"/>
  <c r="AB658" i="2"/>
  <c r="AB657" i="2"/>
  <c r="AB656" i="2"/>
  <c r="AB655" i="2"/>
  <c r="AB654" i="2"/>
  <c r="AB653" i="2"/>
  <c r="AB652" i="2"/>
  <c r="AB651" i="2"/>
  <c r="AB650" i="2"/>
  <c r="AB649" i="2"/>
  <c r="AB648" i="2"/>
  <c r="AB647" i="2"/>
  <c r="AB646" i="2"/>
  <c r="AB645" i="2"/>
  <c r="AB644" i="2"/>
  <c r="AB643" i="2"/>
  <c r="AB642" i="2"/>
  <c r="AB641" i="2"/>
  <c r="AB640" i="2"/>
  <c r="AB639" i="2"/>
  <c r="AB638" i="2"/>
  <c r="AB637" i="2"/>
  <c r="AB636" i="2"/>
  <c r="AB635" i="2"/>
  <c r="AB634" i="2"/>
  <c r="AB633" i="2"/>
  <c r="AB632" i="2"/>
  <c r="AB631" i="2"/>
  <c r="AB630" i="2"/>
  <c r="AB629" i="2"/>
  <c r="AB628" i="2"/>
  <c r="AB627" i="2"/>
  <c r="AB626" i="2"/>
  <c r="AB625" i="2"/>
  <c r="AB624" i="2"/>
  <c r="AB623" i="2"/>
  <c r="AB622" i="2"/>
  <c r="AB621" i="2"/>
  <c r="AB620" i="2"/>
  <c r="AB619" i="2"/>
  <c r="AB618" i="2"/>
  <c r="AB617" i="2"/>
  <c r="AB616" i="2"/>
  <c r="AB615" i="2"/>
  <c r="AB614" i="2"/>
  <c r="AB613" i="2"/>
  <c r="AB612" i="2"/>
  <c r="AB611" i="2"/>
  <c r="AB610" i="2"/>
  <c r="AB609" i="2"/>
  <c r="AB608" i="2"/>
  <c r="AB607" i="2"/>
  <c r="AB606" i="2"/>
  <c r="AB605" i="2"/>
  <c r="AB604" i="2"/>
  <c r="AB603" i="2"/>
  <c r="AB602" i="2"/>
  <c r="AB601" i="2"/>
  <c r="AB600" i="2"/>
  <c r="AB599" i="2"/>
  <c r="AB598" i="2"/>
  <c r="AB597" i="2"/>
  <c r="AB596" i="2"/>
  <c r="AB595" i="2"/>
  <c r="AB594" i="2"/>
  <c r="AB593" i="2"/>
  <c r="AB592" i="2"/>
  <c r="AB591" i="2"/>
  <c r="AB590" i="2"/>
  <c r="AB589" i="2"/>
  <c r="AB588" i="2"/>
  <c r="AB587" i="2"/>
  <c r="AB586" i="2"/>
  <c r="AB585" i="2"/>
  <c r="AB584" i="2"/>
  <c r="AB583" i="2"/>
  <c r="AB582" i="2"/>
  <c r="AB581" i="2"/>
  <c r="AB580" i="2"/>
  <c r="AB579" i="2"/>
  <c r="AB578" i="2"/>
  <c r="AB577" i="2"/>
  <c r="AB576" i="2"/>
  <c r="AB575" i="2"/>
  <c r="AB574" i="2"/>
  <c r="AB573" i="2"/>
  <c r="AB572" i="2"/>
  <c r="AB571" i="2"/>
  <c r="AB570" i="2"/>
  <c r="AB569" i="2"/>
  <c r="AB568" i="2"/>
  <c r="AB567" i="2"/>
  <c r="AB566" i="2"/>
  <c r="AB565" i="2"/>
  <c r="AB564" i="2"/>
  <c r="AB563" i="2"/>
  <c r="AB562" i="2"/>
  <c r="AB561" i="2"/>
  <c r="AB560" i="2"/>
  <c r="AB559" i="2"/>
  <c r="AB558" i="2"/>
  <c r="AB557" i="2"/>
  <c r="AB556" i="2"/>
  <c r="AB555" i="2"/>
  <c r="AB554" i="2"/>
  <c r="AB553" i="2"/>
  <c r="AB552" i="2"/>
  <c r="AB551" i="2"/>
  <c r="AB550" i="2"/>
  <c r="AB549" i="2"/>
  <c r="AB548" i="2"/>
  <c r="AB547" i="2"/>
  <c r="AB546" i="2"/>
  <c r="AB545" i="2"/>
  <c r="AB544" i="2"/>
  <c r="AB543" i="2"/>
  <c r="AB542" i="2"/>
  <c r="AB541" i="2"/>
  <c r="AB540" i="2"/>
  <c r="AB539" i="2"/>
  <c r="AB538" i="2"/>
  <c r="AB537" i="2"/>
  <c r="AB536" i="2"/>
  <c r="AB535" i="2"/>
  <c r="AB534" i="2"/>
  <c r="AB533" i="2"/>
  <c r="AB532" i="2"/>
  <c r="AB531" i="2"/>
  <c r="AB530" i="2"/>
  <c r="AB529" i="2"/>
  <c r="AB528" i="2"/>
  <c r="AB527" i="2"/>
  <c r="AB526" i="2"/>
  <c r="AB525" i="2"/>
  <c r="AB524" i="2"/>
  <c r="AB523" i="2"/>
  <c r="AB522" i="2"/>
  <c r="AB521" i="2"/>
  <c r="AB520" i="2"/>
  <c r="AB519" i="2"/>
  <c r="AB518" i="2"/>
  <c r="AB517" i="2"/>
  <c r="AB516" i="2"/>
  <c r="AB515" i="2"/>
  <c r="AB514" i="2"/>
  <c r="AB513" i="2"/>
  <c r="AB512" i="2"/>
  <c r="AB511" i="2"/>
  <c r="AB510" i="2"/>
  <c r="AB509" i="2"/>
  <c r="AB508" i="2"/>
  <c r="AB507" i="2"/>
  <c r="AB506" i="2"/>
  <c r="AB505" i="2"/>
  <c r="AB504" i="2"/>
  <c r="AB503" i="2"/>
  <c r="AB502" i="2"/>
  <c r="AB501" i="2"/>
  <c r="AB500" i="2"/>
  <c r="AB499" i="2"/>
  <c r="AB498" i="2"/>
  <c r="AB497" i="2"/>
  <c r="AB496" i="2"/>
  <c r="AB495" i="2"/>
  <c r="AB494" i="2"/>
  <c r="AB493" i="2"/>
  <c r="AB492" i="2"/>
  <c r="AB491" i="2"/>
  <c r="AB490" i="2"/>
  <c r="AB489" i="2"/>
  <c r="AB488" i="2"/>
  <c r="AB487" i="2"/>
  <c r="AB486" i="2"/>
  <c r="AB485" i="2"/>
  <c r="AB484" i="2"/>
  <c r="AB483" i="2"/>
  <c r="AB482" i="2"/>
  <c r="AB481" i="2"/>
  <c r="AB480" i="2"/>
  <c r="AB479" i="2"/>
  <c r="AB478" i="2"/>
  <c r="AB477" i="2"/>
  <c r="AB476" i="2"/>
  <c r="AB475" i="2"/>
  <c r="AB474" i="2"/>
  <c r="AB473" i="2"/>
  <c r="AB472" i="2"/>
  <c r="AB471" i="2"/>
  <c r="AB470" i="2"/>
  <c r="AB469" i="2"/>
  <c r="AB468" i="2"/>
  <c r="AB467" i="2"/>
  <c r="AB466" i="2"/>
  <c r="AB465" i="2"/>
  <c r="AB464" i="2"/>
  <c r="AB463" i="2"/>
  <c r="AB462" i="2"/>
  <c r="AB461" i="2"/>
  <c r="AB460" i="2"/>
  <c r="AB459" i="2"/>
  <c r="AB458" i="2"/>
  <c r="AB457" i="2"/>
  <c r="AB456" i="2"/>
  <c r="AB455" i="2"/>
  <c r="AB454" i="2"/>
  <c r="AB453" i="2"/>
  <c r="AB452" i="2"/>
  <c r="AB451" i="2"/>
  <c r="AB450" i="2"/>
  <c r="AB449" i="2"/>
  <c r="AB448" i="2"/>
  <c r="AB447" i="2"/>
  <c r="AB446" i="2"/>
  <c r="AB445" i="2"/>
  <c r="AB444" i="2"/>
  <c r="AB443" i="2"/>
  <c r="AB442" i="2"/>
  <c r="AB441" i="2"/>
  <c r="AB440" i="2"/>
  <c r="AB439" i="2"/>
  <c r="AB438" i="2"/>
  <c r="AB437" i="2"/>
  <c r="AB436" i="2"/>
  <c r="AB435" i="2"/>
  <c r="AB434" i="2"/>
  <c r="AB433" i="2"/>
  <c r="AB432" i="2"/>
  <c r="AB431" i="2"/>
  <c r="AB430" i="2"/>
  <c r="AB429" i="2"/>
  <c r="AB428" i="2"/>
  <c r="AB427" i="2"/>
  <c r="AB426" i="2"/>
  <c r="AB425" i="2"/>
  <c r="AB424" i="2"/>
  <c r="AB423" i="2"/>
  <c r="AB422" i="2"/>
  <c r="AB421" i="2"/>
  <c r="AB420" i="2"/>
  <c r="AB419" i="2"/>
  <c r="AB418" i="2"/>
  <c r="AB417" i="2"/>
  <c r="AB416" i="2"/>
  <c r="AB415" i="2"/>
  <c r="AB414" i="2"/>
  <c r="AB413" i="2"/>
  <c r="AB412" i="2"/>
  <c r="AB411" i="2"/>
  <c r="AB410" i="2"/>
  <c r="AB409" i="2"/>
  <c r="AB408" i="2"/>
  <c r="AB407" i="2"/>
  <c r="AB406" i="2"/>
  <c r="AB405" i="2"/>
  <c r="AB404" i="2"/>
  <c r="AB403" i="2"/>
  <c r="AB402" i="2"/>
  <c r="AB401" i="2"/>
  <c r="AB400" i="2"/>
  <c r="AB399" i="2"/>
  <c r="AB398" i="2"/>
  <c r="AB397" i="2"/>
  <c r="AB396" i="2"/>
  <c r="AB395" i="2"/>
  <c r="AB394" i="2"/>
  <c r="AB393" i="2"/>
  <c r="AB392" i="2"/>
  <c r="AB391" i="2"/>
  <c r="AB390" i="2"/>
  <c r="AB389" i="2"/>
  <c r="AB388" i="2"/>
  <c r="AB387" i="2"/>
  <c r="AB386" i="2"/>
  <c r="AB385" i="2"/>
  <c r="AB384" i="2"/>
  <c r="AB383" i="2"/>
  <c r="AB382" i="2"/>
  <c r="AB381" i="2"/>
  <c r="AB380" i="2"/>
  <c r="AB379" i="2"/>
  <c r="AB378" i="2"/>
  <c r="AB377" i="2"/>
  <c r="AB376" i="2"/>
  <c r="AB375" i="2"/>
  <c r="AB374" i="2"/>
  <c r="AB373" i="2"/>
  <c r="AB372" i="2"/>
  <c r="AB371" i="2"/>
  <c r="AB370" i="2"/>
  <c r="AB369" i="2"/>
  <c r="AB368" i="2"/>
  <c r="AB367" i="2"/>
  <c r="AB366" i="2"/>
  <c r="AB365" i="2"/>
  <c r="AB364" i="2"/>
  <c r="AB363" i="2"/>
  <c r="AB362" i="2"/>
  <c r="AB361" i="2"/>
  <c r="AB360" i="2"/>
  <c r="AB359" i="2"/>
  <c r="AB358" i="2"/>
  <c r="AB357" i="2"/>
  <c r="AB356" i="2"/>
  <c r="AB355" i="2"/>
  <c r="AB354" i="2"/>
  <c r="AB353" i="2"/>
  <c r="AB352" i="2"/>
  <c r="AB351" i="2"/>
  <c r="AB350" i="2"/>
  <c r="AB349" i="2"/>
  <c r="AB348" i="2"/>
  <c r="AB347" i="2"/>
  <c r="AB346" i="2"/>
  <c r="AB345" i="2"/>
  <c r="AB344" i="2"/>
  <c r="AB343" i="2"/>
  <c r="AB342" i="2"/>
  <c r="AB341" i="2"/>
  <c r="AB340" i="2"/>
  <c r="AB339" i="2"/>
  <c r="AB338" i="2"/>
  <c r="AB337" i="2"/>
  <c r="AB336" i="2"/>
  <c r="AB335" i="2"/>
  <c r="AB334" i="2"/>
  <c r="AB333" i="2"/>
  <c r="AB332" i="2"/>
  <c r="AB331" i="2"/>
  <c r="AB330" i="2"/>
  <c r="AB329" i="2"/>
  <c r="AB328" i="2"/>
  <c r="AB327" i="2"/>
  <c r="AB326" i="2"/>
  <c r="AB325" i="2"/>
  <c r="AB324" i="2"/>
  <c r="AB323" i="2"/>
  <c r="AB322" i="2"/>
  <c r="AB321" i="2"/>
  <c r="AB320" i="2"/>
  <c r="AB319" i="2"/>
  <c r="AB318" i="2"/>
  <c r="AB317" i="2"/>
  <c r="AB316" i="2"/>
  <c r="AB315" i="2"/>
  <c r="AB314" i="2"/>
  <c r="AB313" i="2"/>
  <c r="AB312" i="2"/>
  <c r="AB311" i="2"/>
  <c r="AB310" i="2"/>
  <c r="AB309" i="2"/>
  <c r="AB308" i="2"/>
  <c r="AB307" i="2"/>
  <c r="AB306" i="2"/>
  <c r="AB305" i="2"/>
  <c r="AB304" i="2"/>
  <c r="AB303" i="2"/>
  <c r="AB302" i="2"/>
  <c r="AB301" i="2"/>
  <c r="AB300" i="2"/>
  <c r="AB299" i="2"/>
  <c r="AB298" i="2"/>
  <c r="AB297" i="2"/>
  <c r="AB296" i="2"/>
  <c r="AB295" i="2"/>
  <c r="AB294" i="2"/>
  <c r="AB293" i="2"/>
  <c r="AB292" i="2"/>
  <c r="AB291" i="2"/>
  <c r="AB290" i="2"/>
  <c r="AB289" i="2"/>
  <c r="AB288" i="2"/>
  <c r="AB287" i="2"/>
  <c r="AB286" i="2"/>
  <c r="AB285" i="2"/>
  <c r="AB284" i="2"/>
  <c r="AB283" i="2"/>
  <c r="AB282" i="2"/>
  <c r="AB281" i="2"/>
  <c r="AB280" i="2"/>
  <c r="AB279" i="2"/>
  <c r="AB278" i="2"/>
  <c r="AB277" i="2"/>
  <c r="AB276" i="2"/>
  <c r="AB275" i="2"/>
  <c r="AB274" i="2"/>
  <c r="AB273" i="2"/>
  <c r="AB272" i="2"/>
  <c r="AB271" i="2"/>
  <c r="AB270" i="2"/>
  <c r="AB269" i="2"/>
  <c r="AB268" i="2"/>
  <c r="AB267" i="2"/>
  <c r="AB266" i="2"/>
  <c r="AB265" i="2"/>
  <c r="AB264" i="2"/>
  <c r="AB263" i="2"/>
  <c r="AB262" i="2"/>
  <c r="AB261" i="2"/>
  <c r="AB260" i="2"/>
  <c r="AB259" i="2"/>
  <c r="AB258" i="2"/>
  <c r="AB257" i="2"/>
  <c r="AB256" i="2"/>
  <c r="AB255" i="2"/>
  <c r="AB254" i="2"/>
  <c r="AB253" i="2"/>
  <c r="AB252" i="2"/>
  <c r="AB251" i="2"/>
  <c r="AB250" i="2"/>
  <c r="AB249" i="2"/>
  <c r="AB248" i="2"/>
  <c r="AB247" i="2"/>
  <c r="AB246" i="2"/>
  <c r="AB245" i="2"/>
  <c r="AB244" i="2"/>
  <c r="AB243" i="2"/>
  <c r="AB242" i="2"/>
  <c r="AB241" i="2"/>
  <c r="AB240" i="2"/>
  <c r="AB239" i="2"/>
  <c r="AB238" i="2"/>
  <c r="AB237" i="2"/>
  <c r="AB236" i="2"/>
  <c r="AB235" i="2"/>
  <c r="AB234" i="2"/>
  <c r="AB233" i="2"/>
  <c r="AB232" i="2"/>
  <c r="AB231" i="2"/>
  <c r="AB230" i="2"/>
  <c r="AB229" i="2"/>
  <c r="AB228" i="2"/>
  <c r="AB227" i="2"/>
  <c r="AB226" i="2"/>
  <c r="AB225" i="2"/>
  <c r="AB224" i="2"/>
  <c r="AB223" i="2"/>
  <c r="AB222" i="2"/>
  <c r="AB221" i="2"/>
  <c r="AB220" i="2"/>
  <c r="AB219" i="2"/>
  <c r="AB218" i="2"/>
  <c r="AB217" i="2"/>
  <c r="AB216" i="2"/>
  <c r="AB215" i="2"/>
  <c r="AB214" i="2"/>
  <c r="AB213" i="2"/>
  <c r="AB212" i="2"/>
  <c r="AB211" i="2"/>
  <c r="AB210" i="2"/>
  <c r="AB209" i="2"/>
  <c r="AB208" i="2"/>
  <c r="AB207" i="2"/>
  <c r="AB206" i="2"/>
  <c r="AB205" i="2"/>
  <c r="AB204" i="2"/>
  <c r="AB203" i="2"/>
  <c r="AB202" i="2"/>
  <c r="AB201" i="2"/>
  <c r="AB200" i="2"/>
  <c r="AB199" i="2"/>
  <c r="AB198" i="2"/>
  <c r="AB197" i="2"/>
  <c r="AB196" i="2"/>
  <c r="AB195" i="2"/>
  <c r="AB194" i="2"/>
  <c r="AB193" i="2"/>
  <c r="AB192" i="2"/>
  <c r="AB191" i="2"/>
  <c r="AB190" i="2"/>
  <c r="AB189" i="2"/>
  <c r="AB188" i="2"/>
  <c r="AB187" i="2"/>
  <c r="AB186" i="2"/>
  <c r="AB185" i="2"/>
  <c r="AB184" i="2"/>
  <c r="AB183" i="2"/>
  <c r="AB182" i="2"/>
  <c r="AB181" i="2"/>
  <c r="AB180" i="2"/>
  <c r="AB179" i="2"/>
  <c r="AB178" i="2"/>
  <c r="AB177" i="2"/>
  <c r="AB176" i="2"/>
  <c r="AB175" i="2"/>
  <c r="AB174" i="2"/>
  <c r="AB173" i="2"/>
  <c r="AB172" i="2"/>
  <c r="AB171" i="2"/>
  <c r="AB170" i="2"/>
  <c r="AB169" i="2"/>
  <c r="AB168" i="2"/>
  <c r="AB167" i="2"/>
  <c r="AB166" i="2"/>
  <c r="AB165" i="2"/>
  <c r="AB164" i="2"/>
  <c r="AB163" i="2"/>
  <c r="AB162" i="2"/>
  <c r="AB161" i="2"/>
  <c r="AB160" i="2"/>
  <c r="AB159" i="2"/>
  <c r="AB158" i="2"/>
  <c r="AB157" i="2"/>
  <c r="AB156" i="2"/>
  <c r="AB155" i="2"/>
  <c r="AB154" i="2"/>
  <c r="AB153" i="2"/>
  <c r="AB152" i="2"/>
  <c r="AB151" i="2"/>
  <c r="AB150" i="2"/>
  <c r="AB149" i="2"/>
  <c r="AB148" i="2"/>
  <c r="AB147" i="2"/>
  <c r="AB146" i="2"/>
  <c r="AB145" i="2"/>
  <c r="AB144" i="2"/>
  <c r="AB143" i="2"/>
  <c r="AB142" i="2"/>
  <c r="AB141" i="2"/>
  <c r="AB140" i="2"/>
  <c r="AB139" i="2"/>
  <c r="AB138" i="2"/>
  <c r="AB137" i="2"/>
  <c r="AB136" i="2"/>
  <c r="AB135" i="2"/>
  <c r="AB134" i="2"/>
  <c r="AB133" i="2"/>
  <c r="AB132" i="2"/>
  <c r="AB131" i="2"/>
  <c r="AB130" i="2"/>
  <c r="AB129" i="2"/>
  <c r="AB128" i="2"/>
  <c r="AB127" i="2"/>
  <c r="AB126" i="2"/>
  <c r="AB125" i="2"/>
  <c r="AB124" i="2"/>
  <c r="AB123" i="2"/>
  <c r="AB122" i="2"/>
  <c r="AB121" i="2"/>
  <c r="AB120" i="2"/>
  <c r="AB119" i="2"/>
  <c r="AB118" i="2"/>
  <c r="AB117" i="2"/>
  <c r="AB116" i="2"/>
  <c r="AB115" i="2"/>
  <c r="AB114" i="2"/>
  <c r="AB113" i="2"/>
  <c r="AB112" i="2"/>
  <c r="AB111" i="2"/>
  <c r="AB110" i="2"/>
  <c r="AB109" i="2"/>
  <c r="AB108" i="2"/>
  <c r="AB107" i="2"/>
  <c r="AB106" i="2"/>
  <c r="AB105" i="2"/>
  <c r="AB104" i="2"/>
  <c r="AB103" i="2"/>
  <c r="AB102" i="2"/>
  <c r="AB101" i="2"/>
  <c r="AB100" i="2"/>
  <c r="AB99" i="2"/>
  <c r="AB98" i="2"/>
  <c r="AB97" i="2"/>
  <c r="AB96" i="2"/>
  <c r="AB95" i="2"/>
  <c r="AB94" i="2"/>
  <c r="AB93" i="2"/>
  <c r="AB92" i="2"/>
  <c r="AB91" i="2"/>
  <c r="AB90" i="2"/>
  <c r="AB89" i="2"/>
  <c r="AB88" i="2"/>
  <c r="AB87" i="2"/>
  <c r="AB86" i="2"/>
  <c r="AB85" i="2"/>
  <c r="AB84" i="2"/>
  <c r="AB83" i="2"/>
  <c r="AB82" i="2"/>
  <c r="AB81" i="2"/>
  <c r="AB80" i="2"/>
  <c r="AB79" i="2"/>
  <c r="AB78" i="2"/>
  <c r="AB77" i="2"/>
  <c r="AB76" i="2"/>
  <c r="AB75" i="2"/>
  <c r="AB74" i="2"/>
  <c r="AB73" i="2"/>
  <c r="AB72" i="2"/>
  <c r="AB71" i="2"/>
  <c r="AB70" i="2"/>
  <c r="AB69" i="2"/>
  <c r="AB68" i="2"/>
  <c r="AB67" i="2"/>
  <c r="AB66" i="2"/>
  <c r="AB65" i="2"/>
  <c r="AB64" i="2"/>
  <c r="AB63" i="2"/>
  <c r="AB62" i="2"/>
  <c r="AB61" i="2"/>
  <c r="AB60" i="2"/>
  <c r="AB59" i="2"/>
  <c r="AB58" i="2"/>
  <c r="AB57" i="2"/>
  <c r="AB56" i="2"/>
  <c r="AB55" i="2"/>
  <c r="AB54" i="2"/>
  <c r="AB53" i="2"/>
  <c r="AB52" i="2"/>
  <c r="AB51" i="2"/>
  <c r="AB50" i="2"/>
  <c r="AB49" i="2"/>
  <c r="AB48" i="2"/>
  <c r="AB47" i="2"/>
  <c r="AB46" i="2"/>
  <c r="AB45" i="2"/>
  <c r="AB44" i="2"/>
  <c r="AB43" i="2"/>
  <c r="AB42" i="2"/>
  <c r="AB41" i="2"/>
  <c r="AB40" i="2"/>
  <c r="AB39" i="2"/>
  <c r="AB38" i="2"/>
  <c r="AB37" i="2"/>
  <c r="AB36" i="2"/>
  <c r="AB35" i="2"/>
  <c r="AB34" i="2"/>
  <c r="AB33" i="2"/>
  <c r="AB32" i="2"/>
  <c r="AB31" i="2"/>
  <c r="AB30" i="2"/>
  <c r="AB29" i="2"/>
  <c r="AB28" i="2"/>
  <c r="AB27" i="2"/>
  <c r="AB26" i="2"/>
  <c r="AB25" i="2"/>
  <c r="AB24" i="2"/>
  <c r="AB23" i="2"/>
  <c r="AB22" i="2"/>
  <c r="AB21" i="2"/>
  <c r="AB20" i="2"/>
  <c r="AB19" i="2"/>
  <c r="AB18" i="2"/>
  <c r="AB17" i="2"/>
  <c r="AB16" i="2"/>
  <c r="AB15" i="2"/>
  <c r="AB14" i="2"/>
  <c r="AB13" i="2"/>
  <c r="AB12" i="2"/>
  <c r="AB11" i="2"/>
  <c r="AB10" i="2"/>
  <c r="AB9" i="2"/>
  <c r="AB7" i="2"/>
  <c r="AB6" i="2"/>
  <c r="AB5" i="2"/>
  <c r="AB4" i="2"/>
  <c r="AB3" i="2"/>
  <c r="AB2" i="2"/>
  <c r="AB8" i="2"/>
  <c r="AC8" i="2"/>
  <c r="Y41" i="4" a="1"/>
  <c r="Y41" i="4" s="1"/>
  <c r="X41" i="4"/>
  <c r="AC1000" i="2"/>
  <c r="AC999" i="2"/>
  <c r="AC998" i="2"/>
  <c r="AC997" i="2"/>
  <c r="AC996" i="2"/>
  <c r="AC995" i="2"/>
  <c r="AC994" i="2"/>
  <c r="AC993" i="2"/>
  <c r="AC992" i="2"/>
  <c r="AC991" i="2"/>
  <c r="AC990" i="2"/>
  <c r="AC989" i="2"/>
  <c r="AC988" i="2"/>
  <c r="AC987" i="2"/>
  <c r="AC986" i="2"/>
  <c r="AC985" i="2"/>
  <c r="AC984" i="2"/>
  <c r="AC983" i="2"/>
  <c r="AC982" i="2"/>
  <c r="AC981" i="2"/>
  <c r="AC980" i="2"/>
  <c r="AC979" i="2"/>
  <c r="AC978" i="2"/>
  <c r="AC977" i="2"/>
  <c r="AC976" i="2"/>
  <c r="AC975" i="2"/>
  <c r="AC974" i="2"/>
  <c r="AC973" i="2"/>
  <c r="AC972" i="2"/>
  <c r="AC971" i="2"/>
  <c r="AC970" i="2"/>
  <c r="AC969" i="2"/>
  <c r="AC968" i="2"/>
  <c r="AC967" i="2"/>
  <c r="AC966" i="2"/>
  <c r="AC965" i="2"/>
  <c r="AC964" i="2"/>
  <c r="AC963" i="2"/>
  <c r="AC962" i="2"/>
  <c r="AC961" i="2"/>
  <c r="AC960" i="2"/>
  <c r="AC959" i="2"/>
  <c r="AC958" i="2"/>
  <c r="AC957" i="2"/>
  <c r="AC956" i="2"/>
  <c r="AC955" i="2"/>
  <c r="AC954" i="2"/>
  <c r="AC953" i="2"/>
  <c r="AC952" i="2"/>
  <c r="AC951" i="2"/>
  <c r="AC950" i="2"/>
  <c r="AC949" i="2"/>
  <c r="AC948" i="2"/>
  <c r="AC947" i="2"/>
  <c r="AC946" i="2"/>
  <c r="AC945" i="2"/>
  <c r="AC944" i="2"/>
  <c r="AC943" i="2"/>
  <c r="AC942" i="2"/>
  <c r="AC941" i="2"/>
  <c r="AC940" i="2"/>
  <c r="AC939" i="2"/>
  <c r="AC938" i="2"/>
  <c r="AC937" i="2"/>
  <c r="AC936" i="2"/>
  <c r="AC935" i="2"/>
  <c r="AC934" i="2"/>
  <c r="AC933" i="2"/>
  <c r="AC932" i="2"/>
  <c r="AC931" i="2"/>
  <c r="AC930" i="2"/>
  <c r="AC929" i="2"/>
  <c r="AC928" i="2"/>
  <c r="AC927" i="2"/>
  <c r="AC926" i="2"/>
  <c r="AC925" i="2"/>
  <c r="AC924" i="2"/>
  <c r="AC923" i="2"/>
  <c r="AC922" i="2"/>
  <c r="AC921" i="2"/>
  <c r="AC920" i="2"/>
  <c r="AC919" i="2"/>
  <c r="AC918" i="2"/>
  <c r="AC917" i="2"/>
  <c r="AC916" i="2"/>
  <c r="AC915" i="2"/>
  <c r="AC914" i="2"/>
  <c r="AC913" i="2"/>
  <c r="AC912" i="2"/>
  <c r="AC911" i="2"/>
  <c r="AC910" i="2"/>
  <c r="AC909" i="2"/>
  <c r="AC908" i="2"/>
  <c r="AC907" i="2"/>
  <c r="AC906" i="2"/>
  <c r="AC905" i="2"/>
  <c r="AC904" i="2"/>
  <c r="AC903" i="2"/>
  <c r="AC902" i="2"/>
  <c r="AC901" i="2"/>
  <c r="AC900" i="2"/>
  <c r="AC899" i="2"/>
  <c r="AC898" i="2"/>
  <c r="AC897" i="2"/>
  <c r="AC896" i="2"/>
  <c r="AC895" i="2"/>
  <c r="AC894" i="2"/>
  <c r="AC893" i="2"/>
  <c r="AC892" i="2"/>
  <c r="AC891" i="2"/>
  <c r="AC890" i="2"/>
  <c r="AC889" i="2"/>
  <c r="AC888" i="2"/>
  <c r="AC887" i="2"/>
  <c r="AC886" i="2"/>
  <c r="AC885" i="2"/>
  <c r="AC884" i="2"/>
  <c r="AC883" i="2"/>
  <c r="AC882" i="2"/>
  <c r="AC881" i="2"/>
  <c r="AC880" i="2"/>
  <c r="AC879" i="2"/>
  <c r="AC878" i="2"/>
  <c r="AC877" i="2"/>
  <c r="AC876" i="2"/>
  <c r="AC875" i="2"/>
  <c r="AC874" i="2"/>
  <c r="AC873" i="2"/>
  <c r="AC872" i="2"/>
  <c r="AC871" i="2"/>
  <c r="AC870" i="2"/>
  <c r="AC869" i="2"/>
  <c r="AC868" i="2"/>
  <c r="AC867" i="2"/>
  <c r="AC866" i="2"/>
  <c r="AC865" i="2"/>
  <c r="AC864" i="2"/>
  <c r="AC863" i="2"/>
  <c r="AC862" i="2"/>
  <c r="AC861" i="2"/>
  <c r="AC860" i="2"/>
  <c r="AC859" i="2"/>
  <c r="AC858" i="2"/>
  <c r="AC857" i="2"/>
  <c r="AC856" i="2"/>
  <c r="AC855" i="2"/>
  <c r="AC854" i="2"/>
  <c r="AC853" i="2"/>
  <c r="AC852" i="2"/>
  <c r="AC851" i="2"/>
  <c r="AC850" i="2"/>
  <c r="AC849" i="2"/>
  <c r="AC848" i="2"/>
  <c r="AC847" i="2"/>
  <c r="AC846" i="2"/>
  <c r="AC845" i="2"/>
  <c r="AC844" i="2"/>
  <c r="AC843" i="2"/>
  <c r="AC842" i="2"/>
  <c r="AC841" i="2"/>
  <c r="AC840" i="2"/>
  <c r="AC839" i="2"/>
  <c r="AC838" i="2"/>
  <c r="AC837" i="2"/>
  <c r="AC836" i="2"/>
  <c r="AC835" i="2"/>
  <c r="AC834" i="2"/>
  <c r="AC833" i="2"/>
  <c r="AC832" i="2"/>
  <c r="AC831" i="2"/>
  <c r="AC830" i="2"/>
  <c r="AC829" i="2"/>
  <c r="AC828" i="2"/>
  <c r="AC827" i="2"/>
  <c r="AC826" i="2"/>
  <c r="AC825" i="2"/>
  <c r="AC824" i="2"/>
  <c r="AC823" i="2"/>
  <c r="AC822" i="2"/>
  <c r="AC821" i="2"/>
  <c r="AC820" i="2"/>
  <c r="AC819" i="2"/>
  <c r="AC818" i="2"/>
  <c r="AC817" i="2"/>
  <c r="AC816" i="2"/>
  <c r="AC815" i="2"/>
  <c r="AC814" i="2"/>
  <c r="AC813" i="2"/>
  <c r="AC812" i="2"/>
  <c r="AC811" i="2"/>
  <c r="AC810" i="2"/>
  <c r="AC809" i="2"/>
  <c r="AC808" i="2"/>
  <c r="AC807" i="2"/>
  <c r="AC806" i="2"/>
  <c r="AC805" i="2"/>
  <c r="AC804" i="2"/>
  <c r="AC803" i="2"/>
  <c r="AC802" i="2"/>
  <c r="AC801" i="2"/>
  <c r="AC800" i="2"/>
  <c r="AC799" i="2"/>
  <c r="AC798" i="2"/>
  <c r="AC797" i="2"/>
  <c r="AC796" i="2"/>
  <c r="AC795" i="2"/>
  <c r="AC794" i="2"/>
  <c r="AC793" i="2"/>
  <c r="AC792" i="2"/>
  <c r="AC791" i="2"/>
  <c r="AC790" i="2"/>
  <c r="AC789" i="2"/>
  <c r="AC788" i="2"/>
  <c r="AC787" i="2"/>
  <c r="AC786" i="2"/>
  <c r="AC785" i="2"/>
  <c r="AC784" i="2"/>
  <c r="AC783" i="2"/>
  <c r="AC782" i="2"/>
  <c r="AC781" i="2"/>
  <c r="AC780" i="2"/>
  <c r="AC779" i="2"/>
  <c r="AC778" i="2"/>
  <c r="AC777" i="2"/>
  <c r="AC776" i="2"/>
  <c r="AC775" i="2"/>
  <c r="AC774" i="2"/>
  <c r="AC773" i="2"/>
  <c r="AC772" i="2"/>
  <c r="AC771" i="2"/>
  <c r="AC770" i="2"/>
  <c r="AC769" i="2"/>
  <c r="AC768" i="2"/>
  <c r="AC767" i="2"/>
  <c r="AC766" i="2"/>
  <c r="AC765" i="2"/>
  <c r="AC764" i="2"/>
  <c r="AC763" i="2"/>
  <c r="AC762" i="2"/>
  <c r="AC761" i="2"/>
  <c r="AC760" i="2"/>
  <c r="AC759" i="2"/>
  <c r="AC758" i="2"/>
  <c r="AC757" i="2"/>
  <c r="AC756" i="2"/>
  <c r="AC755" i="2"/>
  <c r="AC754" i="2"/>
  <c r="AC753" i="2"/>
  <c r="AC752" i="2"/>
  <c r="AC751" i="2"/>
  <c r="AC750" i="2"/>
  <c r="AC749" i="2"/>
  <c r="AC748" i="2"/>
  <c r="AC747" i="2"/>
  <c r="AC746" i="2"/>
  <c r="AC745" i="2"/>
  <c r="AC744" i="2"/>
  <c r="AC743" i="2"/>
  <c r="AC742" i="2"/>
  <c r="AC741" i="2"/>
  <c r="AC740" i="2"/>
  <c r="AC739" i="2"/>
  <c r="AC738" i="2"/>
  <c r="AC737" i="2"/>
  <c r="AC736" i="2"/>
  <c r="AC735" i="2"/>
  <c r="AC734" i="2"/>
  <c r="AC733" i="2"/>
  <c r="AC732" i="2"/>
  <c r="AC731" i="2"/>
  <c r="AC730" i="2"/>
  <c r="AC729" i="2"/>
  <c r="AC728" i="2"/>
  <c r="AC727" i="2"/>
  <c r="AC726" i="2"/>
  <c r="AC725" i="2"/>
  <c r="AC724" i="2"/>
  <c r="AC723" i="2"/>
  <c r="AC722" i="2"/>
  <c r="AC721" i="2"/>
  <c r="AC720" i="2"/>
  <c r="AC719" i="2"/>
  <c r="AC718" i="2"/>
  <c r="AC717" i="2"/>
  <c r="AC716" i="2"/>
  <c r="AC715" i="2"/>
  <c r="AC714" i="2"/>
  <c r="AC713" i="2"/>
  <c r="AC712" i="2"/>
  <c r="AC711" i="2"/>
  <c r="AC710" i="2"/>
  <c r="AC709" i="2"/>
  <c r="AC708" i="2"/>
  <c r="AC707" i="2"/>
  <c r="AC706" i="2"/>
  <c r="AC705" i="2"/>
  <c r="AC704" i="2"/>
  <c r="AC703" i="2"/>
  <c r="AC702" i="2"/>
  <c r="AC701" i="2"/>
  <c r="AC700" i="2"/>
  <c r="AC699" i="2"/>
  <c r="AC698" i="2"/>
  <c r="AC697" i="2"/>
  <c r="AC696" i="2"/>
  <c r="AC695" i="2"/>
  <c r="AC694" i="2"/>
  <c r="AC693" i="2"/>
  <c r="AC692" i="2"/>
  <c r="AC691" i="2"/>
  <c r="AC690" i="2"/>
  <c r="AC689" i="2"/>
  <c r="AC688" i="2"/>
  <c r="AC687" i="2"/>
  <c r="AC686" i="2"/>
  <c r="AC685" i="2"/>
  <c r="AC684" i="2"/>
  <c r="AC683" i="2"/>
  <c r="AC682" i="2"/>
  <c r="AC681" i="2"/>
  <c r="AC680" i="2"/>
  <c r="AC679" i="2"/>
  <c r="AC678" i="2"/>
  <c r="AC677" i="2"/>
  <c r="AC676" i="2"/>
  <c r="AC675" i="2"/>
  <c r="AC674" i="2"/>
  <c r="AC673" i="2"/>
  <c r="AC672" i="2"/>
  <c r="AC671" i="2"/>
  <c r="AC670" i="2"/>
  <c r="AC669" i="2"/>
  <c r="AC668" i="2"/>
  <c r="AC667" i="2"/>
  <c r="AC666" i="2"/>
  <c r="AC665" i="2"/>
  <c r="AC664" i="2"/>
  <c r="AC663" i="2"/>
  <c r="AC662" i="2"/>
  <c r="AC661" i="2"/>
  <c r="AC660" i="2"/>
  <c r="AC659" i="2"/>
  <c r="AC658" i="2"/>
  <c r="AC657" i="2"/>
  <c r="AC656" i="2"/>
  <c r="AC655" i="2"/>
  <c r="AC654" i="2"/>
  <c r="AC653" i="2"/>
  <c r="AC652" i="2"/>
  <c r="AC651" i="2"/>
  <c r="AC650" i="2"/>
  <c r="AC649" i="2"/>
  <c r="AC648" i="2"/>
  <c r="AC647" i="2"/>
  <c r="AC646" i="2"/>
  <c r="AC645" i="2"/>
  <c r="AC644" i="2"/>
  <c r="AC643" i="2"/>
  <c r="AC642" i="2"/>
  <c r="AC641" i="2"/>
  <c r="AC640" i="2"/>
  <c r="AC639" i="2"/>
  <c r="AC638" i="2"/>
  <c r="AC637" i="2"/>
  <c r="AC636" i="2"/>
  <c r="AC635" i="2"/>
  <c r="AC634" i="2"/>
  <c r="AC633" i="2"/>
  <c r="AC632" i="2"/>
  <c r="AC631" i="2"/>
  <c r="AC630" i="2"/>
  <c r="AC629" i="2"/>
  <c r="AC628" i="2"/>
  <c r="AC627" i="2"/>
  <c r="AC626" i="2"/>
  <c r="AC625" i="2"/>
  <c r="AC624" i="2"/>
  <c r="AC623" i="2"/>
  <c r="AC622" i="2"/>
  <c r="AC621" i="2"/>
  <c r="AC620" i="2"/>
  <c r="AC619" i="2"/>
  <c r="AC618" i="2"/>
  <c r="AC617" i="2"/>
  <c r="AC616" i="2"/>
  <c r="AC615" i="2"/>
  <c r="AC614" i="2"/>
  <c r="AC613" i="2"/>
  <c r="AC612" i="2"/>
  <c r="AC611" i="2"/>
  <c r="AC610" i="2"/>
  <c r="AC609" i="2"/>
  <c r="AC608" i="2"/>
  <c r="AC607" i="2"/>
  <c r="AC606" i="2"/>
  <c r="AC605" i="2"/>
  <c r="AC604" i="2"/>
  <c r="AC603" i="2"/>
  <c r="AC602" i="2"/>
  <c r="AC601" i="2"/>
  <c r="AC600" i="2"/>
  <c r="AC599" i="2"/>
  <c r="AC598" i="2"/>
  <c r="AC597" i="2"/>
  <c r="AC596" i="2"/>
  <c r="AC595" i="2"/>
  <c r="AC594" i="2"/>
  <c r="AC593" i="2"/>
  <c r="AC592" i="2"/>
  <c r="AC591" i="2"/>
  <c r="AC590" i="2"/>
  <c r="AC589" i="2"/>
  <c r="AC588" i="2"/>
  <c r="AC587" i="2"/>
  <c r="AC586" i="2"/>
  <c r="AC585" i="2"/>
  <c r="AC584" i="2"/>
  <c r="AC583" i="2"/>
  <c r="AC582" i="2"/>
  <c r="AC581" i="2"/>
  <c r="AC580" i="2"/>
  <c r="AC579" i="2"/>
  <c r="AC578" i="2"/>
  <c r="AC577" i="2"/>
  <c r="AC576" i="2"/>
  <c r="AC575" i="2"/>
  <c r="AC574" i="2"/>
  <c r="AC573" i="2"/>
  <c r="AC572" i="2"/>
  <c r="AC571" i="2"/>
  <c r="AC570" i="2"/>
  <c r="AC569" i="2"/>
  <c r="AC568" i="2"/>
  <c r="AC567" i="2"/>
  <c r="AC566" i="2"/>
  <c r="AC565" i="2"/>
  <c r="AC564" i="2"/>
  <c r="AC563" i="2"/>
  <c r="AC562" i="2"/>
  <c r="AC561" i="2"/>
  <c r="AC560" i="2"/>
  <c r="AC559" i="2"/>
  <c r="AC558" i="2"/>
  <c r="AC557" i="2"/>
  <c r="AC556" i="2"/>
  <c r="AC555" i="2"/>
  <c r="AC554" i="2"/>
  <c r="AC553" i="2"/>
  <c r="AC552" i="2"/>
  <c r="AC551" i="2"/>
  <c r="AC550" i="2"/>
  <c r="AC549" i="2"/>
  <c r="AC548" i="2"/>
  <c r="AC547" i="2"/>
  <c r="AC546" i="2"/>
  <c r="AC545" i="2"/>
  <c r="AC544" i="2"/>
  <c r="AC543" i="2"/>
  <c r="AC542" i="2"/>
  <c r="AC541" i="2"/>
  <c r="AC540" i="2"/>
  <c r="AC539" i="2"/>
  <c r="AC538" i="2"/>
  <c r="AC537" i="2"/>
  <c r="AC536" i="2"/>
  <c r="AC535" i="2"/>
  <c r="AC534" i="2"/>
  <c r="AC533" i="2"/>
  <c r="AC532" i="2"/>
  <c r="AC531" i="2"/>
  <c r="AC530" i="2"/>
  <c r="AC529" i="2"/>
  <c r="AC528" i="2"/>
  <c r="AC527" i="2"/>
  <c r="AC526" i="2"/>
  <c r="AC525" i="2"/>
  <c r="AC524" i="2"/>
  <c r="AC523" i="2"/>
  <c r="AC522" i="2"/>
  <c r="AC521" i="2"/>
  <c r="AC520" i="2"/>
  <c r="AC519" i="2"/>
  <c r="AC518" i="2"/>
  <c r="AC517" i="2"/>
  <c r="AC516" i="2"/>
  <c r="AC515" i="2"/>
  <c r="AC514" i="2"/>
  <c r="AC513" i="2"/>
  <c r="AC512" i="2"/>
  <c r="AC511" i="2"/>
  <c r="AC510" i="2"/>
  <c r="AC509" i="2"/>
  <c r="AC508" i="2"/>
  <c r="AC507" i="2"/>
  <c r="AC506" i="2"/>
  <c r="AC505" i="2"/>
  <c r="AC504" i="2"/>
  <c r="AC503" i="2"/>
  <c r="AC502" i="2"/>
  <c r="AC501" i="2"/>
  <c r="AC500" i="2"/>
  <c r="AC499" i="2"/>
  <c r="AC498" i="2"/>
  <c r="AC497" i="2"/>
  <c r="AC496" i="2"/>
  <c r="AC495" i="2"/>
  <c r="AC494" i="2"/>
  <c r="AC493" i="2"/>
  <c r="AC492" i="2"/>
  <c r="AC491" i="2"/>
  <c r="AC490" i="2"/>
  <c r="AC489" i="2"/>
  <c r="AC488" i="2"/>
  <c r="AC487" i="2"/>
  <c r="AC486" i="2"/>
  <c r="AC485" i="2"/>
  <c r="AC484" i="2"/>
  <c r="AC483" i="2"/>
  <c r="AC482" i="2"/>
  <c r="AC481" i="2"/>
  <c r="AC480" i="2"/>
  <c r="AC479" i="2"/>
  <c r="AC478" i="2"/>
  <c r="AC477" i="2"/>
  <c r="AC476" i="2"/>
  <c r="AC475" i="2"/>
  <c r="AC474" i="2"/>
  <c r="AC473" i="2"/>
  <c r="AC472" i="2"/>
  <c r="AC471" i="2"/>
  <c r="AC470" i="2"/>
  <c r="AC469" i="2"/>
  <c r="AC468" i="2"/>
  <c r="AC467" i="2"/>
  <c r="AC466" i="2"/>
  <c r="AC465" i="2"/>
  <c r="AC464" i="2"/>
  <c r="AC463" i="2"/>
  <c r="AC462" i="2"/>
  <c r="AC461" i="2"/>
  <c r="AC460" i="2"/>
  <c r="AC459" i="2"/>
  <c r="AC458" i="2"/>
  <c r="AC457" i="2"/>
  <c r="AC456" i="2"/>
  <c r="AC455" i="2"/>
  <c r="AC454" i="2"/>
  <c r="AC453" i="2"/>
  <c r="AC452" i="2"/>
  <c r="AC451" i="2"/>
  <c r="AC450" i="2"/>
  <c r="AC449" i="2"/>
  <c r="AC448" i="2"/>
  <c r="AC447" i="2"/>
  <c r="AC446" i="2"/>
  <c r="AC445" i="2"/>
  <c r="AC444" i="2"/>
  <c r="AC443" i="2"/>
  <c r="AC442" i="2"/>
  <c r="AC441" i="2"/>
  <c r="AC440" i="2"/>
  <c r="AC439" i="2"/>
  <c r="AC438" i="2"/>
  <c r="AC437" i="2"/>
  <c r="AC436" i="2"/>
  <c r="AC435" i="2"/>
  <c r="AC434" i="2"/>
  <c r="AC433" i="2"/>
  <c r="AC432" i="2"/>
  <c r="AC431" i="2"/>
  <c r="AC430" i="2"/>
  <c r="AC429" i="2"/>
  <c r="AC428" i="2"/>
  <c r="AC427" i="2"/>
  <c r="AC426" i="2"/>
  <c r="AC425" i="2"/>
  <c r="AC424" i="2"/>
  <c r="AC423" i="2"/>
  <c r="AC422" i="2"/>
  <c r="AC421" i="2"/>
  <c r="AC420" i="2"/>
  <c r="AC419" i="2"/>
  <c r="AC418" i="2"/>
  <c r="AC417" i="2"/>
  <c r="AC416" i="2"/>
  <c r="AC415" i="2"/>
  <c r="AC414" i="2"/>
  <c r="AC413" i="2"/>
  <c r="AC412" i="2"/>
  <c r="AC411" i="2"/>
  <c r="AC410" i="2"/>
  <c r="AC409" i="2"/>
  <c r="AC408" i="2"/>
  <c r="AC407" i="2"/>
  <c r="AC406" i="2"/>
  <c r="AC405" i="2"/>
  <c r="AC404" i="2"/>
  <c r="AC403" i="2"/>
  <c r="AC402" i="2"/>
  <c r="AC401" i="2"/>
  <c r="AC400" i="2"/>
  <c r="AC399" i="2"/>
  <c r="AC398" i="2"/>
  <c r="AC397" i="2"/>
  <c r="AC396" i="2"/>
  <c r="AC395" i="2"/>
  <c r="AC394" i="2"/>
  <c r="AC393" i="2"/>
  <c r="AC392" i="2"/>
  <c r="AC391" i="2"/>
  <c r="AC390" i="2"/>
  <c r="AC389" i="2"/>
  <c r="AC388" i="2"/>
  <c r="AC387" i="2"/>
  <c r="AC386" i="2"/>
  <c r="AC385" i="2"/>
  <c r="AC384" i="2"/>
  <c r="AC383" i="2"/>
  <c r="AC382" i="2"/>
  <c r="AC381" i="2"/>
  <c r="AC380" i="2"/>
  <c r="AC379" i="2"/>
  <c r="AC378" i="2"/>
  <c r="AC377" i="2"/>
  <c r="AC376" i="2"/>
  <c r="AC375" i="2"/>
  <c r="AC374" i="2"/>
  <c r="AC373" i="2"/>
  <c r="AC372" i="2"/>
  <c r="AC371" i="2"/>
  <c r="AC370" i="2"/>
  <c r="AC369" i="2"/>
  <c r="AC368" i="2"/>
  <c r="AC367" i="2"/>
  <c r="AC366" i="2"/>
  <c r="AC365" i="2"/>
  <c r="AC364" i="2"/>
  <c r="AC363" i="2"/>
  <c r="AC362" i="2"/>
  <c r="AC361" i="2"/>
  <c r="AC360" i="2"/>
  <c r="AC359" i="2"/>
  <c r="AC358" i="2"/>
  <c r="AC357" i="2"/>
  <c r="AC356" i="2"/>
  <c r="AC355" i="2"/>
  <c r="AC354" i="2"/>
  <c r="AC353" i="2"/>
  <c r="AC352" i="2"/>
  <c r="AC351" i="2"/>
  <c r="AC350" i="2"/>
  <c r="AC349" i="2"/>
  <c r="AC348" i="2"/>
  <c r="AC347" i="2"/>
  <c r="AC346" i="2"/>
  <c r="AC345" i="2"/>
  <c r="AC344" i="2"/>
  <c r="AC343" i="2"/>
  <c r="AC342" i="2"/>
  <c r="AC341" i="2"/>
  <c r="AC340" i="2"/>
  <c r="AC339" i="2"/>
  <c r="AC338" i="2"/>
  <c r="AC337" i="2"/>
  <c r="AC336" i="2"/>
  <c r="AC335" i="2"/>
  <c r="AC334" i="2"/>
  <c r="AC333" i="2"/>
  <c r="AC332" i="2"/>
  <c r="AC331" i="2"/>
  <c r="AC330" i="2"/>
  <c r="AC329" i="2"/>
  <c r="AC328" i="2"/>
  <c r="AC327" i="2"/>
  <c r="AC326" i="2"/>
  <c r="AC325" i="2"/>
  <c r="AC324" i="2"/>
  <c r="AC323" i="2"/>
  <c r="AC322" i="2"/>
  <c r="AC321" i="2"/>
  <c r="AC320" i="2"/>
  <c r="AC319" i="2"/>
  <c r="AC318" i="2"/>
  <c r="AC317" i="2"/>
  <c r="AC316" i="2"/>
  <c r="AC315" i="2"/>
  <c r="AC314" i="2"/>
  <c r="AC313" i="2"/>
  <c r="AC312" i="2"/>
  <c r="AC311" i="2"/>
  <c r="AC310" i="2"/>
  <c r="AC309" i="2"/>
  <c r="AC308" i="2"/>
  <c r="AC307" i="2"/>
  <c r="AC306" i="2"/>
  <c r="AC305" i="2"/>
  <c r="AC304" i="2"/>
  <c r="AC303" i="2"/>
  <c r="AC302" i="2"/>
  <c r="AC301" i="2"/>
  <c r="AC300" i="2"/>
  <c r="AC299" i="2"/>
  <c r="AC298" i="2"/>
  <c r="AC297" i="2"/>
  <c r="AC296" i="2"/>
  <c r="AC295" i="2"/>
  <c r="AC294" i="2"/>
  <c r="AC293" i="2"/>
  <c r="AC292" i="2"/>
  <c r="AC291" i="2"/>
  <c r="AC290" i="2"/>
  <c r="AC289" i="2"/>
  <c r="AC288" i="2"/>
  <c r="AC287" i="2"/>
  <c r="AC286" i="2"/>
  <c r="AC285" i="2"/>
  <c r="AC284" i="2"/>
  <c r="AC283" i="2"/>
  <c r="AC282" i="2"/>
  <c r="AC281" i="2"/>
  <c r="AC280" i="2"/>
  <c r="AC279" i="2"/>
  <c r="AC278" i="2"/>
  <c r="AC277" i="2"/>
  <c r="AC276" i="2"/>
  <c r="AC275" i="2"/>
  <c r="AC274" i="2"/>
  <c r="AC273" i="2"/>
  <c r="AC272" i="2"/>
  <c r="AC271" i="2"/>
  <c r="AC270" i="2"/>
  <c r="AC269" i="2"/>
  <c r="AC268" i="2"/>
  <c r="AC267" i="2"/>
  <c r="AC266" i="2"/>
  <c r="AC265" i="2"/>
  <c r="AC264" i="2"/>
  <c r="AC263" i="2"/>
  <c r="AC262" i="2"/>
  <c r="AC261" i="2"/>
  <c r="AC260" i="2"/>
  <c r="AC259" i="2"/>
  <c r="AC258" i="2"/>
  <c r="AC257" i="2"/>
  <c r="AC256" i="2"/>
  <c r="AC255" i="2"/>
  <c r="AC254" i="2"/>
  <c r="AC253" i="2"/>
  <c r="AC252" i="2"/>
  <c r="AC251" i="2"/>
  <c r="AC250" i="2"/>
  <c r="AC249" i="2"/>
  <c r="AC248" i="2"/>
  <c r="AC247" i="2"/>
  <c r="AC246" i="2"/>
  <c r="AC245" i="2"/>
  <c r="AC244" i="2"/>
  <c r="AC243" i="2"/>
  <c r="AC242" i="2"/>
  <c r="AC241" i="2"/>
  <c r="AC240" i="2"/>
  <c r="AC239" i="2"/>
  <c r="AC238" i="2"/>
  <c r="AC237" i="2"/>
  <c r="AC236" i="2"/>
  <c r="AC235" i="2"/>
  <c r="AC234" i="2"/>
  <c r="AC233" i="2"/>
  <c r="AC232" i="2"/>
  <c r="AC231" i="2"/>
  <c r="AC230" i="2"/>
  <c r="AC229" i="2"/>
  <c r="AC228" i="2"/>
  <c r="AC227" i="2"/>
  <c r="AC226" i="2"/>
  <c r="AC225" i="2"/>
  <c r="AC224" i="2"/>
  <c r="AC223" i="2"/>
  <c r="AC222" i="2"/>
  <c r="AC221" i="2"/>
  <c r="AC220" i="2"/>
  <c r="AC219" i="2"/>
  <c r="AC218" i="2"/>
  <c r="AC217" i="2"/>
  <c r="AC216" i="2"/>
  <c r="AC215" i="2"/>
  <c r="AC214" i="2"/>
  <c r="AC213" i="2"/>
  <c r="AC212" i="2"/>
  <c r="AC211" i="2"/>
  <c r="AC210" i="2"/>
  <c r="AC209" i="2"/>
  <c r="AC208" i="2"/>
  <c r="AC207" i="2"/>
  <c r="AC206" i="2"/>
  <c r="AC205" i="2"/>
  <c r="AC204" i="2"/>
  <c r="AC203" i="2"/>
  <c r="AC202" i="2"/>
  <c r="AC201" i="2"/>
  <c r="AC200" i="2"/>
  <c r="AC199" i="2"/>
  <c r="AC198" i="2"/>
  <c r="AC197" i="2"/>
  <c r="AC196" i="2"/>
  <c r="AC195" i="2"/>
  <c r="AC194" i="2"/>
  <c r="AC193" i="2"/>
  <c r="AC192" i="2"/>
  <c r="AC191" i="2"/>
  <c r="AC190" i="2"/>
  <c r="AC189" i="2"/>
  <c r="AC188" i="2"/>
  <c r="AC187" i="2"/>
  <c r="AC186" i="2"/>
  <c r="AC185" i="2"/>
  <c r="AC184" i="2"/>
  <c r="AC183" i="2"/>
  <c r="AC182" i="2"/>
  <c r="AC181" i="2"/>
  <c r="AC180" i="2"/>
  <c r="AC179" i="2"/>
  <c r="AC178" i="2"/>
  <c r="AC177" i="2"/>
  <c r="AC176" i="2"/>
  <c r="AC175" i="2"/>
  <c r="AC174" i="2"/>
  <c r="AC173" i="2"/>
  <c r="AC172" i="2"/>
  <c r="AC171" i="2"/>
  <c r="AC170" i="2"/>
  <c r="AC169" i="2"/>
  <c r="AC168" i="2"/>
  <c r="AC167" i="2"/>
  <c r="AC166" i="2"/>
  <c r="AC165" i="2"/>
  <c r="AC164" i="2"/>
  <c r="AC163" i="2"/>
  <c r="AC162" i="2"/>
  <c r="AC161" i="2"/>
  <c r="AC160" i="2"/>
  <c r="AC159" i="2"/>
  <c r="AC158" i="2"/>
  <c r="AC157" i="2"/>
  <c r="AC156" i="2"/>
  <c r="AC155" i="2"/>
  <c r="AC154" i="2"/>
  <c r="AC153" i="2"/>
  <c r="AC152" i="2"/>
  <c r="AC151" i="2"/>
  <c r="AC150" i="2"/>
  <c r="AC149" i="2"/>
  <c r="AC148" i="2"/>
  <c r="AC147" i="2"/>
  <c r="AC146" i="2"/>
  <c r="AC145" i="2"/>
  <c r="AC144" i="2"/>
  <c r="AC143" i="2"/>
  <c r="AC142" i="2"/>
  <c r="AC141" i="2"/>
  <c r="AC140" i="2"/>
  <c r="AC139" i="2"/>
  <c r="AC138" i="2"/>
  <c r="AC137" i="2"/>
  <c r="AC136" i="2"/>
  <c r="AC135" i="2"/>
  <c r="AC134" i="2"/>
  <c r="AC133" i="2"/>
  <c r="AC132" i="2"/>
  <c r="AC131" i="2"/>
  <c r="AC130" i="2"/>
  <c r="AC129" i="2"/>
  <c r="AC128" i="2"/>
  <c r="AC127" i="2"/>
  <c r="AC126" i="2"/>
  <c r="AC125" i="2"/>
  <c r="AC124" i="2"/>
  <c r="AC123" i="2"/>
  <c r="AC122" i="2"/>
  <c r="AC121" i="2"/>
  <c r="AC120" i="2"/>
  <c r="AC119" i="2"/>
  <c r="AC118" i="2"/>
  <c r="AC117" i="2"/>
  <c r="AC116" i="2"/>
  <c r="AC115" i="2"/>
  <c r="AC114" i="2"/>
  <c r="AC113" i="2"/>
  <c r="AC112" i="2"/>
  <c r="AC111" i="2"/>
  <c r="AC110" i="2"/>
  <c r="AC109" i="2"/>
  <c r="AC108" i="2"/>
  <c r="AC107" i="2"/>
  <c r="AC106" i="2"/>
  <c r="AC105" i="2"/>
  <c r="AC104" i="2"/>
  <c r="AC103" i="2"/>
  <c r="AC102" i="2"/>
  <c r="AC101" i="2"/>
  <c r="AC100" i="2"/>
  <c r="AC99" i="2"/>
  <c r="AC98" i="2"/>
  <c r="AC97" i="2"/>
  <c r="AC96" i="2"/>
  <c r="AC95" i="2"/>
  <c r="AC94" i="2"/>
  <c r="AC93" i="2"/>
  <c r="AC92" i="2"/>
  <c r="AC91" i="2"/>
  <c r="AC90" i="2"/>
  <c r="AC89" i="2"/>
  <c r="AC88" i="2"/>
  <c r="AC87" i="2"/>
  <c r="AC86" i="2"/>
  <c r="AC85" i="2"/>
  <c r="AC84" i="2"/>
  <c r="AC83" i="2"/>
  <c r="AC82" i="2"/>
  <c r="AC81" i="2"/>
  <c r="AC80" i="2"/>
  <c r="AC79" i="2"/>
  <c r="AC78" i="2"/>
  <c r="AC77" i="2"/>
  <c r="AC76" i="2"/>
  <c r="AC75" i="2"/>
  <c r="AC74" i="2"/>
  <c r="AC73" i="2"/>
  <c r="AC72" i="2"/>
  <c r="AC71" i="2"/>
  <c r="AC70" i="2"/>
  <c r="AC69" i="2"/>
  <c r="AC68" i="2"/>
  <c r="AC67" i="2"/>
  <c r="AC66" i="2"/>
  <c r="AC65" i="2"/>
  <c r="AC64" i="2"/>
  <c r="AC63" i="2"/>
  <c r="AC62" i="2"/>
  <c r="AC61" i="2"/>
  <c r="AC60" i="2"/>
  <c r="AC59" i="2"/>
  <c r="AC58" i="2"/>
  <c r="AC57" i="2"/>
  <c r="AC56" i="2"/>
  <c r="AC55" i="2"/>
  <c r="AC54" i="2"/>
  <c r="AC53" i="2"/>
  <c r="AC52" i="2"/>
  <c r="AC51" i="2"/>
  <c r="AC50" i="2"/>
  <c r="AC49" i="2"/>
  <c r="AC48" i="2"/>
  <c r="AC47" i="2"/>
  <c r="AC46" i="2"/>
  <c r="AC45" i="2"/>
  <c r="AC44" i="2"/>
  <c r="AC43" i="2"/>
  <c r="AC42" i="2"/>
  <c r="AC41" i="2"/>
  <c r="AC40" i="2"/>
  <c r="AC39" i="2"/>
  <c r="AC38" i="2"/>
  <c r="AC37" i="2"/>
  <c r="AC36" i="2"/>
  <c r="AC35" i="2"/>
  <c r="AC34" i="2"/>
  <c r="AC33" i="2"/>
  <c r="AC32" i="2"/>
  <c r="AC31" i="2"/>
  <c r="AC30" i="2"/>
  <c r="AC29" i="2"/>
  <c r="AC28" i="2"/>
  <c r="AC27" i="2"/>
  <c r="AC26" i="2"/>
  <c r="AC25" i="2"/>
  <c r="AC24" i="2"/>
  <c r="AC23" i="2"/>
  <c r="AC22" i="2"/>
  <c r="AC21" i="2"/>
  <c r="AC20" i="2"/>
  <c r="AC19" i="2"/>
  <c r="AC18" i="2"/>
  <c r="AC17" i="2"/>
  <c r="AC16" i="2"/>
  <c r="AC15" i="2"/>
  <c r="AC14" i="2"/>
  <c r="AC13" i="2"/>
  <c r="AC12" i="2"/>
  <c r="AC11" i="2"/>
  <c r="AC10" i="2"/>
  <c r="AC9" i="2"/>
  <c r="AC7" i="2"/>
  <c r="AC6" i="2"/>
  <c r="AC5" i="2"/>
  <c r="AC4" i="2"/>
  <c r="AC3" i="2"/>
  <c r="AC2" i="2"/>
  <c r="AC1001" i="2"/>
  <c r="X1001" i="2"/>
  <c r="X1000" i="2"/>
  <c r="X999" i="2"/>
  <c r="X998" i="2"/>
  <c r="X997" i="2"/>
  <c r="X996" i="2"/>
  <c r="X995" i="2"/>
  <c r="X994" i="2"/>
  <c r="X993" i="2"/>
  <c r="AA993" i="2" s="1" a="1"/>
  <c r="AA993" i="2" s="1"/>
  <c r="X992" i="2"/>
  <c r="X991" i="2"/>
  <c r="X990" i="2"/>
  <c r="X989" i="2"/>
  <c r="X988" i="2"/>
  <c r="X987" i="2"/>
  <c r="X986" i="2"/>
  <c r="AA986" i="2" s="1" a="1"/>
  <c r="AA986" i="2" s="1"/>
  <c r="X985" i="2"/>
  <c r="X984" i="2"/>
  <c r="X982" i="2"/>
  <c r="X981" i="2"/>
  <c r="X980" i="2"/>
  <c r="X979" i="2"/>
  <c r="AA979" i="2" s="1" a="1"/>
  <c r="AA979" i="2" s="1"/>
  <c r="X978" i="2"/>
  <c r="X977" i="2"/>
  <c r="X976" i="2"/>
  <c r="X975" i="2"/>
  <c r="X974" i="2"/>
  <c r="X973" i="2"/>
  <c r="X972" i="2"/>
  <c r="X971" i="2"/>
  <c r="AA971" i="2" s="1" a="1"/>
  <c r="AA971" i="2" s="1"/>
  <c r="X970" i="2"/>
  <c r="X969" i="2"/>
  <c r="X968" i="2"/>
  <c r="X967" i="2"/>
  <c r="X966" i="2"/>
  <c r="X965" i="2"/>
  <c r="X964" i="2"/>
  <c r="X963" i="2"/>
  <c r="X962" i="2"/>
  <c r="X961" i="2"/>
  <c r="X960" i="2"/>
  <c r="X959" i="2"/>
  <c r="AA959" i="2" s="1" a="1"/>
  <c r="AA959" i="2" s="1"/>
  <c r="X958" i="2"/>
  <c r="AA958" i="2" s="1" a="1"/>
  <c r="AA958" i="2" s="1"/>
  <c r="X957" i="2"/>
  <c r="X956" i="2"/>
  <c r="X955" i="2"/>
  <c r="X954" i="2"/>
  <c r="X953" i="2"/>
  <c r="X952" i="2"/>
  <c r="X951" i="2"/>
  <c r="X950" i="2"/>
  <c r="X949" i="2"/>
  <c r="X948" i="2"/>
  <c r="X947" i="2"/>
  <c r="X946" i="2"/>
  <c r="X945" i="2"/>
  <c r="X944" i="2"/>
  <c r="X943" i="2"/>
  <c r="AA943" i="2" s="1" a="1"/>
  <c r="AA943" i="2" s="1"/>
  <c r="X942" i="2"/>
  <c r="X941" i="2"/>
  <c r="X940" i="2"/>
  <c r="X939" i="2"/>
  <c r="X938" i="2"/>
  <c r="X937" i="2"/>
  <c r="X935" i="2"/>
  <c r="X934" i="2"/>
  <c r="X933" i="2"/>
  <c r="X932" i="2"/>
  <c r="X931" i="2"/>
  <c r="AA931" i="2" s="1" a="1"/>
  <c r="AA931" i="2" s="1"/>
  <c r="X930" i="2"/>
  <c r="X929" i="2"/>
  <c r="AA929" i="2" s="1" a="1"/>
  <c r="AA929" i="2" s="1"/>
  <c r="X928" i="2"/>
  <c r="X927" i="2"/>
  <c r="X926" i="2"/>
  <c r="X925" i="2"/>
  <c r="X924" i="2"/>
  <c r="X923" i="2"/>
  <c r="AA923" i="2" s="1" a="1"/>
  <c r="AA923" i="2" s="1"/>
  <c r="X922" i="2"/>
  <c r="AA922" i="2" s="1" a="1"/>
  <c r="AA922" i="2" s="1"/>
  <c r="X921" i="2"/>
  <c r="X920" i="2"/>
  <c r="X919" i="2"/>
  <c r="X918" i="2"/>
  <c r="X917" i="2"/>
  <c r="X916" i="2"/>
  <c r="X915" i="2"/>
  <c r="Z915" i="2" s="1"/>
  <c r="X914" i="2"/>
  <c r="X913" i="2"/>
  <c r="X912" i="2"/>
  <c r="X911" i="2"/>
  <c r="X910" i="2"/>
  <c r="AA910" i="2" s="1" a="1"/>
  <c r="AA910" i="2" s="1"/>
  <c r="X909" i="2"/>
  <c r="X908" i="2"/>
  <c r="X907" i="2"/>
  <c r="AA907" i="2" s="1" a="1"/>
  <c r="AA907" i="2" s="1"/>
  <c r="X906" i="2"/>
  <c r="X905" i="2"/>
  <c r="X904" i="2"/>
  <c r="X903" i="2"/>
  <c r="X902" i="2"/>
  <c r="AA902" i="2" s="1" a="1"/>
  <c r="AA902" i="2" s="1"/>
  <c r="X901" i="2"/>
  <c r="AA901" i="2" s="1" a="1"/>
  <c r="AA901" i="2" s="1"/>
  <c r="X900" i="2"/>
  <c r="X899" i="2"/>
  <c r="X898" i="2"/>
  <c r="X897" i="2"/>
  <c r="X896" i="2"/>
  <c r="X895" i="2"/>
  <c r="AA895" i="2" s="1" a="1"/>
  <c r="AA895" i="2" s="1"/>
  <c r="X894" i="2"/>
  <c r="AA894" i="2" s="1" a="1"/>
  <c r="AA894" i="2" s="1"/>
  <c r="X893" i="2"/>
  <c r="X892" i="2"/>
  <c r="X891" i="2"/>
  <c r="X890" i="2"/>
  <c r="X889" i="2"/>
  <c r="X888" i="2"/>
  <c r="X887" i="2"/>
  <c r="X886" i="2"/>
  <c r="AA886" i="2" s="1" a="1"/>
  <c r="AA886" i="2" s="1"/>
  <c r="X885" i="2"/>
  <c r="X884" i="2"/>
  <c r="X883" i="2"/>
  <c r="X882" i="2"/>
  <c r="X881" i="2"/>
  <c r="X880" i="2"/>
  <c r="X879" i="2"/>
  <c r="AA879" i="2" s="1" a="1"/>
  <c r="AA879" i="2" s="1"/>
  <c r="X878" i="2"/>
  <c r="X877" i="2"/>
  <c r="X876" i="2"/>
  <c r="X875" i="2"/>
  <c r="X874" i="2"/>
  <c r="AA874" i="2" s="1" a="1"/>
  <c r="AA874" i="2" s="1"/>
  <c r="X873" i="2"/>
  <c r="AA873" i="2" s="1" a="1"/>
  <c r="AA873" i="2" s="1"/>
  <c r="X872" i="2"/>
  <c r="X871" i="2"/>
  <c r="X870" i="2"/>
  <c r="X869" i="2"/>
  <c r="X868" i="2"/>
  <c r="X867" i="2"/>
  <c r="AA867" i="2" s="1" a="1"/>
  <c r="AA867" i="2" s="1"/>
  <c r="X866" i="2"/>
  <c r="X865" i="2"/>
  <c r="X864" i="2"/>
  <c r="X863" i="2"/>
  <c r="X862" i="2"/>
  <c r="X861" i="2"/>
  <c r="X860" i="2"/>
  <c r="X859" i="2"/>
  <c r="AA859" i="2" s="1" a="1"/>
  <c r="AA859" i="2" s="1"/>
  <c r="X858" i="2"/>
  <c r="AA858" i="2" s="1" a="1"/>
  <c r="AA858" i="2" s="1"/>
  <c r="X857" i="2"/>
  <c r="X856" i="2"/>
  <c r="X855" i="2"/>
  <c r="X854" i="2"/>
  <c r="X853" i="2"/>
  <c r="X852" i="2"/>
  <c r="X851" i="2"/>
  <c r="AA851" i="2" s="1" a="1"/>
  <c r="AA851" i="2" s="1"/>
  <c r="X850" i="2"/>
  <c r="X849" i="2"/>
  <c r="X848" i="2"/>
  <c r="X847" i="2"/>
  <c r="X846" i="2"/>
  <c r="AA846" i="2" s="1" a="1"/>
  <c r="AA846" i="2" s="1"/>
  <c r="X845" i="2"/>
  <c r="X844" i="2"/>
  <c r="X843" i="2"/>
  <c r="AA843" i="2" s="1" a="1"/>
  <c r="AA843" i="2" s="1"/>
  <c r="X842" i="2"/>
  <c r="X841" i="2"/>
  <c r="X840" i="2"/>
  <c r="X839" i="2"/>
  <c r="X838" i="2"/>
  <c r="AA838" i="2" s="1" a="1"/>
  <c r="AA838" i="2" s="1"/>
  <c r="X837" i="2"/>
  <c r="X836" i="2"/>
  <c r="X835" i="2"/>
  <c r="X834" i="2"/>
  <c r="X833" i="2"/>
  <c r="X832" i="2"/>
  <c r="X831" i="2"/>
  <c r="AA831" i="2" s="1" a="1"/>
  <c r="AA831" i="2" s="1"/>
  <c r="X830" i="2"/>
  <c r="AA830" i="2" s="1" a="1"/>
  <c r="AA830" i="2" s="1"/>
  <c r="X829" i="2"/>
  <c r="X827" i="2"/>
  <c r="X826" i="2"/>
  <c r="X825" i="2"/>
  <c r="AA825" i="2" s="1" a="1"/>
  <c r="AA825" i="2" s="1"/>
  <c r="X824" i="2"/>
  <c r="X823" i="2"/>
  <c r="X822" i="2"/>
  <c r="AA822" i="2" s="1" a="1"/>
  <c r="AA822" i="2" s="1"/>
  <c r="X821" i="2"/>
  <c r="X820" i="2"/>
  <c r="X819" i="2"/>
  <c r="X818" i="2"/>
  <c r="X817" i="2"/>
  <c r="AA817" i="2" s="1" a="1"/>
  <c r="AA817" i="2" s="1"/>
  <c r="X816" i="2"/>
  <c r="X815" i="2"/>
  <c r="AA815" i="2" s="1" a="1"/>
  <c r="AA815" i="2" s="1"/>
  <c r="X814" i="2"/>
  <c r="X813" i="2"/>
  <c r="X812" i="2"/>
  <c r="X811" i="2"/>
  <c r="X810" i="2"/>
  <c r="AA810" i="2" s="1" a="1"/>
  <c r="AA810" i="2" s="1"/>
  <c r="X809" i="2"/>
  <c r="AA809" i="2" s="1" a="1"/>
  <c r="AA809" i="2" s="1"/>
  <c r="X808" i="2"/>
  <c r="X807" i="2"/>
  <c r="X806" i="2"/>
  <c r="X805" i="2"/>
  <c r="X804" i="2"/>
  <c r="X803" i="2"/>
  <c r="X802" i="2"/>
  <c r="X801" i="2"/>
  <c r="AA801" i="2" s="1" a="1"/>
  <c r="AA801" i="2" s="1"/>
  <c r="X800" i="2"/>
  <c r="X799" i="2"/>
  <c r="X798" i="2"/>
  <c r="X797" i="2"/>
  <c r="X796" i="2"/>
  <c r="X795" i="2"/>
  <c r="X794" i="2"/>
  <c r="AA794" i="2" s="1" a="1"/>
  <c r="AA794" i="2" s="1"/>
  <c r="X793" i="2"/>
  <c r="X792" i="2"/>
  <c r="X791" i="2"/>
  <c r="X790" i="2"/>
  <c r="X789" i="2"/>
  <c r="AA789" i="2" s="1" a="1"/>
  <c r="AA789" i="2" s="1"/>
  <c r="X788" i="2"/>
  <c r="X787" i="2"/>
  <c r="AA787" i="2" s="1" a="1"/>
  <c r="AA787" i="2" s="1"/>
  <c r="X786" i="2"/>
  <c r="X785" i="2"/>
  <c r="X784" i="2"/>
  <c r="X783" i="2"/>
  <c r="X782" i="2"/>
  <c r="AA782" i="2" s="1" a="1"/>
  <c r="AA782" i="2" s="1"/>
  <c r="X781" i="2"/>
  <c r="X780" i="2"/>
  <c r="X779" i="2"/>
  <c r="X778" i="2"/>
  <c r="X777" i="2"/>
  <c r="X776" i="2"/>
  <c r="X775" i="2"/>
  <c r="X774" i="2"/>
  <c r="AA774" i="2" s="1" a="1"/>
  <c r="AA774" i="2" s="1"/>
  <c r="X773" i="2"/>
  <c r="AA773" i="2" s="1" a="1"/>
  <c r="AA773" i="2" s="1"/>
  <c r="X772" i="2"/>
  <c r="X771" i="2"/>
  <c r="X770" i="2"/>
  <c r="X769" i="2"/>
  <c r="X768" i="2"/>
  <c r="X767" i="2"/>
  <c r="X766" i="2"/>
  <c r="AA766" i="2" s="1" a="1"/>
  <c r="AA766" i="2" s="1"/>
  <c r="X765" i="2"/>
  <c r="X764" i="2"/>
  <c r="X763" i="2"/>
  <c r="X762" i="2"/>
  <c r="X761" i="2"/>
  <c r="AA761" i="2" s="1" a="1"/>
  <c r="AA761" i="2" s="1"/>
  <c r="X760" i="2"/>
  <c r="X759" i="2"/>
  <c r="X758" i="2"/>
  <c r="AA758" i="2" s="1" a="1"/>
  <c r="AA758" i="2" s="1"/>
  <c r="X757" i="2"/>
  <c r="X756" i="2"/>
  <c r="X755" i="2"/>
  <c r="X754" i="2"/>
  <c r="Z754" i="2" s="1"/>
  <c r="X753" i="2"/>
  <c r="AA753" i="2" s="1" a="1"/>
  <c r="AA753" i="2" s="1"/>
  <c r="X752" i="2"/>
  <c r="X751" i="2"/>
  <c r="X750" i="2"/>
  <c r="X749" i="2"/>
  <c r="X748" i="2"/>
  <c r="X747" i="2"/>
  <c r="X746" i="2"/>
  <c r="AA746" i="2" s="1" a="1"/>
  <c r="AA746" i="2" s="1"/>
  <c r="X745" i="2"/>
  <c r="AA745" i="2" s="1" a="1"/>
  <c r="AA745" i="2" s="1"/>
  <c r="X744" i="2"/>
  <c r="X743" i="2"/>
  <c r="X742" i="2"/>
  <c r="X741" i="2"/>
  <c r="X740" i="2"/>
  <c r="X739" i="2"/>
  <c r="X738" i="2"/>
  <c r="X737" i="2"/>
  <c r="AA737" i="2" s="1" a="1"/>
  <c r="AA737" i="2" s="1"/>
  <c r="X736" i="2"/>
  <c r="X735" i="2"/>
  <c r="X734" i="2"/>
  <c r="X733" i="2"/>
  <c r="X732" i="2"/>
  <c r="X731" i="2"/>
  <c r="X729" i="2"/>
  <c r="X728" i="2"/>
  <c r="X727" i="2"/>
  <c r="X726" i="2"/>
  <c r="X725" i="2"/>
  <c r="AA725" i="2" s="1" a="1"/>
  <c r="AA725" i="2" s="1"/>
  <c r="X724" i="2"/>
  <c r="X723" i="2"/>
  <c r="X722" i="2"/>
  <c r="X721" i="2"/>
  <c r="X720" i="2"/>
  <c r="X719" i="2"/>
  <c r="X718" i="2"/>
  <c r="X717" i="2"/>
  <c r="X716" i="2"/>
  <c r="X715" i="2"/>
  <c r="AA715" i="2" s="1" a="1"/>
  <c r="AA715" i="2" s="1"/>
  <c r="X714" i="2"/>
  <c r="X713" i="2"/>
  <c r="X712" i="2"/>
  <c r="X711" i="2"/>
  <c r="X710" i="2"/>
  <c r="X709" i="2"/>
  <c r="AA709" i="2" s="1" a="1"/>
  <c r="AA709" i="2" s="1"/>
  <c r="X708" i="2"/>
  <c r="X707" i="2"/>
  <c r="X706" i="2"/>
  <c r="X705" i="2"/>
  <c r="X704" i="2"/>
  <c r="X703" i="2"/>
  <c r="X702" i="2"/>
  <c r="AA702" i="2" s="1" a="1"/>
  <c r="AA702" i="2" s="1"/>
  <c r="X701" i="2"/>
  <c r="X700" i="2"/>
  <c r="X699" i="2"/>
  <c r="X698" i="2"/>
  <c r="X697" i="2"/>
  <c r="AA697" i="2" s="1" a="1"/>
  <c r="AA697" i="2" s="1"/>
  <c r="X696" i="2"/>
  <c r="X695" i="2"/>
  <c r="X694" i="2"/>
  <c r="X693" i="2"/>
  <c r="X692" i="2"/>
  <c r="X691" i="2"/>
  <c r="X690" i="2"/>
  <c r="X689" i="2"/>
  <c r="AA689" i="2" s="1" a="1"/>
  <c r="AA689" i="2" s="1"/>
  <c r="X688" i="2"/>
  <c r="X687" i="2"/>
  <c r="AA687" i="2" s="1" a="1"/>
  <c r="AA687" i="2" s="1"/>
  <c r="X686" i="2"/>
  <c r="X685" i="2"/>
  <c r="X684" i="2"/>
  <c r="X683" i="2"/>
  <c r="X682" i="2"/>
  <c r="X681" i="2"/>
  <c r="AA681" i="2" s="1" a="1"/>
  <c r="AA681" i="2" s="1"/>
  <c r="X680" i="2"/>
  <c r="X679" i="2"/>
  <c r="X677" i="2"/>
  <c r="X676" i="2"/>
  <c r="X675" i="2"/>
  <c r="AA675" i="2" s="1" a="1"/>
  <c r="AA675" i="2" s="1"/>
  <c r="X674" i="2"/>
  <c r="X673" i="2"/>
  <c r="AA673" i="2" s="1" a="1"/>
  <c r="AA673" i="2" s="1"/>
  <c r="X672" i="2"/>
  <c r="X671" i="2"/>
  <c r="X670" i="2"/>
  <c r="X669" i="2"/>
  <c r="X668" i="2"/>
  <c r="X667" i="2"/>
  <c r="AA667" i="2" s="1" a="1"/>
  <c r="AA667" i="2" s="1"/>
  <c r="X665" i="2"/>
  <c r="X664" i="2"/>
  <c r="Z664" i="2" s="1"/>
  <c r="X663" i="2"/>
  <c r="Z663" i="2" s="1"/>
  <c r="X662" i="2"/>
  <c r="X661" i="2"/>
  <c r="AA661" i="2" s="1" a="1"/>
  <c r="AA661" i="2" s="1"/>
  <c r="X660" i="2"/>
  <c r="AA660" i="2" s="1" a="1"/>
  <c r="AA660" i="2" s="1"/>
  <c r="X659" i="2"/>
  <c r="X658" i="2"/>
  <c r="X657" i="2"/>
  <c r="X656" i="2"/>
  <c r="X655" i="2"/>
  <c r="X654" i="2"/>
  <c r="AA654" i="2" s="1" a="1"/>
  <c r="AA654" i="2" s="1"/>
  <c r="X653" i="2"/>
  <c r="X651" i="2"/>
  <c r="X650" i="2"/>
  <c r="AA650" i="2" s="1" a="1"/>
  <c r="AA650" i="2" s="1"/>
  <c r="X649" i="2"/>
  <c r="AA649" i="2" s="1" a="1"/>
  <c r="AA649" i="2" s="1"/>
  <c r="X648" i="2"/>
  <c r="X647" i="2"/>
  <c r="X646" i="2"/>
  <c r="X645" i="2"/>
  <c r="AA645" i="2" s="1" a="1"/>
  <c r="AA645" i="2" s="1"/>
  <c r="X644" i="2"/>
  <c r="X643" i="2"/>
  <c r="X642" i="2"/>
  <c r="X641" i="2"/>
  <c r="X640" i="2"/>
  <c r="AA640" i="2" s="1" a="1"/>
  <c r="AA640" i="2" s="1"/>
  <c r="X639" i="2"/>
  <c r="X638" i="2"/>
  <c r="AA638" i="2" s="1" a="1"/>
  <c r="AA638" i="2" s="1"/>
  <c r="X637" i="2"/>
  <c r="X636" i="2"/>
  <c r="X635" i="2"/>
  <c r="X634" i="2"/>
  <c r="AA634" i="2" s="1" a="1"/>
  <c r="AA634" i="2" s="1"/>
  <c r="X633" i="2"/>
  <c r="AA633" i="2" s="1" a="1"/>
  <c r="AA633" i="2" s="1"/>
  <c r="X632" i="2"/>
  <c r="X631" i="2"/>
  <c r="X630" i="2"/>
  <c r="X629" i="2"/>
  <c r="AA629" i="2" s="1" a="1"/>
  <c r="AA629" i="2" s="1"/>
  <c r="X628" i="2"/>
  <c r="AA628" i="2" s="1" a="1"/>
  <c r="AA628" i="2" s="1"/>
  <c r="X627" i="2"/>
  <c r="X626" i="2"/>
  <c r="X625" i="2"/>
  <c r="X624" i="2"/>
  <c r="X623" i="2"/>
  <c r="X622" i="2"/>
  <c r="AA622" i="2" s="1" a="1"/>
  <c r="AA622" i="2" s="1"/>
  <c r="X621" i="2"/>
  <c r="X620" i="2"/>
  <c r="X619" i="2"/>
  <c r="X618" i="2"/>
  <c r="AA618" i="2" s="1" a="1"/>
  <c r="AA618" i="2" s="1"/>
  <c r="X617" i="2"/>
  <c r="AA617" i="2" s="1" a="1"/>
  <c r="AA617" i="2" s="1"/>
  <c r="X616" i="2"/>
  <c r="X615" i="2"/>
  <c r="X614" i="2"/>
  <c r="X613" i="2"/>
  <c r="AA613" i="2" s="1" a="1"/>
  <c r="AA613" i="2" s="1"/>
  <c r="X612" i="2"/>
  <c r="X611" i="2"/>
  <c r="Z611" i="2" s="1"/>
  <c r="X610" i="2"/>
  <c r="X609" i="2"/>
  <c r="X608" i="2"/>
  <c r="AA608" i="2" s="1" a="1"/>
  <c r="AA608" i="2" s="1"/>
  <c r="X607" i="2"/>
  <c r="X606" i="2"/>
  <c r="AA606" i="2" s="1" a="1"/>
  <c r="AA606" i="2" s="1"/>
  <c r="X605" i="2"/>
  <c r="X604" i="2"/>
  <c r="X603" i="2"/>
  <c r="X602" i="2"/>
  <c r="AA602" i="2" s="1" a="1"/>
  <c r="AA602" i="2" s="1"/>
  <c r="X601" i="2"/>
  <c r="AA601" i="2" s="1" a="1"/>
  <c r="AA601" i="2" s="1"/>
  <c r="X600" i="2"/>
  <c r="X599" i="2"/>
  <c r="X598" i="2"/>
  <c r="X597" i="2"/>
  <c r="AA597" i="2" s="1" a="1"/>
  <c r="AA597" i="2" s="1"/>
  <c r="X596" i="2"/>
  <c r="AA596" i="2" s="1" a="1"/>
  <c r="AA596" i="2" s="1"/>
  <c r="X595" i="2"/>
  <c r="X594" i="2"/>
  <c r="X593" i="2"/>
  <c r="X592" i="2"/>
  <c r="X591" i="2"/>
  <c r="X590" i="2"/>
  <c r="AA590" i="2" s="1" a="1"/>
  <c r="AA590" i="2" s="1"/>
  <c r="X589" i="2"/>
  <c r="X588" i="2"/>
  <c r="X587" i="2"/>
  <c r="X586" i="2"/>
  <c r="AA586" i="2" s="1" a="1"/>
  <c r="AA586" i="2" s="1"/>
  <c r="X585" i="2"/>
  <c r="AA585" i="2" s="1" a="1"/>
  <c r="AA585" i="2" s="1"/>
  <c r="X584" i="2"/>
  <c r="X583" i="2"/>
  <c r="X582" i="2"/>
  <c r="X581" i="2"/>
  <c r="AA581" i="2" s="1" a="1"/>
  <c r="AA581" i="2" s="1"/>
  <c r="X580" i="2"/>
  <c r="X579" i="2"/>
  <c r="X578" i="2"/>
  <c r="Z578" i="2" s="1"/>
  <c r="X577" i="2"/>
  <c r="X576" i="2"/>
  <c r="AA576" i="2" s="1" a="1"/>
  <c r="AA576" i="2" s="1"/>
  <c r="X575" i="2"/>
  <c r="X574" i="2"/>
  <c r="AA574" i="2" s="1" a="1"/>
  <c r="AA574" i="2" s="1"/>
  <c r="X573" i="2"/>
  <c r="X572" i="2"/>
  <c r="X571" i="2"/>
  <c r="X570" i="2"/>
  <c r="AA570" i="2" s="1" a="1"/>
  <c r="AA570" i="2" s="1"/>
  <c r="X569" i="2"/>
  <c r="AA569" i="2" s="1" a="1"/>
  <c r="AA569" i="2" s="1"/>
  <c r="X568" i="2"/>
  <c r="X567" i="2"/>
  <c r="X566" i="2"/>
  <c r="X565" i="2"/>
  <c r="AA565" i="2" s="1" a="1"/>
  <c r="AA565" i="2" s="1"/>
  <c r="X564" i="2"/>
  <c r="AA564" i="2" s="1" a="1"/>
  <c r="AA564" i="2" s="1"/>
  <c r="X562" i="2"/>
  <c r="X561" i="2"/>
  <c r="X560" i="2"/>
  <c r="AA560" i="2" s="1" a="1"/>
  <c r="AA560" i="2" s="1"/>
  <c r="X559" i="2"/>
  <c r="X558" i="2"/>
  <c r="X557" i="2"/>
  <c r="X556" i="2"/>
  <c r="X555" i="2"/>
  <c r="X554" i="2"/>
  <c r="AA554" i="2" s="1" a="1"/>
  <c r="AA554" i="2" s="1"/>
  <c r="X553" i="2"/>
  <c r="AA553" i="2" s="1" a="1"/>
  <c r="AA553" i="2" s="1"/>
  <c r="X552" i="2"/>
  <c r="X551" i="2"/>
  <c r="X550" i="2"/>
  <c r="X549" i="2"/>
  <c r="Z549" i="2" s="1"/>
  <c r="X548" i="2"/>
  <c r="AA548" i="2" s="1" a="1"/>
  <c r="AA548" i="2" s="1"/>
  <c r="X547" i="2"/>
  <c r="X545" i="2"/>
  <c r="X544" i="2"/>
  <c r="AA544" i="2" s="1" a="1"/>
  <c r="AA544" i="2" s="1"/>
  <c r="X543" i="2"/>
  <c r="X541" i="2"/>
  <c r="X540" i="2"/>
  <c r="X539" i="2"/>
  <c r="X538" i="2"/>
  <c r="AA538" i="2" s="1" a="1"/>
  <c r="AA538" i="2" s="1"/>
  <c r="X537" i="2"/>
  <c r="X536" i="2"/>
  <c r="X535" i="2"/>
  <c r="X534" i="2"/>
  <c r="X533" i="2"/>
  <c r="AA533" i="2" s="1" a="1"/>
  <c r="AA533" i="2" s="1"/>
  <c r="X532" i="2"/>
  <c r="AA532" i="2" s="1" a="1"/>
  <c r="AA532" i="2" s="1"/>
  <c r="X531" i="2"/>
  <c r="X530" i="2"/>
  <c r="X529" i="2"/>
  <c r="X528" i="2"/>
  <c r="X527" i="2"/>
  <c r="X526" i="2"/>
  <c r="AA526" i="2" s="1" a="1"/>
  <c r="AA526" i="2" s="1"/>
  <c r="X525" i="2"/>
  <c r="X524" i="2"/>
  <c r="X523" i="2"/>
  <c r="X522" i="2"/>
  <c r="AA522" i="2" s="1" a="1"/>
  <c r="AA522" i="2" s="1"/>
  <c r="X521" i="2"/>
  <c r="AA521" i="2" s="1" a="1"/>
  <c r="AA521" i="2" s="1"/>
  <c r="X520" i="2"/>
  <c r="X519" i="2"/>
  <c r="Z519" i="2" s="1"/>
  <c r="X518" i="2"/>
  <c r="X517" i="2"/>
  <c r="X516" i="2"/>
  <c r="X515" i="2"/>
  <c r="X514" i="2"/>
  <c r="X513" i="2"/>
  <c r="X512" i="2"/>
  <c r="AA512" i="2" s="1" a="1"/>
  <c r="AA512" i="2" s="1"/>
  <c r="X511" i="2"/>
  <c r="X510" i="2"/>
  <c r="AA510" i="2" s="1" a="1"/>
  <c r="AA510" i="2" s="1"/>
  <c r="X509" i="2"/>
  <c r="X508" i="2"/>
  <c r="X507" i="2"/>
  <c r="X506" i="2"/>
  <c r="AA506" i="2" s="1" a="1"/>
  <c r="AA506" i="2" s="1"/>
  <c r="X505" i="2"/>
  <c r="X504" i="2"/>
  <c r="X503" i="2"/>
  <c r="X502" i="2"/>
  <c r="X501" i="2"/>
  <c r="AA501" i="2" s="1" a="1"/>
  <c r="AA501" i="2" s="1"/>
  <c r="X500" i="2"/>
  <c r="AA500" i="2" s="1" a="1"/>
  <c r="AA500" i="2" s="1"/>
  <c r="X499" i="2"/>
  <c r="X498" i="2"/>
  <c r="X497" i="2"/>
  <c r="X496" i="2"/>
  <c r="X495" i="2"/>
  <c r="X494" i="2"/>
  <c r="AA494" i="2" s="1" a="1"/>
  <c r="AA494" i="2" s="1"/>
  <c r="X493" i="2"/>
  <c r="X492" i="2"/>
  <c r="X491" i="2"/>
  <c r="X490" i="2"/>
  <c r="AA490" i="2" s="1" a="1"/>
  <c r="AA490" i="2" s="1"/>
  <c r="X489" i="2"/>
  <c r="AA489" i="2" s="1" a="1"/>
  <c r="AA489" i="2" s="1"/>
  <c r="X488" i="2"/>
  <c r="X487" i="2"/>
  <c r="X486" i="2"/>
  <c r="X485" i="2"/>
  <c r="X484" i="2"/>
  <c r="X483" i="2"/>
  <c r="X482" i="2"/>
  <c r="X481" i="2"/>
  <c r="X480" i="2"/>
  <c r="AA480" i="2" s="1" a="1"/>
  <c r="AA480" i="2" s="1"/>
  <c r="X479" i="2"/>
  <c r="X478" i="2"/>
  <c r="AA478" i="2" s="1" a="1"/>
  <c r="AA478" i="2" s="1"/>
  <c r="X477" i="2"/>
  <c r="X476" i="2"/>
  <c r="X475" i="2"/>
  <c r="X474" i="2"/>
  <c r="AA474" i="2" s="1" a="1"/>
  <c r="AA474" i="2" s="1"/>
  <c r="X473" i="2"/>
  <c r="X472" i="2"/>
  <c r="X471" i="2"/>
  <c r="X470" i="2"/>
  <c r="X469" i="2"/>
  <c r="AA469" i="2" s="1" a="1"/>
  <c r="AA469" i="2" s="1"/>
  <c r="X468" i="2"/>
  <c r="AA468" i="2" s="1" a="1"/>
  <c r="AA468" i="2" s="1"/>
  <c r="X467" i="2"/>
  <c r="Z467" i="2" s="1"/>
  <c r="X466" i="2"/>
  <c r="X465" i="2"/>
  <c r="X464" i="2"/>
  <c r="X463" i="2"/>
  <c r="X462" i="2"/>
  <c r="AA462" i="2" s="1" a="1"/>
  <c r="AA462" i="2" s="1"/>
  <c r="X461" i="2"/>
  <c r="X460" i="2"/>
  <c r="AA460" i="2" s="1" a="1"/>
  <c r="AA460" i="2" s="1"/>
  <c r="X459" i="2"/>
  <c r="X458" i="2"/>
  <c r="AA458" i="2" s="1" a="1"/>
  <c r="AA458" i="2" s="1"/>
  <c r="X457" i="2"/>
  <c r="X456" i="2"/>
  <c r="X455" i="2"/>
  <c r="X454" i="2"/>
  <c r="AA454" i="2" s="1" a="1"/>
  <c r="AA454" i="2" s="1"/>
  <c r="X453" i="2"/>
  <c r="AA453" i="2" s="1" a="1"/>
  <c r="AA453" i="2" s="1"/>
  <c r="X452" i="2"/>
  <c r="AA452" i="2" s="1" a="1"/>
  <c r="AA452" i="2" s="1"/>
  <c r="X451" i="2"/>
  <c r="X450" i="2"/>
  <c r="X449" i="2"/>
  <c r="X448" i="2"/>
  <c r="X447" i="2"/>
  <c r="X446" i="2"/>
  <c r="AA446" i="2" s="1" a="1"/>
  <c r="AA446" i="2" s="1"/>
  <c r="X445" i="2"/>
  <c r="X444" i="2"/>
  <c r="AA444" i="2" s="1" a="1"/>
  <c r="AA444" i="2" s="1"/>
  <c r="X443" i="2"/>
  <c r="X442" i="2"/>
  <c r="AA442" i="2" s="1" a="1"/>
  <c r="AA442" i="2" s="1"/>
  <c r="X441" i="2"/>
  <c r="X440" i="2"/>
  <c r="X439" i="2"/>
  <c r="X438" i="2"/>
  <c r="AA438" i="2" s="1" a="1"/>
  <c r="AA438" i="2" s="1"/>
  <c r="X437" i="2"/>
  <c r="AA437" i="2" s="1" a="1"/>
  <c r="AA437" i="2" s="1"/>
  <c r="X436" i="2"/>
  <c r="X435" i="2"/>
  <c r="X434" i="2"/>
  <c r="X433" i="2"/>
  <c r="X432" i="2"/>
  <c r="AA432" i="2" s="1" a="1"/>
  <c r="AA432" i="2" s="1"/>
  <c r="X431" i="2"/>
  <c r="X430" i="2"/>
  <c r="AA430" i="2" s="1" a="1"/>
  <c r="AA430" i="2" s="1"/>
  <c r="X429" i="2"/>
  <c r="X428" i="2"/>
  <c r="X427" i="2"/>
  <c r="X426" i="2"/>
  <c r="AA426" i="2" s="1" a="1"/>
  <c r="AA426" i="2" s="1"/>
  <c r="X424" i="2"/>
  <c r="X423" i="2"/>
  <c r="X422" i="2"/>
  <c r="AA422" i="2" s="1" a="1"/>
  <c r="AA422" i="2" s="1"/>
  <c r="X421" i="2"/>
  <c r="AA421" i="2" s="1" a="1"/>
  <c r="AA421" i="2" s="1"/>
  <c r="X420" i="2"/>
  <c r="X419" i="2"/>
  <c r="X418" i="2"/>
  <c r="X417" i="2"/>
  <c r="AA417" i="2" s="1" a="1"/>
  <c r="AA417" i="2" s="1"/>
  <c r="X416" i="2"/>
  <c r="AA416" i="2" s="1" a="1"/>
  <c r="AA416" i="2" s="1"/>
  <c r="X415" i="2"/>
  <c r="X414" i="2"/>
  <c r="AA414" i="2" s="1" a="1"/>
  <c r="AA414" i="2" s="1"/>
  <c r="X413" i="2"/>
  <c r="X412" i="2"/>
  <c r="X411" i="2"/>
  <c r="X410" i="2"/>
  <c r="AA410" i="2" s="1" a="1"/>
  <c r="AA410" i="2" s="1"/>
  <c r="X409" i="2"/>
  <c r="AA409" i="2" s="1" a="1"/>
  <c r="AA409" i="2" s="1"/>
  <c r="X408" i="2"/>
  <c r="X407" i="2"/>
  <c r="X406" i="2"/>
  <c r="AA406" i="2" s="1" a="1"/>
  <c r="AA406" i="2" s="1"/>
  <c r="X405" i="2"/>
  <c r="AA405" i="2" s="1" a="1"/>
  <c r="AA405" i="2" s="1"/>
  <c r="X404" i="2"/>
  <c r="AA404" i="2" s="1" a="1"/>
  <c r="AA404" i="2" s="1"/>
  <c r="X403" i="2"/>
  <c r="X402" i="2"/>
  <c r="X401" i="2"/>
  <c r="AA401" i="2" s="1" a="1"/>
  <c r="AA401" i="2" s="1"/>
  <c r="X400" i="2"/>
  <c r="X399" i="2"/>
  <c r="X398" i="2"/>
  <c r="AA398" i="2" s="1" a="1"/>
  <c r="AA398" i="2" s="1"/>
  <c r="X397" i="2"/>
  <c r="X396" i="2"/>
  <c r="AA396" i="2" s="1" a="1"/>
  <c r="AA396" i="2" s="1"/>
  <c r="X395" i="2"/>
  <c r="X394" i="2"/>
  <c r="AA394" i="2" s="1" a="1"/>
  <c r="AA394" i="2" s="1"/>
  <c r="X393" i="2"/>
  <c r="AA393" i="2" s="1" a="1"/>
  <c r="AA393" i="2" s="1"/>
  <c r="X392" i="2"/>
  <c r="X391" i="2"/>
  <c r="X390" i="2"/>
  <c r="Z390" i="2" s="1"/>
  <c r="X389" i="2"/>
  <c r="AA389" i="2" s="1" a="1"/>
  <c r="AA389" i="2" s="1"/>
  <c r="X388" i="2"/>
  <c r="AA388" i="2" s="1" a="1"/>
  <c r="AA388" i="2" s="1"/>
  <c r="X387" i="2"/>
  <c r="X386" i="2"/>
  <c r="X385" i="2"/>
  <c r="AA385" i="2" s="1" a="1"/>
  <c r="AA385" i="2" s="1"/>
  <c r="X384" i="2"/>
  <c r="X383" i="2"/>
  <c r="X382" i="2"/>
  <c r="AA382" i="2" s="1" a="1"/>
  <c r="AA382" i="2" s="1"/>
  <c r="X381" i="2"/>
  <c r="X380" i="2"/>
  <c r="AA380" i="2" s="1" a="1"/>
  <c r="AA380" i="2" s="1"/>
  <c r="X379" i="2"/>
  <c r="X378" i="2"/>
  <c r="AA378" i="2" s="1" a="1"/>
  <c r="AA378" i="2" s="1"/>
  <c r="X377" i="2"/>
  <c r="AA377" i="2" s="1" a="1"/>
  <c r="AA377" i="2" s="1"/>
  <c r="X376" i="2"/>
  <c r="X375" i="2"/>
  <c r="X374" i="2"/>
  <c r="AA374" i="2" s="1" a="1"/>
  <c r="AA374" i="2" s="1"/>
  <c r="X373" i="2"/>
  <c r="AA373" i="2" s="1" a="1"/>
  <c r="AA373" i="2" s="1"/>
  <c r="X372" i="2"/>
  <c r="X371" i="2"/>
  <c r="X370" i="2"/>
  <c r="X369" i="2"/>
  <c r="AA369" i="2" s="1" a="1"/>
  <c r="AA369" i="2" s="1"/>
  <c r="X368" i="2"/>
  <c r="AA368" i="2" s="1" a="1"/>
  <c r="AA368" i="2" s="1"/>
  <c r="X367" i="2"/>
  <c r="X366" i="2"/>
  <c r="AA366" i="2" s="1" a="1"/>
  <c r="AA366" i="2" s="1"/>
  <c r="X365" i="2"/>
  <c r="X364" i="2"/>
  <c r="X363" i="2"/>
  <c r="X362" i="2"/>
  <c r="Z362" i="2" s="1"/>
  <c r="X361" i="2"/>
  <c r="AA361" i="2" s="1" a="1"/>
  <c r="AA361" i="2" s="1"/>
  <c r="X360" i="2"/>
  <c r="X359" i="2"/>
  <c r="X358" i="2"/>
  <c r="AA358" i="2" s="1" a="1"/>
  <c r="AA358" i="2" s="1"/>
  <c r="X357" i="2"/>
  <c r="AA357" i="2" s="1" a="1"/>
  <c r="AA357" i="2" s="1"/>
  <c r="X356" i="2"/>
  <c r="X355" i="2"/>
  <c r="X354" i="2"/>
  <c r="X353" i="2"/>
  <c r="AA353" i="2" s="1" a="1"/>
  <c r="AA353" i="2" s="1"/>
  <c r="X352" i="2"/>
  <c r="AA352" i="2" s="1" a="1"/>
  <c r="AA352" i="2" s="1"/>
  <c r="X351" i="2"/>
  <c r="X350" i="2"/>
  <c r="AA350" i="2" s="1" a="1"/>
  <c r="AA350" i="2" s="1"/>
  <c r="X349" i="2"/>
  <c r="X348" i="2"/>
  <c r="X347" i="2"/>
  <c r="X346" i="2"/>
  <c r="AA346" i="2" s="1" a="1"/>
  <c r="AA346" i="2" s="1"/>
  <c r="X345" i="2"/>
  <c r="AA345" i="2" s="1" a="1"/>
  <c r="AA345" i="2" s="1"/>
  <c r="X344" i="2"/>
  <c r="X343" i="2"/>
  <c r="X342" i="2"/>
  <c r="AA342" i="2" s="1" a="1"/>
  <c r="AA342" i="2" s="1"/>
  <c r="X341" i="2"/>
  <c r="AA341" i="2" s="1" a="1"/>
  <c r="AA341" i="2" s="1"/>
  <c r="X340" i="2"/>
  <c r="AA340" i="2" s="1" a="1"/>
  <c r="AA340" i="2" s="1"/>
  <c r="X339" i="2"/>
  <c r="X338" i="2"/>
  <c r="X337" i="2"/>
  <c r="AA337" i="2" s="1" a="1"/>
  <c r="AA337" i="2" s="1"/>
  <c r="X336" i="2"/>
  <c r="X335" i="2"/>
  <c r="X334" i="2"/>
  <c r="Z334" i="2" s="1"/>
  <c r="X333" i="2"/>
  <c r="X332" i="2"/>
  <c r="AA332" i="2" s="1" a="1"/>
  <c r="AA332" i="2" s="1"/>
  <c r="X331" i="2"/>
  <c r="X330" i="2"/>
  <c r="AA330" i="2" s="1" a="1"/>
  <c r="AA330" i="2" s="1"/>
  <c r="X329" i="2"/>
  <c r="AA329" i="2" s="1" a="1"/>
  <c r="AA329" i="2" s="1"/>
  <c r="X328" i="2"/>
  <c r="X327" i="2"/>
  <c r="X326" i="2"/>
  <c r="AA326" i="2" s="1" a="1"/>
  <c r="AA326" i="2" s="1"/>
  <c r="X325" i="2"/>
  <c r="AA325" i="2" s="1" a="1"/>
  <c r="AA325" i="2" s="1"/>
  <c r="X324" i="2"/>
  <c r="AA324" i="2" s="1" a="1"/>
  <c r="AA324" i="2" s="1"/>
  <c r="X323" i="2"/>
  <c r="X322" i="2"/>
  <c r="X321" i="2"/>
  <c r="AA321" i="2" s="1" a="1"/>
  <c r="AA321" i="2" s="1"/>
  <c r="X320" i="2"/>
  <c r="X319" i="2"/>
  <c r="X318" i="2"/>
  <c r="AA318" i="2" s="1" a="1"/>
  <c r="AA318" i="2" s="1"/>
  <c r="X317" i="2"/>
  <c r="X316" i="2"/>
  <c r="AA316" i="2" s="1" a="1"/>
  <c r="AA316" i="2" s="1"/>
  <c r="X315" i="2"/>
  <c r="X314" i="2"/>
  <c r="AA314" i="2" s="1" a="1"/>
  <c r="AA314" i="2" s="1"/>
  <c r="X313" i="2"/>
  <c r="AA313" i="2" s="1" a="1"/>
  <c r="AA313" i="2" s="1"/>
  <c r="X312" i="2"/>
  <c r="X311" i="2"/>
  <c r="X310" i="2"/>
  <c r="AA310" i="2" s="1" a="1"/>
  <c r="AA310" i="2" s="1"/>
  <c r="X309" i="2"/>
  <c r="AA309" i="2" s="1" a="1"/>
  <c r="AA309" i="2" s="1"/>
  <c r="X308" i="2"/>
  <c r="X307" i="2"/>
  <c r="X306" i="2"/>
  <c r="X305" i="2"/>
  <c r="AA305" i="2" s="1" a="1"/>
  <c r="AA305" i="2" s="1"/>
  <c r="X304" i="2"/>
  <c r="AA304" i="2" s="1" a="1"/>
  <c r="AA304" i="2" s="1"/>
  <c r="X303" i="2"/>
  <c r="X302" i="2"/>
  <c r="AA302" i="2" s="1" a="1"/>
  <c r="AA302" i="2" s="1"/>
  <c r="X301" i="2"/>
  <c r="X300" i="2"/>
  <c r="X299" i="2"/>
  <c r="X298" i="2"/>
  <c r="AA298" i="2" s="1" a="1"/>
  <c r="AA298" i="2" s="1"/>
  <c r="X297" i="2"/>
  <c r="AA297" i="2" s="1" a="1"/>
  <c r="AA297" i="2" s="1"/>
  <c r="X296" i="2"/>
  <c r="X295" i="2"/>
  <c r="X294" i="2"/>
  <c r="AA294" i="2" s="1" a="1"/>
  <c r="AA294" i="2" s="1"/>
  <c r="X293" i="2"/>
  <c r="AA293" i="2" s="1" a="1"/>
  <c r="AA293" i="2" s="1"/>
  <c r="X292" i="2"/>
  <c r="X291" i="2"/>
  <c r="X290" i="2"/>
  <c r="X289" i="2"/>
  <c r="AA289" i="2" s="1" a="1"/>
  <c r="AA289" i="2" s="1"/>
  <c r="X288" i="2"/>
  <c r="AA288" i="2" s="1" a="1"/>
  <c r="AA288" i="2" s="1"/>
  <c r="X287" i="2"/>
  <c r="X286" i="2"/>
  <c r="AA286" i="2" s="1" a="1"/>
  <c r="AA286" i="2" s="1"/>
  <c r="X285" i="2"/>
  <c r="X284" i="2"/>
  <c r="X283" i="2"/>
  <c r="X282" i="2"/>
  <c r="AA282" i="2" s="1" a="1"/>
  <c r="AA282" i="2" s="1"/>
  <c r="X281" i="2"/>
  <c r="AA281" i="2" s="1" a="1"/>
  <c r="AA281" i="2" s="1"/>
  <c r="X280" i="2"/>
  <c r="X279" i="2"/>
  <c r="X278" i="2"/>
  <c r="AA278" i="2" s="1" a="1"/>
  <c r="AA278" i="2" s="1"/>
  <c r="X277" i="2"/>
  <c r="AA277" i="2" s="1" a="1"/>
  <c r="AA277" i="2" s="1"/>
  <c r="X276" i="2"/>
  <c r="AA276" i="2" s="1" a="1"/>
  <c r="AA276" i="2" s="1"/>
  <c r="X275" i="2"/>
  <c r="X274" i="2"/>
  <c r="X272" i="2"/>
  <c r="AA272" i="2" s="1" a="1"/>
  <c r="AA272" i="2" s="1"/>
  <c r="X271" i="2"/>
  <c r="X270" i="2"/>
  <c r="Z270" i="2" s="1"/>
  <c r="X269" i="2"/>
  <c r="X268" i="2"/>
  <c r="AA268" i="2" s="1" a="1"/>
  <c r="AA268" i="2" s="1"/>
  <c r="X267" i="2"/>
  <c r="X266" i="2"/>
  <c r="AA266" i="2" s="1" a="1"/>
  <c r="AA266" i="2" s="1"/>
  <c r="X265" i="2"/>
  <c r="Z265" i="2" s="1"/>
  <c r="X264" i="2"/>
  <c r="X263" i="2"/>
  <c r="X262" i="2"/>
  <c r="X261" i="2"/>
  <c r="AA261" i="2" s="1" a="1"/>
  <c r="AA261" i="2" s="1"/>
  <c r="X260" i="2"/>
  <c r="AA260" i="2" s="1" a="1"/>
  <c r="AA260" i="2" s="1"/>
  <c r="X259" i="2"/>
  <c r="X258" i="2"/>
  <c r="X257" i="2"/>
  <c r="AA257" i="2" s="1" a="1"/>
  <c r="AA257" i="2" s="1"/>
  <c r="X256" i="2"/>
  <c r="AA256" i="2" s="1" a="1"/>
  <c r="AA256" i="2" s="1"/>
  <c r="X255" i="2"/>
  <c r="X254" i="2"/>
  <c r="AA254" i="2" s="1" a="1"/>
  <c r="AA254" i="2" s="1"/>
  <c r="X253" i="2"/>
  <c r="X252" i="2"/>
  <c r="AA252" i="2" s="1" a="1"/>
  <c r="AA252" i="2" s="1"/>
  <c r="X251" i="2"/>
  <c r="X250" i="2"/>
  <c r="X249" i="2"/>
  <c r="AA249" i="2" s="1" a="1"/>
  <c r="AA249" i="2" s="1"/>
  <c r="X248" i="2"/>
  <c r="X247" i="2"/>
  <c r="X246" i="2"/>
  <c r="AA246" i="2" s="1" a="1"/>
  <c r="AA246" i="2" s="1"/>
  <c r="X245" i="2"/>
  <c r="AA245" i="2" s="1" a="1"/>
  <c r="AA245" i="2" s="1"/>
  <c r="X244" i="2"/>
  <c r="AA244" i="2" s="1" a="1"/>
  <c r="AA244" i="2" s="1"/>
  <c r="X243" i="2"/>
  <c r="X242" i="2"/>
  <c r="X240" i="2"/>
  <c r="AA240" i="2" s="1" a="1"/>
  <c r="AA240" i="2" s="1"/>
  <c r="X239" i="2"/>
  <c r="X238" i="2"/>
  <c r="AA238" i="2" s="1" a="1"/>
  <c r="AA238" i="2" s="1"/>
  <c r="X237" i="2"/>
  <c r="X236" i="2"/>
  <c r="AA236" i="2" s="1" a="1"/>
  <c r="AA236" i="2" s="1"/>
  <c r="X235" i="2"/>
  <c r="AA235" i="2" s="1" a="1"/>
  <c r="AA235" i="2" s="1"/>
  <c r="X234" i="2"/>
  <c r="AA234" i="2" s="1" a="1"/>
  <c r="AA234" i="2" s="1"/>
  <c r="X233" i="2"/>
  <c r="X232" i="2"/>
  <c r="AA232" i="2" s="1" a="1"/>
  <c r="AA232" i="2" s="1"/>
  <c r="X231" i="2"/>
  <c r="AA231" i="2" s="1" a="1"/>
  <c r="AA231" i="2" s="1"/>
  <c r="X230" i="2"/>
  <c r="X229" i="2"/>
  <c r="X228" i="2"/>
  <c r="AA228" i="2" s="1" a="1"/>
  <c r="AA228" i="2" s="1"/>
  <c r="X227" i="2"/>
  <c r="AA227" i="2" s="1" a="1"/>
  <c r="AA227" i="2" s="1"/>
  <c r="X226" i="2"/>
  <c r="X225" i="2"/>
  <c r="X224" i="2"/>
  <c r="AA224" i="2" s="1" a="1"/>
  <c r="AA224" i="2" s="1"/>
  <c r="X223" i="2"/>
  <c r="AA223" i="2" s="1" a="1"/>
  <c r="AA223" i="2" s="1"/>
  <c r="X222" i="2"/>
  <c r="AA222" i="2" s="1" a="1"/>
  <c r="AA222" i="2" s="1"/>
  <c r="X221" i="2"/>
  <c r="X220" i="2"/>
  <c r="AA220" i="2" s="1" a="1"/>
  <c r="AA220" i="2" s="1"/>
  <c r="X219" i="2"/>
  <c r="AA219" i="2" s="1" a="1"/>
  <c r="AA219" i="2" s="1"/>
  <c r="X218" i="2"/>
  <c r="AA218" i="2" s="1" a="1"/>
  <c r="AA218" i="2" s="1"/>
  <c r="X217" i="2"/>
  <c r="X216" i="2"/>
  <c r="AA216" i="2" s="1" a="1"/>
  <c r="AA216" i="2" s="1"/>
  <c r="X215" i="2"/>
  <c r="AA215" i="2" s="1" a="1"/>
  <c r="AA215" i="2" s="1"/>
  <c r="X214" i="2"/>
  <c r="X213" i="2"/>
  <c r="X212" i="2"/>
  <c r="AA212" i="2" s="1" a="1"/>
  <c r="AA212" i="2" s="1"/>
  <c r="X211" i="2"/>
  <c r="AA211" i="2" s="1" a="1"/>
  <c r="AA211" i="2" s="1"/>
  <c r="X210" i="2"/>
  <c r="X209" i="2"/>
  <c r="X208" i="2"/>
  <c r="AA208" i="2" s="1" a="1"/>
  <c r="AA208" i="2" s="1"/>
  <c r="X207" i="2"/>
  <c r="AA207" i="2" s="1" a="1"/>
  <c r="AA207" i="2" s="1"/>
  <c r="X206" i="2"/>
  <c r="AA206" i="2" s="1" a="1"/>
  <c r="AA206" i="2" s="1"/>
  <c r="X205" i="2"/>
  <c r="X204" i="2"/>
  <c r="AA204" i="2" s="1" a="1"/>
  <c r="AA204" i="2" s="1"/>
  <c r="X203" i="2"/>
  <c r="AA203" i="2" s="1" a="1"/>
  <c r="AA203" i="2" s="1"/>
  <c r="X202" i="2"/>
  <c r="AA202" i="2" s="1" a="1"/>
  <c r="AA202" i="2" s="1"/>
  <c r="X201" i="2"/>
  <c r="X200" i="2"/>
  <c r="AA200" i="2" s="1" a="1"/>
  <c r="AA200" i="2" s="1"/>
  <c r="X199" i="2"/>
  <c r="AA199" i="2" s="1" a="1"/>
  <c r="AA199" i="2" s="1"/>
  <c r="X198" i="2"/>
  <c r="X197" i="2"/>
  <c r="X196" i="2"/>
  <c r="AA196" i="2" s="1" a="1"/>
  <c r="AA196" i="2" s="1"/>
  <c r="X195" i="2"/>
  <c r="AA195" i="2" s="1" a="1"/>
  <c r="AA195" i="2" s="1"/>
  <c r="X193" i="2"/>
  <c r="X192" i="2"/>
  <c r="X191" i="2"/>
  <c r="AA191" i="2" s="1" a="1"/>
  <c r="AA191" i="2" s="1"/>
  <c r="X190" i="2"/>
  <c r="AA190" i="2" s="1" a="1"/>
  <c r="AA190" i="2" s="1"/>
  <c r="X189" i="2"/>
  <c r="X188" i="2"/>
  <c r="X187" i="2"/>
  <c r="AA187" i="2" s="1" a="1"/>
  <c r="AA187" i="2" s="1"/>
  <c r="X186" i="2"/>
  <c r="AA186" i="2" s="1" a="1"/>
  <c r="AA186" i="2" s="1"/>
  <c r="X185" i="2"/>
  <c r="X184" i="2"/>
  <c r="Z184" i="2" s="1"/>
  <c r="X183" i="2"/>
  <c r="AA183" i="2" s="1" a="1"/>
  <c r="AA183" i="2" s="1"/>
  <c r="X182" i="2"/>
  <c r="AA182" i="2" s="1" a="1"/>
  <c r="AA182" i="2" s="1"/>
  <c r="X181" i="2"/>
  <c r="X180" i="2"/>
  <c r="AA180" i="2" s="1" a="1"/>
  <c r="AA180" i="2" s="1"/>
  <c r="X179" i="2"/>
  <c r="AA179" i="2" s="1" a="1"/>
  <c r="AA179" i="2" s="1"/>
  <c r="X178" i="2"/>
  <c r="AA178" i="2" s="1" a="1"/>
  <c r="AA178" i="2" s="1"/>
  <c r="X177" i="2"/>
  <c r="X176" i="2"/>
  <c r="X175" i="2"/>
  <c r="AA175" i="2" s="1" a="1"/>
  <c r="AA175" i="2" s="1"/>
  <c r="X174" i="2"/>
  <c r="AA174" i="2" s="1" a="1"/>
  <c r="AA174" i="2" s="1"/>
  <c r="X172" i="2"/>
  <c r="X171" i="2"/>
  <c r="X170" i="2"/>
  <c r="AA170" i="2" s="1" a="1"/>
  <c r="AA170" i="2" s="1"/>
  <c r="X169" i="2"/>
  <c r="X168" i="2"/>
  <c r="AA168" i="2" s="1" a="1"/>
  <c r="AA168" i="2" s="1"/>
  <c r="X167" i="2"/>
  <c r="X166" i="2"/>
  <c r="AA166" i="2" s="1" a="1"/>
  <c r="AA166" i="2" s="1"/>
  <c r="X165" i="2"/>
  <c r="X164" i="2"/>
  <c r="AA164" i="2" s="1" a="1"/>
  <c r="AA164" i="2" s="1"/>
  <c r="X163" i="2"/>
  <c r="AA163" i="2" s="1" a="1"/>
  <c r="AA163" i="2" s="1"/>
  <c r="X162" i="2"/>
  <c r="AA162" i="2" s="1" a="1"/>
  <c r="AA162" i="2" s="1"/>
  <c r="X161" i="2"/>
  <c r="X160" i="2"/>
  <c r="X159" i="2"/>
  <c r="AA159" i="2" s="1" a="1"/>
  <c r="AA159" i="2" s="1"/>
  <c r="X158" i="2"/>
  <c r="AA158" i="2" s="1" a="1"/>
  <c r="AA158" i="2" s="1"/>
  <c r="X157" i="2"/>
  <c r="X156" i="2"/>
  <c r="X155" i="2"/>
  <c r="X154" i="2"/>
  <c r="AA154" i="2" s="1" a="1"/>
  <c r="AA154" i="2" s="1"/>
  <c r="X153" i="2"/>
  <c r="X152" i="2"/>
  <c r="AA152" i="2" s="1" a="1"/>
  <c r="AA152" i="2" s="1"/>
  <c r="X151" i="2"/>
  <c r="X149" i="2"/>
  <c r="X148" i="2"/>
  <c r="AA148" i="2" s="1" a="1"/>
  <c r="AA148" i="2" s="1"/>
  <c r="X147" i="2"/>
  <c r="AA147" i="2" s="1" a="1"/>
  <c r="AA147" i="2" s="1"/>
  <c r="X146" i="2"/>
  <c r="X145" i="2"/>
  <c r="Z145" i="2" s="1"/>
  <c r="X144" i="2"/>
  <c r="AA144" i="2" s="1" a="1"/>
  <c r="AA144" i="2" s="1"/>
  <c r="X143" i="2"/>
  <c r="AA143" i="2" s="1" a="1"/>
  <c r="AA143" i="2" s="1"/>
  <c r="X142" i="2"/>
  <c r="AA142" i="2" s="1" a="1"/>
  <c r="AA142" i="2" s="1"/>
  <c r="X141" i="2"/>
  <c r="X140" i="2"/>
  <c r="AA140" i="2" s="1" a="1"/>
  <c r="AA140" i="2" s="1"/>
  <c r="X139" i="2"/>
  <c r="X138" i="2"/>
  <c r="AA138" i="2" s="1" a="1"/>
  <c r="AA138" i="2" s="1"/>
  <c r="X137" i="2"/>
  <c r="X136" i="2"/>
  <c r="AA136" i="2" s="1" a="1"/>
  <c r="AA136" i="2" s="1"/>
  <c r="X135" i="2"/>
  <c r="X134" i="2"/>
  <c r="X133" i="2"/>
  <c r="X131" i="2"/>
  <c r="AA131" i="2" s="1" a="1"/>
  <c r="AA131" i="2" s="1"/>
  <c r="X130" i="2"/>
  <c r="X129" i="2"/>
  <c r="X128" i="2"/>
  <c r="AA128" i="2" s="1" a="1"/>
  <c r="AA128" i="2" s="1"/>
  <c r="X127" i="2"/>
  <c r="AA127" i="2" s="1" a="1"/>
  <c r="AA127" i="2" s="1"/>
  <c r="X126" i="2"/>
  <c r="AA126" i="2" s="1" a="1"/>
  <c r="AA126" i="2" s="1"/>
  <c r="X125" i="2"/>
  <c r="X124" i="2"/>
  <c r="AA124" i="2" s="1" a="1"/>
  <c r="AA124" i="2" s="1"/>
  <c r="X123" i="2"/>
  <c r="AA123" i="2" s="1" a="1"/>
  <c r="AA123" i="2" s="1"/>
  <c r="X121" i="2"/>
  <c r="X120" i="2"/>
  <c r="AA120" i="2" s="1" a="1"/>
  <c r="AA120" i="2" s="1"/>
  <c r="X119" i="2"/>
  <c r="AA119" i="2" s="1" a="1"/>
  <c r="AA119" i="2" s="1"/>
  <c r="X118" i="2"/>
  <c r="AA118" i="2" s="1" a="1"/>
  <c r="AA118" i="2" s="1"/>
  <c r="X117" i="2"/>
  <c r="X116" i="2"/>
  <c r="AA116" i="2" s="1" a="1"/>
  <c r="AA116" i="2" s="1"/>
  <c r="X115" i="2"/>
  <c r="AA115" i="2" s="1" a="1"/>
  <c r="AA115" i="2" s="1"/>
  <c r="X114" i="2"/>
  <c r="AA114" i="2" s="1" a="1"/>
  <c r="AA114" i="2" s="1"/>
  <c r="X113" i="2"/>
  <c r="X112" i="2"/>
  <c r="X111" i="2"/>
  <c r="AA111" i="2" s="1" a="1"/>
  <c r="AA111" i="2" s="1"/>
  <c r="X110" i="2"/>
  <c r="AA110" i="2" s="1" a="1"/>
  <c r="AA110" i="2" s="1"/>
  <c r="X109" i="2"/>
  <c r="X108" i="2"/>
  <c r="X107" i="2"/>
  <c r="AA107" i="2" s="1" a="1"/>
  <c r="AA107" i="2" s="1"/>
  <c r="X106" i="2"/>
  <c r="AA106" i="2" s="1" a="1"/>
  <c r="AA106" i="2" s="1"/>
  <c r="X105" i="2"/>
  <c r="X104" i="2"/>
  <c r="AA104" i="2" s="1" a="1"/>
  <c r="AA104" i="2" s="1"/>
  <c r="X103" i="2"/>
  <c r="AA103" i="2" s="1" a="1"/>
  <c r="AA103" i="2" s="1"/>
  <c r="X102" i="2"/>
  <c r="AA102" i="2" s="1" a="1"/>
  <c r="AA102" i="2" s="1"/>
  <c r="X101" i="2"/>
  <c r="X100" i="2"/>
  <c r="Z100" i="2" s="1"/>
  <c r="X99" i="2"/>
  <c r="AA99" i="2" s="1" a="1"/>
  <c r="AA99" i="2" s="1"/>
  <c r="X98" i="2"/>
  <c r="AA98" i="2" s="1" a="1"/>
  <c r="AA98" i="2" s="1"/>
  <c r="X97" i="2"/>
  <c r="X96" i="2"/>
  <c r="X95" i="2"/>
  <c r="AA95" i="2" s="1" a="1"/>
  <c r="AA95" i="2" s="1"/>
  <c r="X94" i="2"/>
  <c r="AA94" i="2" s="1" a="1"/>
  <c r="AA94" i="2" s="1"/>
  <c r="X93" i="2"/>
  <c r="X92" i="2"/>
  <c r="X91" i="2"/>
  <c r="AA91" i="2" s="1" a="1"/>
  <c r="AA91" i="2" s="1"/>
  <c r="X90" i="2"/>
  <c r="AA90" i="2" s="1" a="1"/>
  <c r="AA90" i="2" s="1"/>
  <c r="X89" i="2"/>
  <c r="X88" i="2"/>
  <c r="AA88" i="2" s="1" a="1"/>
  <c r="AA88" i="2" s="1"/>
  <c r="X87" i="2"/>
  <c r="AA87" i="2" s="1" a="1"/>
  <c r="AA87" i="2" s="1"/>
  <c r="X86" i="2"/>
  <c r="AA86" i="2" s="1" a="1"/>
  <c r="AA86" i="2" s="1"/>
  <c r="X85" i="2"/>
  <c r="X84" i="2"/>
  <c r="AA84" i="2" s="1" a="1"/>
  <c r="AA84" i="2" s="1"/>
  <c r="X83" i="2"/>
  <c r="AA83" i="2" s="1" a="1"/>
  <c r="AA83" i="2" s="1"/>
  <c r="X82" i="2"/>
  <c r="AA82" i="2" s="1" a="1"/>
  <c r="AA82" i="2" s="1"/>
  <c r="X81" i="2"/>
  <c r="X80" i="2"/>
  <c r="X79" i="2"/>
  <c r="AA79" i="2" s="1" a="1"/>
  <c r="AA79" i="2" s="1"/>
  <c r="X78" i="2"/>
  <c r="AA78" i="2" s="1" a="1"/>
  <c r="AA78" i="2" s="1"/>
  <c r="X77" i="2"/>
  <c r="X76" i="2"/>
  <c r="X75" i="2"/>
  <c r="AA75" i="2" s="1" a="1"/>
  <c r="AA75" i="2" s="1"/>
  <c r="X74" i="2"/>
  <c r="AA74" i="2" s="1" a="1"/>
  <c r="AA74" i="2" s="1"/>
  <c r="X73" i="2"/>
  <c r="X72" i="2"/>
  <c r="AA72" i="2" s="1" a="1"/>
  <c r="AA72" i="2" s="1"/>
  <c r="X71" i="2"/>
  <c r="AA71" i="2" s="1" a="1"/>
  <c r="AA71" i="2" s="1"/>
  <c r="X70" i="2"/>
  <c r="AA70" i="2" s="1" a="1"/>
  <c r="AA70" i="2" s="1"/>
  <c r="X69" i="2"/>
  <c r="X68" i="2"/>
  <c r="Z68" i="2" s="1"/>
  <c r="X67" i="2"/>
  <c r="AA67" i="2" s="1" a="1"/>
  <c r="AA67" i="2" s="1"/>
  <c r="X66" i="2"/>
  <c r="AA66" i="2" s="1" a="1"/>
  <c r="AA66" i="2" s="1"/>
  <c r="X65" i="2"/>
  <c r="X64" i="2"/>
  <c r="X63" i="2"/>
  <c r="AA63" i="2" s="1" a="1"/>
  <c r="AA63" i="2" s="1"/>
  <c r="X62" i="2"/>
  <c r="AA62" i="2" s="1" a="1"/>
  <c r="AA62" i="2" s="1"/>
  <c r="X61" i="2"/>
  <c r="X60" i="2"/>
  <c r="X59" i="2"/>
  <c r="AA59" i="2" s="1" a="1"/>
  <c r="AA59" i="2" s="1"/>
  <c r="X58" i="2"/>
  <c r="AA58" i="2" s="1" a="1"/>
  <c r="AA58" i="2" s="1"/>
  <c r="X57" i="2"/>
  <c r="X56" i="2"/>
  <c r="AA56" i="2" s="1" a="1"/>
  <c r="AA56" i="2" s="1"/>
  <c r="X55" i="2"/>
  <c r="AA55" i="2" s="1" a="1"/>
  <c r="AA55" i="2" s="1"/>
  <c r="X54" i="2"/>
  <c r="AA54" i="2" s="1" a="1"/>
  <c r="AA54" i="2" s="1"/>
  <c r="X53" i="2"/>
  <c r="X52" i="2"/>
  <c r="AA52" i="2" s="1" a="1"/>
  <c r="AA52" i="2" s="1"/>
  <c r="X51" i="2"/>
  <c r="AA51" i="2" s="1" a="1"/>
  <c r="AA51" i="2" s="1"/>
  <c r="X50" i="2"/>
  <c r="AA50" i="2" s="1" a="1"/>
  <c r="AA50" i="2" s="1"/>
  <c r="X49" i="2"/>
  <c r="X48" i="2"/>
  <c r="X47" i="2"/>
  <c r="AA47" i="2" s="1" a="1"/>
  <c r="AA47" i="2" s="1"/>
  <c r="X46" i="2"/>
  <c r="AA46" i="2" s="1" a="1"/>
  <c r="AA46" i="2" s="1"/>
  <c r="X45" i="2"/>
  <c r="X44" i="2"/>
  <c r="X43" i="2"/>
  <c r="AA43" i="2" s="1" a="1"/>
  <c r="AA43" i="2" s="1"/>
  <c r="X42" i="2"/>
  <c r="AA42" i="2" s="1" a="1"/>
  <c r="AA42" i="2" s="1"/>
  <c r="X41" i="2"/>
  <c r="X40" i="2"/>
  <c r="AA40" i="2" s="1" a="1"/>
  <c r="AA40" i="2" s="1"/>
  <c r="X39" i="2"/>
  <c r="AA39" i="2" s="1" a="1"/>
  <c r="AA39" i="2" s="1"/>
  <c r="X38" i="2"/>
  <c r="AA38" i="2" s="1" a="1"/>
  <c r="AA38" i="2" s="1"/>
  <c r="X37" i="2"/>
  <c r="X36" i="2"/>
  <c r="AA36" i="2" s="1" a="1"/>
  <c r="AA36" i="2" s="1"/>
  <c r="X35" i="2"/>
  <c r="AA35" i="2" s="1" a="1"/>
  <c r="AA35" i="2" s="1"/>
  <c r="X34" i="2"/>
  <c r="AA34" i="2" s="1" a="1"/>
  <c r="AA34" i="2" s="1"/>
  <c r="X32" i="2"/>
  <c r="X31" i="2"/>
  <c r="AA31" i="2" s="1" a="1"/>
  <c r="AA31" i="2" s="1"/>
  <c r="X30" i="2"/>
  <c r="AA30" i="2" s="1" a="1"/>
  <c r="AA30" i="2" s="1"/>
  <c r="X29" i="2"/>
  <c r="X28" i="2"/>
  <c r="X27" i="2"/>
  <c r="X26" i="2"/>
  <c r="AA26" i="2" s="1" a="1"/>
  <c r="AA26" i="2" s="1"/>
  <c r="X25" i="2"/>
  <c r="X24" i="2"/>
  <c r="AA24" i="2" s="1" a="1"/>
  <c r="AA24" i="2" s="1"/>
  <c r="X23" i="2"/>
  <c r="X22" i="2"/>
  <c r="AA22" i="2" s="1" a="1"/>
  <c r="AA22" i="2" s="1"/>
  <c r="X21" i="2"/>
  <c r="X20" i="2"/>
  <c r="AA20" i="2" s="1" a="1"/>
  <c r="AA20" i="2" s="1"/>
  <c r="X19" i="2"/>
  <c r="AA19" i="2" s="1" a="1"/>
  <c r="AA19" i="2" s="1"/>
  <c r="X18" i="2"/>
  <c r="AA18" i="2" s="1" a="1"/>
  <c r="AA18" i="2" s="1"/>
  <c r="X17" i="2"/>
  <c r="X16" i="2"/>
  <c r="X15" i="2"/>
  <c r="AA15" i="2" s="1" a="1"/>
  <c r="AA15" i="2" s="1"/>
  <c r="X14" i="2"/>
  <c r="AA14" i="2" s="1" a="1"/>
  <c r="AA14" i="2" s="1"/>
  <c r="X13" i="2"/>
  <c r="X12" i="2"/>
  <c r="X11" i="2"/>
  <c r="X10" i="2"/>
  <c r="AA10" i="2" s="1" a="1"/>
  <c r="AA10" i="2" s="1"/>
  <c r="X9" i="2"/>
  <c r="X8" i="2"/>
  <c r="AA8" i="2" s="1" a="1"/>
  <c r="AA8" i="2" s="1"/>
  <c r="X7" i="2"/>
  <c r="X6" i="2"/>
  <c r="AA6" i="2" s="1" a="1"/>
  <c r="AA6" i="2" s="1"/>
  <c r="X5" i="2"/>
  <c r="X4" i="2"/>
  <c r="AA4" i="2" s="1" a="1"/>
  <c r="AA4" i="2" s="1"/>
  <c r="X3" i="2"/>
  <c r="AA3" i="2" s="1" a="1"/>
  <c r="AA3" i="2" s="1"/>
  <c r="D983" i="2"/>
  <c r="D936" i="2"/>
  <c r="D828" i="2"/>
  <c r="D730" i="2"/>
  <c r="D678" i="2"/>
  <c r="D666" i="2"/>
  <c r="D652" i="2"/>
  <c r="D563" i="2"/>
  <c r="D546" i="2"/>
  <c r="D542" i="2"/>
  <c r="D425" i="2"/>
  <c r="D273" i="2"/>
  <c r="D241" i="2"/>
  <c r="D194" i="2"/>
  <c r="D173" i="2"/>
  <c r="D150" i="2"/>
  <c r="D132" i="2"/>
  <c r="D122" i="2"/>
  <c r="D33" i="2"/>
  <c r="C983" i="2"/>
  <c r="C936" i="2"/>
  <c r="C828" i="2"/>
  <c r="C730" i="2"/>
  <c r="C678" i="2"/>
  <c r="C666" i="2"/>
  <c r="C652" i="2"/>
  <c r="C563" i="2"/>
  <c r="C546" i="2"/>
  <c r="C542" i="2"/>
  <c r="C425" i="2"/>
  <c r="C273" i="2"/>
  <c r="C241" i="2"/>
  <c r="C194" i="2"/>
  <c r="C173" i="2"/>
  <c r="C150" i="2"/>
  <c r="C132" i="2"/>
  <c r="C122" i="2"/>
  <c r="C33" i="2"/>
  <c r="Y1001" i="2" a="1"/>
  <c r="Y1001" i="2" s="1"/>
  <c r="Y1000" i="2" a="1"/>
  <c r="Y1000" i="2" s="1"/>
  <c r="Y999" i="2" a="1"/>
  <c r="Y999" i="2" s="1"/>
  <c r="Y998" i="2" a="1"/>
  <c r="Y998" i="2" s="1"/>
  <c r="Y997" i="2" a="1"/>
  <c r="Y997" i="2" s="1"/>
  <c r="Y996" i="2" a="1"/>
  <c r="Y996" i="2" s="1"/>
  <c r="Y995" i="2" a="1"/>
  <c r="Y995" i="2" s="1"/>
  <c r="Y994" i="2" a="1"/>
  <c r="Y994" i="2" s="1"/>
  <c r="Y993" i="2" a="1"/>
  <c r="Y993" i="2" s="1"/>
  <c r="Y992" i="2" a="1"/>
  <c r="Y992" i="2" s="1"/>
  <c r="Y991" i="2" a="1"/>
  <c r="Y991" i="2" s="1"/>
  <c r="Y990" i="2" a="1"/>
  <c r="Y990" i="2" s="1"/>
  <c r="Y989" i="2" a="1"/>
  <c r="Y989" i="2" s="1"/>
  <c r="Y988" i="2" a="1"/>
  <c r="Y988" i="2" s="1"/>
  <c r="Y987" i="2" a="1"/>
  <c r="Y987" i="2" s="1"/>
  <c r="Y986" i="2" a="1"/>
  <c r="Y986" i="2" s="1"/>
  <c r="Y985" i="2" a="1"/>
  <c r="Y985" i="2" s="1"/>
  <c r="Y984" i="2" a="1"/>
  <c r="Y984" i="2" s="1"/>
  <c r="Y983" i="2" a="1"/>
  <c r="Y983" i="2" s="1"/>
  <c r="Y982" i="2" a="1"/>
  <c r="Y982" i="2" s="1"/>
  <c r="Y981" i="2" a="1"/>
  <c r="Y981" i="2" s="1"/>
  <c r="Y980" i="2" a="1"/>
  <c r="Y980" i="2" s="1"/>
  <c r="Y979" i="2" a="1"/>
  <c r="Y979" i="2" s="1"/>
  <c r="Y978" i="2" a="1"/>
  <c r="Y978" i="2" s="1"/>
  <c r="Y977" i="2" a="1"/>
  <c r="Y977" i="2" s="1"/>
  <c r="Y976" i="2" a="1"/>
  <c r="Y976" i="2" s="1"/>
  <c r="Y975" i="2" a="1"/>
  <c r="Y975" i="2" s="1"/>
  <c r="Y974" i="2" a="1"/>
  <c r="Y974" i="2" s="1"/>
  <c r="Y973" i="2" a="1"/>
  <c r="Y973" i="2" s="1"/>
  <c r="Y972" i="2" a="1"/>
  <c r="Y972" i="2" s="1"/>
  <c r="Y971" i="2" a="1"/>
  <c r="Y971" i="2" s="1"/>
  <c r="Y970" i="2" a="1"/>
  <c r="Y970" i="2" s="1"/>
  <c r="Y969" i="2" a="1"/>
  <c r="Y969" i="2" s="1"/>
  <c r="Y968" i="2" a="1"/>
  <c r="Y968" i="2" s="1"/>
  <c r="Y967" i="2" a="1"/>
  <c r="Y967" i="2" s="1"/>
  <c r="Y966" i="2" a="1"/>
  <c r="Y966" i="2" s="1"/>
  <c r="Y965" i="2" a="1"/>
  <c r="Y965" i="2" s="1"/>
  <c r="Y964" i="2" a="1"/>
  <c r="Y964" i="2" s="1"/>
  <c r="Y963" i="2" a="1"/>
  <c r="Y963" i="2" s="1"/>
  <c r="Y962" i="2" a="1"/>
  <c r="Y962" i="2" s="1"/>
  <c r="Y961" i="2" a="1"/>
  <c r="Y961" i="2" s="1"/>
  <c r="Y960" i="2" a="1"/>
  <c r="Y960" i="2" s="1"/>
  <c r="Y959" i="2" a="1"/>
  <c r="Y959" i="2" s="1"/>
  <c r="Y958" i="2" a="1"/>
  <c r="Y958" i="2" s="1"/>
  <c r="Y957" i="2" a="1"/>
  <c r="Y957" i="2" s="1"/>
  <c r="Y956" i="2" a="1"/>
  <c r="Y956" i="2" s="1"/>
  <c r="Y955" i="2" a="1"/>
  <c r="Y955" i="2" s="1"/>
  <c r="Y954" i="2" a="1"/>
  <c r="Y954" i="2" s="1"/>
  <c r="Y953" i="2" a="1"/>
  <c r="Y953" i="2" s="1"/>
  <c r="Y952" i="2" a="1"/>
  <c r="Y952" i="2" s="1"/>
  <c r="Y951" i="2" a="1"/>
  <c r="Y951" i="2" s="1"/>
  <c r="Y950" i="2" a="1"/>
  <c r="Y950" i="2" s="1"/>
  <c r="Y949" i="2" a="1"/>
  <c r="Y949" i="2" s="1"/>
  <c r="Y948" i="2" a="1"/>
  <c r="Y948" i="2" s="1"/>
  <c r="Y947" i="2" a="1"/>
  <c r="Y947" i="2" s="1"/>
  <c r="Y946" i="2" a="1"/>
  <c r="Y946" i="2" s="1"/>
  <c r="Y945" i="2" a="1"/>
  <c r="Y945" i="2" s="1"/>
  <c r="Y944" i="2" a="1"/>
  <c r="Y944" i="2" s="1"/>
  <c r="Y943" i="2" a="1"/>
  <c r="Y943" i="2" s="1"/>
  <c r="Y942" i="2" a="1"/>
  <c r="Y942" i="2" s="1"/>
  <c r="Y941" i="2" a="1"/>
  <c r="Y941" i="2" s="1"/>
  <c r="Y940" i="2" a="1"/>
  <c r="Y940" i="2" s="1"/>
  <c r="Y939" i="2" a="1"/>
  <c r="Y939" i="2" s="1"/>
  <c r="Y938" i="2" a="1"/>
  <c r="Y938" i="2" s="1"/>
  <c r="Y937" i="2" a="1"/>
  <c r="Y937" i="2" s="1"/>
  <c r="Y936" i="2" a="1"/>
  <c r="Y936" i="2" s="1"/>
  <c r="Y935" i="2" a="1"/>
  <c r="Y935" i="2" s="1"/>
  <c r="Y934" i="2" a="1"/>
  <c r="Y934" i="2" s="1"/>
  <c r="Y933" i="2" a="1"/>
  <c r="Y933" i="2" s="1"/>
  <c r="Y932" i="2" a="1"/>
  <c r="Y932" i="2" s="1"/>
  <c r="Y931" i="2" a="1"/>
  <c r="Y931" i="2" s="1"/>
  <c r="Y930" i="2" a="1"/>
  <c r="Y930" i="2" s="1"/>
  <c r="Y929" i="2" a="1"/>
  <c r="Y929" i="2" s="1"/>
  <c r="Y928" i="2" a="1"/>
  <c r="Y928" i="2" s="1"/>
  <c r="Y927" i="2" a="1"/>
  <c r="Y927" i="2" s="1"/>
  <c r="Y926" i="2" a="1"/>
  <c r="Y926" i="2" s="1"/>
  <c r="Y925" i="2" a="1"/>
  <c r="Y925" i="2" s="1"/>
  <c r="Y924" i="2" a="1"/>
  <c r="Y924" i="2" s="1"/>
  <c r="Y923" i="2" a="1"/>
  <c r="Y923" i="2" s="1"/>
  <c r="Y922" i="2" a="1"/>
  <c r="Y922" i="2" s="1"/>
  <c r="Y921" i="2" a="1"/>
  <c r="Y921" i="2" s="1"/>
  <c r="Y920" i="2" a="1"/>
  <c r="Y920" i="2" s="1"/>
  <c r="Y919" i="2" a="1"/>
  <c r="Y919" i="2" s="1"/>
  <c r="Y918" i="2" a="1"/>
  <c r="Y918" i="2" s="1"/>
  <c r="Y917" i="2" a="1"/>
  <c r="Y917" i="2" s="1"/>
  <c r="Y916" i="2" a="1"/>
  <c r="Y916" i="2" s="1"/>
  <c r="Y915" i="2" a="1"/>
  <c r="Y915" i="2" s="1"/>
  <c r="Y914" i="2" a="1"/>
  <c r="Y914" i="2" s="1"/>
  <c r="Y913" i="2" a="1"/>
  <c r="Y913" i="2" s="1"/>
  <c r="Y912" i="2" a="1"/>
  <c r="Y912" i="2" s="1"/>
  <c r="Y911" i="2" a="1"/>
  <c r="Y911" i="2" s="1"/>
  <c r="Y910" i="2" a="1"/>
  <c r="Y910" i="2" s="1"/>
  <c r="Y909" i="2" a="1"/>
  <c r="Y909" i="2" s="1"/>
  <c r="Y908" i="2" a="1"/>
  <c r="Y908" i="2" s="1"/>
  <c r="Y907" i="2" a="1"/>
  <c r="Y907" i="2" s="1"/>
  <c r="Y906" i="2" a="1"/>
  <c r="Y906" i="2" s="1"/>
  <c r="Y905" i="2" a="1"/>
  <c r="Y905" i="2" s="1"/>
  <c r="Y904" i="2" a="1"/>
  <c r="Y904" i="2" s="1"/>
  <c r="Y903" i="2" a="1"/>
  <c r="Y903" i="2" s="1"/>
  <c r="Y902" i="2" a="1"/>
  <c r="Y902" i="2" s="1"/>
  <c r="Y901" i="2" a="1"/>
  <c r="Y901" i="2" s="1"/>
  <c r="Y900" i="2" a="1"/>
  <c r="Y900" i="2" s="1"/>
  <c r="Y899" i="2" a="1"/>
  <c r="Y899" i="2" s="1"/>
  <c r="Y898" i="2" a="1"/>
  <c r="Y898" i="2" s="1"/>
  <c r="Y897" i="2" a="1"/>
  <c r="Y897" i="2" s="1"/>
  <c r="Y896" i="2" a="1"/>
  <c r="Y896" i="2" s="1"/>
  <c r="Y895" i="2" a="1"/>
  <c r="Y895" i="2" s="1"/>
  <c r="Y894" i="2" a="1"/>
  <c r="Y894" i="2" s="1"/>
  <c r="Y893" i="2" a="1"/>
  <c r="Y893" i="2" s="1"/>
  <c r="Y892" i="2" a="1"/>
  <c r="Y892" i="2" s="1"/>
  <c r="Y891" i="2" a="1"/>
  <c r="Y891" i="2" s="1"/>
  <c r="Y890" i="2" a="1"/>
  <c r="Y890" i="2" s="1"/>
  <c r="Y889" i="2" a="1"/>
  <c r="Y889" i="2" s="1"/>
  <c r="Y888" i="2" a="1"/>
  <c r="Y888" i="2" s="1"/>
  <c r="Y887" i="2" a="1"/>
  <c r="Y887" i="2" s="1"/>
  <c r="Y886" i="2" a="1"/>
  <c r="Y886" i="2" s="1"/>
  <c r="Y885" i="2" a="1"/>
  <c r="Y885" i="2" s="1"/>
  <c r="Y884" i="2" a="1"/>
  <c r="Y884" i="2" s="1"/>
  <c r="Y883" i="2" a="1"/>
  <c r="Y883" i="2" s="1"/>
  <c r="Y882" i="2" a="1"/>
  <c r="Y882" i="2" s="1"/>
  <c r="Y881" i="2" a="1"/>
  <c r="Y881" i="2" s="1"/>
  <c r="Y880" i="2" a="1"/>
  <c r="Y880" i="2" s="1"/>
  <c r="Y879" i="2" a="1"/>
  <c r="Y879" i="2" s="1"/>
  <c r="Y878" i="2" a="1"/>
  <c r="Y878" i="2" s="1"/>
  <c r="Y877" i="2" a="1"/>
  <c r="Y877" i="2" s="1"/>
  <c r="Y876" i="2" a="1"/>
  <c r="Y876" i="2" s="1"/>
  <c r="Y875" i="2" a="1"/>
  <c r="Y875" i="2" s="1"/>
  <c r="Y874" i="2" a="1"/>
  <c r="Y874" i="2" s="1"/>
  <c r="Y873" i="2" a="1"/>
  <c r="Y873" i="2" s="1"/>
  <c r="Y872" i="2" a="1"/>
  <c r="Y872" i="2" s="1"/>
  <c r="Y871" i="2" a="1"/>
  <c r="Y871" i="2" s="1"/>
  <c r="Y870" i="2" a="1"/>
  <c r="Y870" i="2" s="1"/>
  <c r="Y869" i="2" a="1"/>
  <c r="Y869" i="2" s="1"/>
  <c r="Y868" i="2" a="1"/>
  <c r="Y868" i="2" s="1"/>
  <c r="Y867" i="2" a="1"/>
  <c r="Y867" i="2" s="1"/>
  <c r="Y866" i="2" a="1"/>
  <c r="Y866" i="2" s="1"/>
  <c r="Y865" i="2" a="1"/>
  <c r="Y865" i="2" s="1"/>
  <c r="Y864" i="2" a="1"/>
  <c r="Y864" i="2" s="1"/>
  <c r="Y863" i="2" a="1"/>
  <c r="Y863" i="2" s="1"/>
  <c r="Y862" i="2" a="1"/>
  <c r="Y862" i="2" s="1"/>
  <c r="Y861" i="2" a="1"/>
  <c r="Y861" i="2" s="1"/>
  <c r="Y860" i="2" a="1"/>
  <c r="Y860" i="2" s="1"/>
  <c r="Y859" i="2" a="1"/>
  <c r="Y859" i="2" s="1"/>
  <c r="Y858" i="2" a="1"/>
  <c r="Y858" i="2" s="1"/>
  <c r="Y857" i="2" a="1"/>
  <c r="Y857" i="2" s="1"/>
  <c r="Y856" i="2" a="1"/>
  <c r="Y856" i="2" s="1"/>
  <c r="Y855" i="2" a="1"/>
  <c r="Y855" i="2" s="1"/>
  <c r="Y854" i="2" a="1"/>
  <c r="Y854" i="2" s="1"/>
  <c r="Y853" i="2" a="1"/>
  <c r="Y853" i="2" s="1"/>
  <c r="Y852" i="2" a="1"/>
  <c r="Y852" i="2" s="1"/>
  <c r="Y851" i="2" a="1"/>
  <c r="Y851" i="2" s="1"/>
  <c r="Y850" i="2" a="1"/>
  <c r="Y850" i="2" s="1"/>
  <c r="Y849" i="2" a="1"/>
  <c r="Y849" i="2" s="1"/>
  <c r="Y848" i="2" a="1"/>
  <c r="Y848" i="2" s="1"/>
  <c r="Y847" i="2" a="1"/>
  <c r="Y847" i="2" s="1"/>
  <c r="Y846" i="2" a="1"/>
  <c r="Y846" i="2" s="1"/>
  <c r="Y845" i="2" a="1"/>
  <c r="Y845" i="2" s="1"/>
  <c r="Y844" i="2" a="1"/>
  <c r="Y844" i="2" s="1"/>
  <c r="Y843" i="2" a="1"/>
  <c r="Y843" i="2" s="1"/>
  <c r="Y842" i="2" a="1"/>
  <c r="Y842" i="2" s="1"/>
  <c r="Y841" i="2" a="1"/>
  <c r="Y841" i="2" s="1"/>
  <c r="Y840" i="2" a="1"/>
  <c r="Y840" i="2" s="1"/>
  <c r="Y839" i="2" a="1"/>
  <c r="Y839" i="2" s="1"/>
  <c r="Y838" i="2" a="1"/>
  <c r="Y838" i="2" s="1"/>
  <c r="Y837" i="2" a="1"/>
  <c r="Y837" i="2" s="1"/>
  <c r="Y836" i="2" a="1"/>
  <c r="Y836" i="2" s="1"/>
  <c r="Y835" i="2" a="1"/>
  <c r="Y835" i="2" s="1"/>
  <c r="Y834" i="2" a="1"/>
  <c r="Y834" i="2" s="1"/>
  <c r="Y833" i="2" a="1"/>
  <c r="Y833" i="2" s="1"/>
  <c r="Y832" i="2" a="1"/>
  <c r="Y832" i="2" s="1"/>
  <c r="Y831" i="2" a="1"/>
  <c r="Y831" i="2" s="1"/>
  <c r="Y830" i="2" a="1"/>
  <c r="Y830" i="2" s="1"/>
  <c r="Y829" i="2" a="1"/>
  <c r="Y829" i="2" s="1"/>
  <c r="Y828" i="2" a="1"/>
  <c r="Y828" i="2" s="1"/>
  <c r="Y827" i="2" a="1"/>
  <c r="Y827" i="2" s="1"/>
  <c r="Y826" i="2" a="1"/>
  <c r="Y826" i="2" s="1"/>
  <c r="Y825" i="2" a="1"/>
  <c r="Y825" i="2" s="1"/>
  <c r="Y824" i="2" a="1"/>
  <c r="Y824" i="2" s="1"/>
  <c r="Y823" i="2" a="1"/>
  <c r="Y823" i="2" s="1"/>
  <c r="Y822" i="2" a="1"/>
  <c r="Y822" i="2" s="1"/>
  <c r="Y821" i="2" a="1"/>
  <c r="Y821" i="2" s="1"/>
  <c r="Y820" i="2" a="1"/>
  <c r="Y820" i="2" s="1"/>
  <c r="Y819" i="2" a="1"/>
  <c r="Y819" i="2" s="1"/>
  <c r="Y818" i="2" a="1"/>
  <c r="Y818" i="2" s="1"/>
  <c r="Y817" i="2" a="1"/>
  <c r="Y817" i="2" s="1"/>
  <c r="Y816" i="2" a="1"/>
  <c r="Y816" i="2" s="1"/>
  <c r="Y815" i="2" a="1"/>
  <c r="Y815" i="2" s="1"/>
  <c r="Y814" i="2" a="1"/>
  <c r="Y814" i="2" s="1"/>
  <c r="Y813" i="2" a="1"/>
  <c r="Y813" i="2" s="1"/>
  <c r="Y812" i="2" a="1"/>
  <c r="Y812" i="2" s="1"/>
  <c r="Y811" i="2" a="1"/>
  <c r="Y811" i="2" s="1"/>
  <c r="Y810" i="2" a="1"/>
  <c r="Y810" i="2" s="1"/>
  <c r="Y809" i="2" a="1"/>
  <c r="Y809" i="2" s="1"/>
  <c r="Y808" i="2" a="1"/>
  <c r="Y808" i="2" s="1"/>
  <c r="Y807" i="2" a="1"/>
  <c r="Y807" i="2" s="1"/>
  <c r="Y806" i="2" a="1"/>
  <c r="Y806" i="2" s="1"/>
  <c r="Y805" i="2" a="1"/>
  <c r="Y805" i="2" s="1"/>
  <c r="Y804" i="2" a="1"/>
  <c r="Y804" i="2" s="1"/>
  <c r="Y803" i="2" a="1"/>
  <c r="Y803" i="2" s="1"/>
  <c r="Y802" i="2" a="1"/>
  <c r="Y802" i="2" s="1"/>
  <c r="Y801" i="2" a="1"/>
  <c r="Y801" i="2" s="1"/>
  <c r="Y800" i="2" a="1"/>
  <c r="Y800" i="2" s="1"/>
  <c r="Y799" i="2" a="1"/>
  <c r="Y799" i="2" s="1"/>
  <c r="Y798" i="2" a="1"/>
  <c r="Y798" i="2" s="1"/>
  <c r="Y797" i="2" a="1"/>
  <c r="Y797" i="2" s="1"/>
  <c r="Y796" i="2" a="1"/>
  <c r="Y796" i="2" s="1"/>
  <c r="Y795" i="2" a="1"/>
  <c r="Y795" i="2" s="1"/>
  <c r="Y794" i="2" a="1"/>
  <c r="Y794" i="2" s="1"/>
  <c r="Y793" i="2" a="1"/>
  <c r="Y793" i="2" s="1"/>
  <c r="Y792" i="2" a="1"/>
  <c r="Y792" i="2" s="1"/>
  <c r="Y791" i="2" a="1"/>
  <c r="Y791" i="2" s="1"/>
  <c r="Y790" i="2" a="1"/>
  <c r="Y790" i="2" s="1"/>
  <c r="Y789" i="2" a="1"/>
  <c r="Y789" i="2" s="1"/>
  <c r="Y788" i="2" a="1"/>
  <c r="Y788" i="2" s="1"/>
  <c r="Y787" i="2" a="1"/>
  <c r="Y787" i="2" s="1"/>
  <c r="Y786" i="2" a="1"/>
  <c r="Y786" i="2" s="1"/>
  <c r="Y785" i="2" a="1"/>
  <c r="Y785" i="2" s="1"/>
  <c r="Y784" i="2" a="1"/>
  <c r="Y784" i="2" s="1"/>
  <c r="Y783" i="2" a="1"/>
  <c r="Y783" i="2" s="1"/>
  <c r="Y782" i="2" a="1"/>
  <c r="Y782" i="2" s="1"/>
  <c r="Y781" i="2" a="1"/>
  <c r="Y781" i="2" s="1"/>
  <c r="Y780" i="2" a="1"/>
  <c r="Y780" i="2" s="1"/>
  <c r="Y779" i="2" a="1"/>
  <c r="Y779" i="2" s="1"/>
  <c r="Y778" i="2" a="1"/>
  <c r="Y778" i="2" s="1"/>
  <c r="Y777" i="2" a="1"/>
  <c r="Y777" i="2" s="1"/>
  <c r="Y776" i="2" a="1"/>
  <c r="Y776" i="2" s="1"/>
  <c r="Y775" i="2" a="1"/>
  <c r="Y775" i="2" s="1"/>
  <c r="Y774" i="2" a="1"/>
  <c r="Y774" i="2" s="1"/>
  <c r="Y773" i="2" a="1"/>
  <c r="Y773" i="2" s="1"/>
  <c r="Y772" i="2" a="1"/>
  <c r="Y772" i="2" s="1"/>
  <c r="Y771" i="2" a="1"/>
  <c r="Y771" i="2" s="1"/>
  <c r="Y770" i="2" a="1"/>
  <c r="Y770" i="2" s="1"/>
  <c r="Y769" i="2" a="1"/>
  <c r="Y769" i="2" s="1"/>
  <c r="Y768" i="2" a="1"/>
  <c r="Y768" i="2" s="1"/>
  <c r="Y767" i="2" a="1"/>
  <c r="Y767" i="2" s="1"/>
  <c r="Y766" i="2" a="1"/>
  <c r="Y766" i="2" s="1"/>
  <c r="Y765" i="2" a="1"/>
  <c r="Y765" i="2" s="1"/>
  <c r="Y764" i="2" a="1"/>
  <c r="Y764" i="2" s="1"/>
  <c r="Y763" i="2" a="1"/>
  <c r="Y763" i="2" s="1"/>
  <c r="Y762" i="2" a="1"/>
  <c r="Y762" i="2" s="1"/>
  <c r="Y761" i="2" a="1"/>
  <c r="Y761" i="2" s="1"/>
  <c r="Y760" i="2" a="1"/>
  <c r="Y760" i="2" s="1"/>
  <c r="Y759" i="2" a="1"/>
  <c r="Y759" i="2" s="1"/>
  <c r="Y758" i="2" a="1"/>
  <c r="Y758" i="2" s="1"/>
  <c r="Y757" i="2" a="1"/>
  <c r="Y757" i="2" s="1"/>
  <c r="Y756" i="2" a="1"/>
  <c r="Y756" i="2" s="1"/>
  <c r="Y755" i="2" a="1"/>
  <c r="Y755" i="2" s="1"/>
  <c r="Y754" i="2" a="1"/>
  <c r="Y754" i="2" s="1"/>
  <c r="Y753" i="2" a="1"/>
  <c r="Y753" i="2" s="1"/>
  <c r="Y752" i="2" a="1"/>
  <c r="Y752" i="2" s="1"/>
  <c r="Y751" i="2" a="1"/>
  <c r="Y751" i="2" s="1"/>
  <c r="Y750" i="2" a="1"/>
  <c r="Y750" i="2" s="1"/>
  <c r="Y749" i="2" a="1"/>
  <c r="Y749" i="2" s="1"/>
  <c r="Y748" i="2" a="1"/>
  <c r="Y748" i="2" s="1"/>
  <c r="Y747" i="2" a="1"/>
  <c r="Y747" i="2" s="1"/>
  <c r="Y746" i="2" a="1"/>
  <c r="Y746" i="2" s="1"/>
  <c r="Y745" i="2" a="1"/>
  <c r="Y745" i="2" s="1"/>
  <c r="Y744" i="2" a="1"/>
  <c r="Y744" i="2" s="1"/>
  <c r="Y743" i="2" a="1"/>
  <c r="Y743" i="2" s="1"/>
  <c r="Y742" i="2" a="1"/>
  <c r="Y742" i="2" s="1"/>
  <c r="Y741" i="2" a="1"/>
  <c r="Y741" i="2" s="1"/>
  <c r="Y740" i="2" a="1"/>
  <c r="Y740" i="2" s="1"/>
  <c r="Y739" i="2" a="1"/>
  <c r="Y739" i="2" s="1"/>
  <c r="Y738" i="2" a="1"/>
  <c r="Y738" i="2" s="1"/>
  <c r="Y737" i="2" a="1"/>
  <c r="Y737" i="2" s="1"/>
  <c r="Y736" i="2" a="1"/>
  <c r="Y736" i="2" s="1"/>
  <c r="Y735" i="2" a="1"/>
  <c r="Y735" i="2" s="1"/>
  <c r="Y734" i="2" a="1"/>
  <c r="Y734" i="2" s="1"/>
  <c r="Y733" i="2" a="1"/>
  <c r="Y733" i="2" s="1"/>
  <c r="Y732" i="2" a="1"/>
  <c r="Y732" i="2" s="1"/>
  <c r="Y731" i="2" a="1"/>
  <c r="Y731" i="2" s="1"/>
  <c r="Y730" i="2" a="1"/>
  <c r="Y730" i="2" s="1"/>
  <c r="Y729" i="2" a="1"/>
  <c r="Y729" i="2" s="1"/>
  <c r="Y728" i="2" a="1"/>
  <c r="Y728" i="2" s="1"/>
  <c r="Y727" i="2" a="1"/>
  <c r="Y727" i="2" s="1"/>
  <c r="Y726" i="2" a="1"/>
  <c r="Y726" i="2" s="1"/>
  <c r="Y725" i="2" a="1"/>
  <c r="Y725" i="2" s="1"/>
  <c r="Y724" i="2" a="1"/>
  <c r="Y724" i="2" s="1"/>
  <c r="Y723" i="2" a="1"/>
  <c r="Y723" i="2" s="1"/>
  <c r="Y722" i="2" a="1"/>
  <c r="Y722" i="2" s="1"/>
  <c r="Y721" i="2" a="1"/>
  <c r="Y721" i="2" s="1"/>
  <c r="Y720" i="2" a="1"/>
  <c r="Y720" i="2" s="1"/>
  <c r="Y719" i="2" a="1"/>
  <c r="Y719" i="2" s="1"/>
  <c r="Y718" i="2" a="1"/>
  <c r="Y718" i="2" s="1"/>
  <c r="Y717" i="2" a="1"/>
  <c r="Y717" i="2" s="1"/>
  <c r="Y716" i="2" a="1"/>
  <c r="Y716" i="2" s="1"/>
  <c r="Y715" i="2" a="1"/>
  <c r="Y715" i="2" s="1"/>
  <c r="Y714" i="2" a="1"/>
  <c r="Y714" i="2" s="1"/>
  <c r="Y713" i="2" a="1"/>
  <c r="Y713" i="2" s="1"/>
  <c r="Y712" i="2" a="1"/>
  <c r="Y712" i="2" s="1"/>
  <c r="Y711" i="2" a="1"/>
  <c r="Y711" i="2" s="1"/>
  <c r="Y710" i="2" a="1"/>
  <c r="Y710" i="2" s="1"/>
  <c r="Y709" i="2" a="1"/>
  <c r="Y709" i="2" s="1"/>
  <c r="Y708" i="2" a="1"/>
  <c r="Y708" i="2" s="1"/>
  <c r="Y707" i="2" a="1"/>
  <c r="Y707" i="2" s="1"/>
  <c r="Y706" i="2" a="1"/>
  <c r="Y706" i="2" s="1"/>
  <c r="Y705" i="2" a="1"/>
  <c r="Y705" i="2" s="1"/>
  <c r="Y704" i="2" a="1"/>
  <c r="Y704" i="2" s="1"/>
  <c r="Y703" i="2" a="1"/>
  <c r="Y703" i="2" s="1"/>
  <c r="Y702" i="2" a="1"/>
  <c r="Y702" i="2" s="1"/>
  <c r="Y701" i="2" a="1"/>
  <c r="Y701" i="2" s="1"/>
  <c r="Y700" i="2" a="1"/>
  <c r="Y700" i="2" s="1"/>
  <c r="Y699" i="2" a="1"/>
  <c r="Y699" i="2" s="1"/>
  <c r="Y698" i="2" a="1"/>
  <c r="Y698" i="2" s="1"/>
  <c r="Y697" i="2" a="1"/>
  <c r="Y697" i="2" s="1"/>
  <c r="Y696" i="2" a="1"/>
  <c r="Y696" i="2" s="1"/>
  <c r="Y695" i="2" a="1"/>
  <c r="Y695" i="2" s="1"/>
  <c r="Y694" i="2" a="1"/>
  <c r="Y694" i="2" s="1"/>
  <c r="Y693" i="2" a="1"/>
  <c r="Y693" i="2" s="1"/>
  <c r="Y692" i="2" a="1"/>
  <c r="Y692" i="2" s="1"/>
  <c r="Y691" i="2" a="1"/>
  <c r="Y691" i="2" s="1"/>
  <c r="Y690" i="2" a="1"/>
  <c r="Y690" i="2" s="1"/>
  <c r="Y689" i="2" a="1"/>
  <c r="Y689" i="2" s="1"/>
  <c r="Y688" i="2" a="1"/>
  <c r="Y688" i="2" s="1"/>
  <c r="Y687" i="2" a="1"/>
  <c r="Y687" i="2" s="1"/>
  <c r="Y686" i="2" a="1"/>
  <c r="Y686" i="2" s="1"/>
  <c r="Y685" i="2" a="1"/>
  <c r="Y685" i="2" s="1"/>
  <c r="Y684" i="2" a="1"/>
  <c r="Y684" i="2" s="1"/>
  <c r="Y683" i="2" a="1"/>
  <c r="Y683" i="2" s="1"/>
  <c r="Y682" i="2" a="1"/>
  <c r="Y682" i="2" s="1"/>
  <c r="Y681" i="2" a="1"/>
  <c r="Y681" i="2" s="1"/>
  <c r="Y680" i="2" a="1"/>
  <c r="Y680" i="2" s="1"/>
  <c r="Y679" i="2" a="1"/>
  <c r="Y679" i="2" s="1"/>
  <c r="Y678" i="2" a="1"/>
  <c r="Y678" i="2" s="1"/>
  <c r="Y677" i="2" a="1"/>
  <c r="Y677" i="2" s="1"/>
  <c r="Y676" i="2" a="1"/>
  <c r="Y676" i="2" s="1"/>
  <c r="Y675" i="2" a="1"/>
  <c r="Y675" i="2" s="1"/>
  <c r="Y674" i="2" a="1"/>
  <c r="Y674" i="2" s="1"/>
  <c r="Y673" i="2" a="1"/>
  <c r="Y673" i="2" s="1"/>
  <c r="Y672" i="2" a="1"/>
  <c r="Y672" i="2" s="1"/>
  <c r="Y671" i="2" a="1"/>
  <c r="Y671" i="2" s="1"/>
  <c r="Y670" i="2" a="1"/>
  <c r="Y670" i="2" s="1"/>
  <c r="Y669" i="2" a="1"/>
  <c r="Y669" i="2" s="1"/>
  <c r="Y668" i="2" a="1"/>
  <c r="Y668" i="2" s="1"/>
  <c r="Y667" i="2" a="1"/>
  <c r="Y667" i="2" s="1"/>
  <c r="Y666" i="2" a="1"/>
  <c r="Y666" i="2" s="1"/>
  <c r="Y665" i="2" a="1"/>
  <c r="Y665" i="2" s="1"/>
  <c r="Y664" i="2" a="1"/>
  <c r="Y664" i="2" s="1"/>
  <c r="Y663" i="2" a="1"/>
  <c r="Y663" i="2" s="1"/>
  <c r="Y662" i="2" a="1"/>
  <c r="Y662" i="2" s="1"/>
  <c r="Y661" i="2" a="1"/>
  <c r="Y661" i="2" s="1"/>
  <c r="Y660" i="2" a="1"/>
  <c r="Y660" i="2" s="1"/>
  <c r="Y659" i="2" a="1"/>
  <c r="Y659" i="2" s="1"/>
  <c r="Y658" i="2" a="1"/>
  <c r="Y658" i="2" s="1"/>
  <c r="Y657" i="2" a="1"/>
  <c r="Y657" i="2" s="1"/>
  <c r="Y656" i="2" a="1"/>
  <c r="Y656" i="2" s="1"/>
  <c r="Y655" i="2" a="1"/>
  <c r="Y655" i="2" s="1"/>
  <c r="Y654" i="2" a="1"/>
  <c r="Y654" i="2" s="1"/>
  <c r="Y653" i="2" a="1"/>
  <c r="Y653" i="2" s="1"/>
  <c r="Y652" i="2" a="1"/>
  <c r="Y652" i="2" s="1"/>
  <c r="Y651" i="2" a="1"/>
  <c r="Y651" i="2" s="1"/>
  <c r="Y650" i="2" a="1"/>
  <c r="Y650" i="2" s="1"/>
  <c r="Y649" i="2" a="1"/>
  <c r="Y649" i="2" s="1"/>
  <c r="Y648" i="2" a="1"/>
  <c r="Y648" i="2" s="1"/>
  <c r="Y647" i="2" a="1"/>
  <c r="Y647" i="2" s="1"/>
  <c r="Y646" i="2" a="1"/>
  <c r="Y646" i="2" s="1"/>
  <c r="Y645" i="2" a="1"/>
  <c r="Y645" i="2" s="1"/>
  <c r="Y644" i="2" a="1"/>
  <c r="Y644" i="2" s="1"/>
  <c r="Y643" i="2" a="1"/>
  <c r="Y643" i="2" s="1"/>
  <c r="Y642" i="2" a="1"/>
  <c r="Y642" i="2" s="1"/>
  <c r="Y641" i="2" a="1"/>
  <c r="Y641" i="2" s="1"/>
  <c r="Y640" i="2" a="1"/>
  <c r="Y640" i="2" s="1"/>
  <c r="Y639" i="2" a="1"/>
  <c r="Y639" i="2" s="1"/>
  <c r="Y638" i="2" a="1"/>
  <c r="Y638" i="2" s="1"/>
  <c r="Y637" i="2" a="1"/>
  <c r="Y637" i="2" s="1"/>
  <c r="Y636" i="2" a="1"/>
  <c r="Y636" i="2" s="1"/>
  <c r="Y635" i="2" a="1"/>
  <c r="Y635" i="2" s="1"/>
  <c r="Y634" i="2" a="1"/>
  <c r="Y634" i="2" s="1"/>
  <c r="Y633" i="2" a="1"/>
  <c r="Y633" i="2" s="1"/>
  <c r="Y632" i="2" a="1"/>
  <c r="Y632" i="2" s="1"/>
  <c r="Y631" i="2" a="1"/>
  <c r="Y631" i="2" s="1"/>
  <c r="Y630" i="2" a="1"/>
  <c r="Y630" i="2" s="1"/>
  <c r="Y629" i="2" a="1"/>
  <c r="Y629" i="2" s="1"/>
  <c r="Y628" i="2" a="1"/>
  <c r="Y628" i="2" s="1"/>
  <c r="Y627" i="2" a="1"/>
  <c r="Y627" i="2" s="1"/>
  <c r="Y626" i="2" a="1"/>
  <c r="Y626" i="2" s="1"/>
  <c r="Y625" i="2" a="1"/>
  <c r="Y625" i="2" s="1"/>
  <c r="Y624" i="2" a="1"/>
  <c r="Y624" i="2" s="1"/>
  <c r="Y623" i="2" a="1"/>
  <c r="Y623" i="2" s="1"/>
  <c r="Y622" i="2" a="1"/>
  <c r="Y622" i="2" s="1"/>
  <c r="Y621" i="2" a="1"/>
  <c r="Y621" i="2" s="1"/>
  <c r="Y620" i="2" a="1"/>
  <c r="Y620" i="2" s="1"/>
  <c r="Y619" i="2" a="1"/>
  <c r="Y619" i="2" s="1"/>
  <c r="Y618" i="2" a="1"/>
  <c r="Y618" i="2" s="1"/>
  <c r="Y617" i="2" a="1"/>
  <c r="Y617" i="2" s="1"/>
  <c r="Y616" i="2" a="1"/>
  <c r="Y616" i="2" s="1"/>
  <c r="Y615" i="2" a="1"/>
  <c r="Y615" i="2" s="1"/>
  <c r="Y614" i="2" a="1"/>
  <c r="Y614" i="2" s="1"/>
  <c r="Y613" i="2" a="1"/>
  <c r="Y613" i="2" s="1"/>
  <c r="Y612" i="2" a="1"/>
  <c r="Y612" i="2" s="1"/>
  <c r="Y611" i="2" a="1"/>
  <c r="Y611" i="2" s="1"/>
  <c r="Y610" i="2" a="1"/>
  <c r="Y610" i="2" s="1"/>
  <c r="Y609" i="2" a="1"/>
  <c r="Y609" i="2" s="1"/>
  <c r="Y608" i="2" a="1"/>
  <c r="Y608" i="2" s="1"/>
  <c r="Y607" i="2" a="1"/>
  <c r="Y607" i="2" s="1"/>
  <c r="Y606" i="2" a="1"/>
  <c r="Y606" i="2" s="1"/>
  <c r="Y605" i="2" a="1"/>
  <c r="Y605" i="2" s="1"/>
  <c r="Y604" i="2" a="1"/>
  <c r="Y604" i="2" s="1"/>
  <c r="Y603" i="2" a="1"/>
  <c r="Y603" i="2" s="1"/>
  <c r="Y602" i="2" a="1"/>
  <c r="Y602" i="2" s="1"/>
  <c r="Y601" i="2" a="1"/>
  <c r="Y601" i="2" s="1"/>
  <c r="Y600" i="2" a="1"/>
  <c r="Y600" i="2" s="1"/>
  <c r="Y599" i="2" a="1"/>
  <c r="Y599" i="2" s="1"/>
  <c r="Y598" i="2" a="1"/>
  <c r="Y598" i="2" s="1"/>
  <c r="Y597" i="2" a="1"/>
  <c r="Y597" i="2" s="1"/>
  <c r="Y596" i="2" a="1"/>
  <c r="Y596" i="2" s="1"/>
  <c r="Y595" i="2" a="1"/>
  <c r="Y595" i="2" s="1"/>
  <c r="Y594" i="2" a="1"/>
  <c r="Y594" i="2" s="1"/>
  <c r="Y593" i="2" a="1"/>
  <c r="Y593" i="2" s="1"/>
  <c r="Y592" i="2" a="1"/>
  <c r="Y592" i="2" s="1"/>
  <c r="Y591" i="2" a="1"/>
  <c r="Y591" i="2" s="1"/>
  <c r="Y590" i="2" a="1"/>
  <c r="Y590" i="2" s="1"/>
  <c r="Y589" i="2" a="1"/>
  <c r="Y589" i="2" s="1"/>
  <c r="Y588" i="2" a="1"/>
  <c r="Y588" i="2" s="1"/>
  <c r="Y587" i="2" a="1"/>
  <c r="Y587" i="2" s="1"/>
  <c r="Y586" i="2" a="1"/>
  <c r="Y586" i="2" s="1"/>
  <c r="Y585" i="2" a="1"/>
  <c r="Y585" i="2" s="1"/>
  <c r="Y584" i="2" a="1"/>
  <c r="Y584" i="2" s="1"/>
  <c r="Y583" i="2" a="1"/>
  <c r="Y583" i="2" s="1"/>
  <c r="Y582" i="2" a="1"/>
  <c r="Y582" i="2" s="1"/>
  <c r="Y581" i="2" a="1"/>
  <c r="Y581" i="2" s="1"/>
  <c r="Y580" i="2" a="1"/>
  <c r="Y580" i="2" s="1"/>
  <c r="Y579" i="2" a="1"/>
  <c r="Y579" i="2" s="1"/>
  <c r="Y578" i="2" a="1"/>
  <c r="Y578" i="2" s="1"/>
  <c r="Y577" i="2" a="1"/>
  <c r="Y577" i="2" s="1"/>
  <c r="Y576" i="2" a="1"/>
  <c r="Y576" i="2" s="1"/>
  <c r="Y575" i="2" a="1"/>
  <c r="Y575" i="2" s="1"/>
  <c r="Y574" i="2" a="1"/>
  <c r="Y574" i="2" s="1"/>
  <c r="Y573" i="2" a="1"/>
  <c r="Y573" i="2" s="1"/>
  <c r="Y572" i="2" a="1"/>
  <c r="Y572" i="2" s="1"/>
  <c r="Y571" i="2" a="1"/>
  <c r="Y571" i="2" s="1"/>
  <c r="Y570" i="2" a="1"/>
  <c r="Y570" i="2" s="1"/>
  <c r="Y569" i="2" a="1"/>
  <c r="Y569" i="2" s="1"/>
  <c r="Y568" i="2" a="1"/>
  <c r="Y568" i="2" s="1"/>
  <c r="Y567" i="2" a="1"/>
  <c r="Y567" i="2" s="1"/>
  <c r="Y566" i="2" a="1"/>
  <c r="Y566" i="2" s="1"/>
  <c r="Y565" i="2" a="1"/>
  <c r="Y565" i="2" s="1"/>
  <c r="Y564" i="2" a="1"/>
  <c r="Y564" i="2" s="1"/>
  <c r="Y563" i="2" a="1"/>
  <c r="Y563" i="2" s="1"/>
  <c r="Y562" i="2" a="1"/>
  <c r="Y562" i="2" s="1"/>
  <c r="Y561" i="2" a="1"/>
  <c r="Y561" i="2" s="1"/>
  <c r="Y560" i="2" a="1"/>
  <c r="Y560" i="2" s="1"/>
  <c r="Y559" i="2" a="1"/>
  <c r="Y559" i="2" s="1"/>
  <c r="Y558" i="2" a="1"/>
  <c r="Y558" i="2" s="1"/>
  <c r="Y557" i="2" a="1"/>
  <c r="Y557" i="2" s="1"/>
  <c r="Y556" i="2" a="1"/>
  <c r="Y556" i="2" s="1"/>
  <c r="Y555" i="2" a="1"/>
  <c r="Y555" i="2" s="1"/>
  <c r="Y554" i="2" a="1"/>
  <c r="Y554" i="2" s="1"/>
  <c r="Y553" i="2" a="1"/>
  <c r="Y553" i="2" s="1"/>
  <c r="Y552" i="2" a="1"/>
  <c r="Y552" i="2" s="1"/>
  <c r="Y551" i="2" a="1"/>
  <c r="Y551" i="2" s="1"/>
  <c r="Y550" i="2" a="1"/>
  <c r="Y550" i="2" s="1"/>
  <c r="Y549" i="2" a="1"/>
  <c r="Y549" i="2" s="1"/>
  <c r="Y548" i="2" a="1"/>
  <c r="Y548" i="2" s="1"/>
  <c r="Y547" i="2" a="1"/>
  <c r="Y547" i="2" s="1"/>
  <c r="Y546" i="2" a="1"/>
  <c r="Y546" i="2" s="1"/>
  <c r="Y545" i="2" a="1"/>
  <c r="Y545" i="2" s="1"/>
  <c r="Y544" i="2" a="1"/>
  <c r="Y544" i="2" s="1"/>
  <c r="Y543" i="2" a="1"/>
  <c r="Y543" i="2" s="1"/>
  <c r="Y542" i="2" a="1"/>
  <c r="Y542" i="2" s="1"/>
  <c r="Y541" i="2" a="1"/>
  <c r="Y541" i="2" s="1"/>
  <c r="Y540" i="2" a="1"/>
  <c r="Y540" i="2" s="1"/>
  <c r="Y539" i="2" a="1"/>
  <c r="Y539" i="2" s="1"/>
  <c r="Y538" i="2" a="1"/>
  <c r="Y538" i="2" s="1"/>
  <c r="Y537" i="2" a="1"/>
  <c r="Y537" i="2" s="1"/>
  <c r="Y536" i="2" a="1"/>
  <c r="Y536" i="2" s="1"/>
  <c r="Y535" i="2" a="1"/>
  <c r="Y535" i="2" s="1"/>
  <c r="Y534" i="2" a="1"/>
  <c r="Y534" i="2" s="1"/>
  <c r="Y533" i="2" a="1"/>
  <c r="Y533" i="2" s="1"/>
  <c r="Y532" i="2" a="1"/>
  <c r="Y532" i="2" s="1"/>
  <c r="Y531" i="2" a="1"/>
  <c r="Y531" i="2" s="1"/>
  <c r="Y530" i="2" a="1"/>
  <c r="Y530" i="2" s="1"/>
  <c r="Y529" i="2" a="1"/>
  <c r="Y529" i="2" s="1"/>
  <c r="Y528" i="2" a="1"/>
  <c r="Y528" i="2" s="1"/>
  <c r="Y527" i="2" a="1"/>
  <c r="Y527" i="2" s="1"/>
  <c r="Y526" i="2" a="1"/>
  <c r="Y526" i="2" s="1"/>
  <c r="Y525" i="2" a="1"/>
  <c r="Y525" i="2" s="1"/>
  <c r="Y524" i="2" a="1"/>
  <c r="Y524" i="2" s="1"/>
  <c r="Y523" i="2" a="1"/>
  <c r="Y523" i="2" s="1"/>
  <c r="Y522" i="2" a="1"/>
  <c r="Y522" i="2" s="1"/>
  <c r="Y521" i="2" a="1"/>
  <c r="Y521" i="2" s="1"/>
  <c r="Y520" i="2" a="1"/>
  <c r="Y520" i="2" s="1"/>
  <c r="Y519" i="2" a="1"/>
  <c r="Y519" i="2" s="1"/>
  <c r="Y518" i="2" a="1"/>
  <c r="Y518" i="2" s="1"/>
  <c r="Y517" i="2" a="1"/>
  <c r="Y517" i="2" s="1"/>
  <c r="Y516" i="2" a="1"/>
  <c r="Y516" i="2" s="1"/>
  <c r="Y515" i="2" a="1"/>
  <c r="Y515" i="2" s="1"/>
  <c r="Y514" i="2" a="1"/>
  <c r="Y514" i="2" s="1"/>
  <c r="Y513" i="2" a="1"/>
  <c r="Y513" i="2" s="1"/>
  <c r="Y512" i="2" a="1"/>
  <c r="Y512" i="2" s="1"/>
  <c r="Y511" i="2" a="1"/>
  <c r="Y511" i="2" s="1"/>
  <c r="Y510" i="2" a="1"/>
  <c r="Y510" i="2" s="1"/>
  <c r="Y509" i="2" a="1"/>
  <c r="Y509" i="2" s="1"/>
  <c r="Y508" i="2" a="1"/>
  <c r="Y508" i="2" s="1"/>
  <c r="Y507" i="2" a="1"/>
  <c r="Y507" i="2" s="1"/>
  <c r="Y506" i="2" a="1"/>
  <c r="Y506" i="2" s="1"/>
  <c r="Y505" i="2" a="1"/>
  <c r="Y505" i="2" s="1"/>
  <c r="Y504" i="2" a="1"/>
  <c r="Y504" i="2" s="1"/>
  <c r="Y503" i="2" a="1"/>
  <c r="Y503" i="2" s="1"/>
  <c r="Y502" i="2" a="1"/>
  <c r="Y502" i="2" s="1"/>
  <c r="Y501" i="2" a="1"/>
  <c r="Y501" i="2" s="1"/>
  <c r="Y500" i="2" a="1"/>
  <c r="Y500" i="2" s="1"/>
  <c r="Y499" i="2" a="1"/>
  <c r="Y499" i="2" s="1"/>
  <c r="Y498" i="2" a="1"/>
  <c r="Y498" i="2" s="1"/>
  <c r="Y497" i="2" a="1"/>
  <c r="Y497" i="2" s="1"/>
  <c r="Y496" i="2" a="1"/>
  <c r="Y496" i="2" s="1"/>
  <c r="Y495" i="2" a="1"/>
  <c r="Y495" i="2" s="1"/>
  <c r="Y494" i="2" a="1"/>
  <c r="Y494" i="2" s="1"/>
  <c r="Y493" i="2" a="1"/>
  <c r="Y493" i="2" s="1"/>
  <c r="Y492" i="2" a="1"/>
  <c r="Y492" i="2" s="1"/>
  <c r="Y491" i="2" a="1"/>
  <c r="Y491" i="2" s="1"/>
  <c r="Y490" i="2" a="1"/>
  <c r="Y490" i="2" s="1"/>
  <c r="Y489" i="2" a="1"/>
  <c r="Y489" i="2" s="1"/>
  <c r="Y488" i="2" a="1"/>
  <c r="Y488" i="2" s="1"/>
  <c r="Y487" i="2" a="1"/>
  <c r="Y487" i="2" s="1"/>
  <c r="Y486" i="2" a="1"/>
  <c r="Y486" i="2" s="1"/>
  <c r="Y485" i="2" a="1"/>
  <c r="Y485" i="2" s="1"/>
  <c r="Y484" i="2" a="1"/>
  <c r="Y484" i="2" s="1"/>
  <c r="Y483" i="2" a="1"/>
  <c r="Y483" i="2" s="1"/>
  <c r="Y482" i="2" a="1"/>
  <c r="Y482" i="2" s="1"/>
  <c r="Y481" i="2" a="1"/>
  <c r="Y481" i="2" s="1"/>
  <c r="Y480" i="2" a="1"/>
  <c r="Y480" i="2" s="1"/>
  <c r="Y479" i="2" a="1"/>
  <c r="Y479" i="2" s="1"/>
  <c r="Y478" i="2" a="1"/>
  <c r="Y478" i="2" s="1"/>
  <c r="Y477" i="2" a="1"/>
  <c r="Y477" i="2" s="1"/>
  <c r="Y476" i="2" a="1"/>
  <c r="Y476" i="2" s="1"/>
  <c r="Y475" i="2" a="1"/>
  <c r="Y475" i="2" s="1"/>
  <c r="Y474" i="2" a="1"/>
  <c r="Y474" i="2" s="1"/>
  <c r="Y473" i="2" a="1"/>
  <c r="Y473" i="2" s="1"/>
  <c r="Y472" i="2" a="1"/>
  <c r="Y472" i="2" s="1"/>
  <c r="Y471" i="2" a="1"/>
  <c r="Y471" i="2" s="1"/>
  <c r="Y470" i="2" a="1"/>
  <c r="Y470" i="2" s="1"/>
  <c r="Y469" i="2" a="1"/>
  <c r="Y469" i="2" s="1"/>
  <c r="Y468" i="2" a="1"/>
  <c r="Y468" i="2" s="1"/>
  <c r="Y467" i="2" a="1"/>
  <c r="Y467" i="2" s="1"/>
  <c r="Y466" i="2" a="1"/>
  <c r="Y466" i="2" s="1"/>
  <c r="Y465" i="2" a="1"/>
  <c r="Y465" i="2" s="1"/>
  <c r="Y464" i="2" a="1"/>
  <c r="Y464" i="2" s="1"/>
  <c r="Y463" i="2" a="1"/>
  <c r="Y463" i="2" s="1"/>
  <c r="Y462" i="2" a="1"/>
  <c r="Y462" i="2" s="1"/>
  <c r="Y461" i="2" a="1"/>
  <c r="Y461" i="2" s="1"/>
  <c r="Y460" i="2" a="1"/>
  <c r="Y460" i="2" s="1"/>
  <c r="Y459" i="2" a="1"/>
  <c r="Y459" i="2" s="1"/>
  <c r="Y458" i="2" a="1"/>
  <c r="Y458" i="2" s="1"/>
  <c r="Y457" i="2" a="1"/>
  <c r="Y457" i="2" s="1"/>
  <c r="Y456" i="2" a="1"/>
  <c r="Y456" i="2" s="1"/>
  <c r="Y455" i="2" a="1"/>
  <c r="Y455" i="2" s="1"/>
  <c r="Y454" i="2" a="1"/>
  <c r="Y454" i="2" s="1"/>
  <c r="Y453" i="2" a="1"/>
  <c r="Y453" i="2" s="1"/>
  <c r="Y452" i="2" a="1"/>
  <c r="Y452" i="2" s="1"/>
  <c r="Y451" i="2" a="1"/>
  <c r="Y451" i="2" s="1"/>
  <c r="Y450" i="2" a="1"/>
  <c r="Y450" i="2" s="1"/>
  <c r="Y449" i="2" a="1"/>
  <c r="Y449" i="2" s="1"/>
  <c r="Y448" i="2" a="1"/>
  <c r="Y448" i="2" s="1"/>
  <c r="Y447" i="2" a="1"/>
  <c r="Y447" i="2" s="1"/>
  <c r="Y446" i="2" a="1"/>
  <c r="Y446" i="2" s="1"/>
  <c r="Y445" i="2" a="1"/>
  <c r="Y445" i="2" s="1"/>
  <c r="Y444" i="2" a="1"/>
  <c r="Y444" i="2" s="1"/>
  <c r="Y443" i="2" a="1"/>
  <c r="Y443" i="2" s="1"/>
  <c r="Y442" i="2" a="1"/>
  <c r="Y442" i="2" s="1"/>
  <c r="Y441" i="2" a="1"/>
  <c r="Y441" i="2" s="1"/>
  <c r="Y440" i="2" a="1"/>
  <c r="Y440" i="2" s="1"/>
  <c r="Y439" i="2" a="1"/>
  <c r="Y439" i="2" s="1"/>
  <c r="Y438" i="2" a="1"/>
  <c r="Y438" i="2" s="1"/>
  <c r="Y437" i="2" a="1"/>
  <c r="Y437" i="2" s="1"/>
  <c r="Y436" i="2" a="1"/>
  <c r="Y436" i="2" s="1"/>
  <c r="Y435" i="2" a="1"/>
  <c r="Y435" i="2" s="1"/>
  <c r="Y434" i="2" a="1"/>
  <c r="Y434" i="2" s="1"/>
  <c r="Y433" i="2" a="1"/>
  <c r="Y433" i="2" s="1"/>
  <c r="Y432" i="2" a="1"/>
  <c r="Y432" i="2" s="1"/>
  <c r="Y431" i="2" a="1"/>
  <c r="Y431" i="2" s="1"/>
  <c r="Y430" i="2" a="1"/>
  <c r="Y430" i="2" s="1"/>
  <c r="Y429" i="2" a="1"/>
  <c r="Y429" i="2" s="1"/>
  <c r="Y428" i="2" a="1"/>
  <c r="Y428" i="2" s="1"/>
  <c r="Y427" i="2" a="1"/>
  <c r="Y427" i="2" s="1"/>
  <c r="Y426" i="2" a="1"/>
  <c r="Y426" i="2" s="1"/>
  <c r="Y425" i="2" a="1"/>
  <c r="Y425" i="2" s="1"/>
  <c r="Y424" i="2" a="1"/>
  <c r="Y424" i="2" s="1"/>
  <c r="Y423" i="2" a="1"/>
  <c r="Y423" i="2" s="1"/>
  <c r="Y422" i="2" a="1"/>
  <c r="Y422" i="2" s="1"/>
  <c r="Y421" i="2" a="1"/>
  <c r="Y421" i="2" s="1"/>
  <c r="Y420" i="2" a="1"/>
  <c r="Y420" i="2" s="1"/>
  <c r="Y419" i="2" a="1"/>
  <c r="Y419" i="2" s="1"/>
  <c r="Y418" i="2" a="1"/>
  <c r="Y418" i="2" s="1"/>
  <c r="Y417" i="2" a="1"/>
  <c r="Y417" i="2" s="1"/>
  <c r="Y416" i="2" a="1"/>
  <c r="Y416" i="2" s="1"/>
  <c r="Y415" i="2" a="1"/>
  <c r="Y415" i="2" s="1"/>
  <c r="Y414" i="2" a="1"/>
  <c r="Y414" i="2" s="1"/>
  <c r="Y413" i="2" a="1"/>
  <c r="Y413" i="2" s="1"/>
  <c r="Y412" i="2" a="1"/>
  <c r="Y412" i="2" s="1"/>
  <c r="Y411" i="2" a="1"/>
  <c r="Y411" i="2" s="1"/>
  <c r="Y410" i="2" a="1"/>
  <c r="Y410" i="2" s="1"/>
  <c r="Y409" i="2" a="1"/>
  <c r="Y409" i="2" s="1"/>
  <c r="Y408" i="2" a="1"/>
  <c r="Y408" i="2" s="1"/>
  <c r="Y407" i="2" a="1"/>
  <c r="Y407" i="2" s="1"/>
  <c r="Y406" i="2" a="1"/>
  <c r="Y406" i="2" s="1"/>
  <c r="Y405" i="2" a="1"/>
  <c r="Y405" i="2" s="1"/>
  <c r="Y404" i="2" a="1"/>
  <c r="Y404" i="2" s="1"/>
  <c r="Y403" i="2" a="1"/>
  <c r="Y403" i="2" s="1"/>
  <c r="Y402" i="2" a="1"/>
  <c r="Y402" i="2" s="1"/>
  <c r="Y401" i="2" a="1"/>
  <c r="Y401" i="2" s="1"/>
  <c r="Y400" i="2" a="1"/>
  <c r="Y400" i="2" s="1"/>
  <c r="Y399" i="2" a="1"/>
  <c r="Y399" i="2" s="1"/>
  <c r="Y398" i="2" a="1"/>
  <c r="Y398" i="2" s="1"/>
  <c r="Y397" i="2" a="1"/>
  <c r="Y397" i="2" s="1"/>
  <c r="Y396" i="2" a="1"/>
  <c r="Y396" i="2" s="1"/>
  <c r="Y395" i="2" a="1"/>
  <c r="Y395" i="2" s="1"/>
  <c r="Y394" i="2" a="1"/>
  <c r="Y394" i="2" s="1"/>
  <c r="Y393" i="2" a="1"/>
  <c r="Y393" i="2" s="1"/>
  <c r="Y392" i="2" a="1"/>
  <c r="Y392" i="2" s="1"/>
  <c r="Y391" i="2" a="1"/>
  <c r="Y391" i="2" s="1"/>
  <c r="Y390" i="2" a="1"/>
  <c r="Y390" i="2" s="1"/>
  <c r="Y389" i="2" a="1"/>
  <c r="Y389" i="2" s="1"/>
  <c r="Y388" i="2" a="1"/>
  <c r="Y388" i="2" s="1"/>
  <c r="Y387" i="2" a="1"/>
  <c r="Y387" i="2" s="1"/>
  <c r="Y386" i="2" a="1"/>
  <c r="Y386" i="2" s="1"/>
  <c r="Y385" i="2" a="1"/>
  <c r="Y385" i="2" s="1"/>
  <c r="Y384" i="2" a="1"/>
  <c r="Y384" i="2" s="1"/>
  <c r="Y383" i="2" a="1"/>
  <c r="Y383" i="2" s="1"/>
  <c r="Y382" i="2" a="1"/>
  <c r="Y382" i="2" s="1"/>
  <c r="Y381" i="2" a="1"/>
  <c r="Y381" i="2" s="1"/>
  <c r="Y380" i="2" a="1"/>
  <c r="Y380" i="2" s="1"/>
  <c r="Y379" i="2" a="1"/>
  <c r="Y379" i="2" s="1"/>
  <c r="Y378" i="2" a="1"/>
  <c r="Y378" i="2" s="1"/>
  <c r="Y377" i="2" a="1"/>
  <c r="Y377" i="2" s="1"/>
  <c r="Y376" i="2" a="1"/>
  <c r="Y376" i="2" s="1"/>
  <c r="Y375" i="2" a="1"/>
  <c r="Y375" i="2" s="1"/>
  <c r="Y374" i="2" a="1"/>
  <c r="Y374" i="2" s="1"/>
  <c r="Y373" i="2" a="1"/>
  <c r="Y373" i="2" s="1"/>
  <c r="Y372" i="2" a="1"/>
  <c r="Y372" i="2" s="1"/>
  <c r="Y371" i="2" a="1"/>
  <c r="Y371" i="2" s="1"/>
  <c r="Y370" i="2" a="1"/>
  <c r="Y370" i="2" s="1"/>
  <c r="Y369" i="2" a="1"/>
  <c r="Y369" i="2" s="1"/>
  <c r="Y368" i="2" a="1"/>
  <c r="Y368" i="2" s="1"/>
  <c r="Y367" i="2" a="1"/>
  <c r="Y367" i="2" s="1"/>
  <c r="Y366" i="2" a="1"/>
  <c r="Y366" i="2" s="1"/>
  <c r="Y365" i="2" a="1"/>
  <c r="Y365" i="2" s="1"/>
  <c r="Y364" i="2" a="1"/>
  <c r="Y364" i="2" s="1"/>
  <c r="Y363" i="2" a="1"/>
  <c r="Y363" i="2" s="1"/>
  <c r="Y362" i="2" a="1"/>
  <c r="Y362" i="2" s="1"/>
  <c r="Y361" i="2" a="1"/>
  <c r="Y361" i="2" s="1"/>
  <c r="Y360" i="2" a="1"/>
  <c r="Y360" i="2" s="1"/>
  <c r="Y359" i="2" a="1"/>
  <c r="Y359" i="2" s="1"/>
  <c r="Y358" i="2" a="1"/>
  <c r="Y358" i="2" s="1"/>
  <c r="Y357" i="2" a="1"/>
  <c r="Y357" i="2" s="1"/>
  <c r="Y356" i="2" a="1"/>
  <c r="Y356" i="2" s="1"/>
  <c r="Y355" i="2" a="1"/>
  <c r="Y355" i="2" s="1"/>
  <c r="Y354" i="2" a="1"/>
  <c r="Y354" i="2" s="1"/>
  <c r="Y353" i="2" a="1"/>
  <c r="Y353" i="2" s="1"/>
  <c r="Y352" i="2" a="1"/>
  <c r="Y352" i="2" s="1"/>
  <c r="Y351" i="2" a="1"/>
  <c r="Y351" i="2" s="1"/>
  <c r="Y350" i="2" a="1"/>
  <c r="Y350" i="2" s="1"/>
  <c r="Y349" i="2" a="1"/>
  <c r="Y349" i="2" s="1"/>
  <c r="Y348" i="2" a="1"/>
  <c r="Y348" i="2" s="1"/>
  <c r="Y347" i="2" a="1"/>
  <c r="Y347" i="2" s="1"/>
  <c r="Y346" i="2" a="1"/>
  <c r="Y346" i="2" s="1"/>
  <c r="Y345" i="2" a="1"/>
  <c r="Y345" i="2" s="1"/>
  <c r="Y344" i="2" a="1"/>
  <c r="Y344" i="2" s="1"/>
  <c r="Y343" i="2" a="1"/>
  <c r="Y343" i="2" s="1"/>
  <c r="Y342" i="2" a="1"/>
  <c r="Y342" i="2" s="1"/>
  <c r="Y341" i="2" a="1"/>
  <c r="Y341" i="2" s="1"/>
  <c r="Y340" i="2" a="1"/>
  <c r="Y340" i="2" s="1"/>
  <c r="Y339" i="2" a="1"/>
  <c r="Y339" i="2" s="1"/>
  <c r="Y338" i="2" a="1"/>
  <c r="Y338" i="2" s="1"/>
  <c r="Y337" i="2" a="1"/>
  <c r="Y337" i="2" s="1"/>
  <c r="Y336" i="2" a="1"/>
  <c r="Y336" i="2" s="1"/>
  <c r="Y335" i="2" a="1"/>
  <c r="Y335" i="2" s="1"/>
  <c r="Y334" i="2" a="1"/>
  <c r="Y334" i="2" s="1"/>
  <c r="Y333" i="2" a="1"/>
  <c r="Y333" i="2" s="1"/>
  <c r="Y332" i="2" a="1"/>
  <c r="Y332" i="2" s="1"/>
  <c r="Y331" i="2" a="1"/>
  <c r="Y331" i="2" s="1"/>
  <c r="Y330" i="2" a="1"/>
  <c r="Y330" i="2" s="1"/>
  <c r="Y329" i="2" a="1"/>
  <c r="Y329" i="2" s="1"/>
  <c r="Y328" i="2" a="1"/>
  <c r="Y328" i="2" s="1"/>
  <c r="Y327" i="2" a="1"/>
  <c r="Y327" i="2" s="1"/>
  <c r="Y326" i="2" a="1"/>
  <c r="Y326" i="2" s="1"/>
  <c r="Y325" i="2" a="1"/>
  <c r="Y325" i="2" s="1"/>
  <c r="Y324" i="2" a="1"/>
  <c r="Y324" i="2" s="1"/>
  <c r="Y323" i="2" a="1"/>
  <c r="Y323" i="2" s="1"/>
  <c r="Y322" i="2" a="1"/>
  <c r="Y322" i="2" s="1"/>
  <c r="Y321" i="2" a="1"/>
  <c r="Y321" i="2" s="1"/>
  <c r="Y320" i="2" a="1"/>
  <c r="Y320" i="2" s="1"/>
  <c r="Y319" i="2" a="1"/>
  <c r="Y319" i="2" s="1"/>
  <c r="Y318" i="2" a="1"/>
  <c r="Y318" i="2" s="1"/>
  <c r="Y317" i="2" a="1"/>
  <c r="Y317" i="2" s="1"/>
  <c r="Y316" i="2" a="1"/>
  <c r="Y316" i="2" s="1"/>
  <c r="Y315" i="2" a="1"/>
  <c r="Y315" i="2" s="1"/>
  <c r="Y314" i="2" a="1"/>
  <c r="Y314" i="2" s="1"/>
  <c r="Y313" i="2" a="1"/>
  <c r="Y313" i="2" s="1"/>
  <c r="Y312" i="2" a="1"/>
  <c r="Y312" i="2" s="1"/>
  <c r="Y311" i="2" a="1"/>
  <c r="Y311" i="2" s="1"/>
  <c r="Y310" i="2" a="1"/>
  <c r="Y310" i="2" s="1"/>
  <c r="Y309" i="2" a="1"/>
  <c r="Y309" i="2" s="1"/>
  <c r="Y308" i="2" a="1"/>
  <c r="Y308" i="2" s="1"/>
  <c r="Y307" i="2" a="1"/>
  <c r="Y307" i="2" s="1"/>
  <c r="Y306" i="2" a="1"/>
  <c r="Y306" i="2" s="1"/>
  <c r="Y305" i="2" a="1"/>
  <c r="Y305" i="2" s="1"/>
  <c r="Y304" i="2" a="1"/>
  <c r="Y304" i="2" s="1"/>
  <c r="Y303" i="2" a="1"/>
  <c r="Y303" i="2" s="1"/>
  <c r="Y302" i="2" a="1"/>
  <c r="Y302" i="2" s="1"/>
  <c r="Y301" i="2" a="1"/>
  <c r="Y301" i="2" s="1"/>
  <c r="Y300" i="2" a="1"/>
  <c r="Y300" i="2" s="1"/>
  <c r="Y299" i="2" a="1"/>
  <c r="Y299" i="2" s="1"/>
  <c r="Y298" i="2" a="1"/>
  <c r="Y298" i="2" s="1"/>
  <c r="Y297" i="2" a="1"/>
  <c r="Y297" i="2" s="1"/>
  <c r="Y296" i="2" a="1"/>
  <c r="Y296" i="2" s="1"/>
  <c r="Y295" i="2" a="1"/>
  <c r="Y295" i="2" s="1"/>
  <c r="Y294" i="2" a="1"/>
  <c r="Y294" i="2" s="1"/>
  <c r="Y293" i="2" a="1"/>
  <c r="Y293" i="2" s="1"/>
  <c r="Y292" i="2" a="1"/>
  <c r="Y292" i="2" s="1"/>
  <c r="Y291" i="2" a="1"/>
  <c r="Y291" i="2" s="1"/>
  <c r="Y290" i="2" a="1"/>
  <c r="Y290" i="2" s="1"/>
  <c r="Y289" i="2" a="1"/>
  <c r="Y289" i="2" s="1"/>
  <c r="Y288" i="2" a="1"/>
  <c r="Y288" i="2" s="1"/>
  <c r="Y287" i="2" a="1"/>
  <c r="Y287" i="2" s="1"/>
  <c r="Y286" i="2" a="1"/>
  <c r="Y286" i="2" s="1"/>
  <c r="Y285" i="2" a="1"/>
  <c r="Y285" i="2" s="1"/>
  <c r="Y284" i="2" a="1"/>
  <c r="Y284" i="2" s="1"/>
  <c r="Y283" i="2" a="1"/>
  <c r="Y283" i="2" s="1"/>
  <c r="Y282" i="2" a="1"/>
  <c r="Y282" i="2" s="1"/>
  <c r="Y281" i="2" a="1"/>
  <c r="Y281" i="2" s="1"/>
  <c r="Y280" i="2" a="1"/>
  <c r="Y280" i="2" s="1"/>
  <c r="Y279" i="2" a="1"/>
  <c r="Y279" i="2" s="1"/>
  <c r="Y278" i="2" a="1"/>
  <c r="Y278" i="2" s="1"/>
  <c r="Y277" i="2" a="1"/>
  <c r="Y277" i="2" s="1"/>
  <c r="Y276" i="2" a="1"/>
  <c r="Y276" i="2" s="1"/>
  <c r="Y275" i="2" a="1"/>
  <c r="Y275" i="2" s="1"/>
  <c r="Y274" i="2" a="1"/>
  <c r="Y274" i="2" s="1"/>
  <c r="Y273" i="2" a="1"/>
  <c r="Y273" i="2" s="1"/>
  <c r="Y272" i="2" a="1"/>
  <c r="Y272" i="2" s="1"/>
  <c r="Y271" i="2" a="1"/>
  <c r="Y271" i="2" s="1"/>
  <c r="Y270" i="2" a="1"/>
  <c r="Y270" i="2" s="1"/>
  <c r="Y269" i="2" a="1"/>
  <c r="Y269" i="2" s="1"/>
  <c r="Y268" i="2" a="1"/>
  <c r="Y268" i="2" s="1"/>
  <c r="Y267" i="2" a="1"/>
  <c r="Y267" i="2" s="1"/>
  <c r="Y266" i="2" a="1"/>
  <c r="Y266" i="2" s="1"/>
  <c r="Y265" i="2" a="1"/>
  <c r="Y265" i="2" s="1"/>
  <c r="Y264" i="2" a="1"/>
  <c r="Y264" i="2" s="1"/>
  <c r="Y263" i="2" a="1"/>
  <c r="Y263" i="2" s="1"/>
  <c r="Y262" i="2" a="1"/>
  <c r="Y262" i="2" s="1"/>
  <c r="Y261" i="2" a="1"/>
  <c r="Y261" i="2" s="1"/>
  <c r="Y260" i="2" a="1"/>
  <c r="Y260" i="2" s="1"/>
  <c r="Y259" i="2" a="1"/>
  <c r="Y259" i="2" s="1"/>
  <c r="Y258" i="2" a="1"/>
  <c r="Y258" i="2" s="1"/>
  <c r="Y257" i="2" a="1"/>
  <c r="Y257" i="2" s="1"/>
  <c r="Y256" i="2" a="1"/>
  <c r="Y256" i="2" s="1"/>
  <c r="Y255" i="2" a="1"/>
  <c r="Y255" i="2" s="1"/>
  <c r="Y254" i="2" a="1"/>
  <c r="Y254" i="2" s="1"/>
  <c r="Y253" i="2" a="1"/>
  <c r="Y253" i="2" s="1"/>
  <c r="Y252" i="2" a="1"/>
  <c r="Y252" i="2" s="1"/>
  <c r="Y251" i="2" a="1"/>
  <c r="Y251" i="2" s="1"/>
  <c r="Y250" i="2" a="1"/>
  <c r="Y250" i="2" s="1"/>
  <c r="Y249" i="2" a="1"/>
  <c r="Y249" i="2" s="1"/>
  <c r="Y248" i="2" a="1"/>
  <c r="Y248" i="2" s="1"/>
  <c r="Y247" i="2" a="1"/>
  <c r="Y247" i="2" s="1"/>
  <c r="Y246" i="2" a="1"/>
  <c r="Y246" i="2" s="1"/>
  <c r="Y245" i="2" a="1"/>
  <c r="Y245" i="2" s="1"/>
  <c r="Y244" i="2" a="1"/>
  <c r="Y244" i="2" s="1"/>
  <c r="Y243" i="2" a="1"/>
  <c r="Y243" i="2" s="1"/>
  <c r="Y242" i="2" a="1"/>
  <c r="Y242" i="2" s="1"/>
  <c r="Y241" i="2" a="1"/>
  <c r="Y241" i="2" s="1"/>
  <c r="Y240" i="2" a="1"/>
  <c r="Y240" i="2" s="1"/>
  <c r="Y239" i="2" a="1"/>
  <c r="Y239" i="2" s="1"/>
  <c r="Y238" i="2" a="1"/>
  <c r="Y238" i="2" s="1"/>
  <c r="Y237" i="2" a="1"/>
  <c r="Y237" i="2" s="1"/>
  <c r="Y236" i="2" a="1"/>
  <c r="Y236" i="2" s="1"/>
  <c r="Y235" i="2" a="1"/>
  <c r="Y235" i="2" s="1"/>
  <c r="Y234" i="2" a="1"/>
  <c r="Y234" i="2" s="1"/>
  <c r="Y233" i="2" a="1"/>
  <c r="Y233" i="2" s="1"/>
  <c r="Y232" i="2" a="1"/>
  <c r="Y232" i="2" s="1"/>
  <c r="Y231" i="2" a="1"/>
  <c r="Y231" i="2" s="1"/>
  <c r="Y230" i="2" a="1"/>
  <c r="Y230" i="2" s="1"/>
  <c r="Y229" i="2" a="1"/>
  <c r="Y229" i="2" s="1"/>
  <c r="Y228" i="2" a="1"/>
  <c r="Y228" i="2" s="1"/>
  <c r="Y227" i="2" a="1"/>
  <c r="Y227" i="2" s="1"/>
  <c r="Y226" i="2" a="1"/>
  <c r="Y226" i="2" s="1"/>
  <c r="Y225" i="2" a="1"/>
  <c r="Y225" i="2" s="1"/>
  <c r="Y224" i="2" a="1"/>
  <c r="Y224" i="2" s="1"/>
  <c r="Y223" i="2" a="1"/>
  <c r="Y223" i="2" s="1"/>
  <c r="Y222" i="2" a="1"/>
  <c r="Y222" i="2" s="1"/>
  <c r="Y221" i="2" a="1"/>
  <c r="Y221" i="2" s="1"/>
  <c r="Y220" i="2" a="1"/>
  <c r="Y220" i="2" s="1"/>
  <c r="Y219" i="2" a="1"/>
  <c r="Y219" i="2" s="1"/>
  <c r="Y218" i="2" a="1"/>
  <c r="Y218" i="2" s="1"/>
  <c r="Y217" i="2" a="1"/>
  <c r="Y217" i="2" s="1"/>
  <c r="Y216" i="2" a="1"/>
  <c r="Y216" i="2" s="1"/>
  <c r="Y215" i="2" a="1"/>
  <c r="Y215" i="2" s="1"/>
  <c r="Y214" i="2" a="1"/>
  <c r="Y214" i="2" s="1"/>
  <c r="Y213" i="2" a="1"/>
  <c r="Y213" i="2" s="1"/>
  <c r="Y212" i="2" a="1"/>
  <c r="Y212" i="2" s="1"/>
  <c r="Y211" i="2" a="1"/>
  <c r="Y211" i="2" s="1"/>
  <c r="Y210" i="2" a="1"/>
  <c r="Y210" i="2" s="1"/>
  <c r="Y209" i="2" a="1"/>
  <c r="Y209" i="2" s="1"/>
  <c r="Y208" i="2" a="1"/>
  <c r="Y208" i="2" s="1"/>
  <c r="Y207" i="2" a="1"/>
  <c r="Y207" i="2" s="1"/>
  <c r="Y206" i="2" a="1"/>
  <c r="Y206" i="2" s="1"/>
  <c r="Y205" i="2" a="1"/>
  <c r="Y205" i="2" s="1"/>
  <c r="Y204" i="2" a="1"/>
  <c r="Y204" i="2" s="1"/>
  <c r="Y203" i="2" a="1"/>
  <c r="Y203" i="2" s="1"/>
  <c r="Y202" i="2" a="1"/>
  <c r="Y202" i="2" s="1"/>
  <c r="Y201" i="2" a="1"/>
  <c r="Y201" i="2" s="1"/>
  <c r="Y200" i="2" a="1"/>
  <c r="Y200" i="2" s="1"/>
  <c r="Y199" i="2" a="1"/>
  <c r="Y199" i="2" s="1"/>
  <c r="Y198" i="2" a="1"/>
  <c r="Y198" i="2" s="1"/>
  <c r="Y197" i="2" a="1"/>
  <c r="Y197" i="2" s="1"/>
  <c r="Y196" i="2" a="1"/>
  <c r="Y196" i="2" s="1"/>
  <c r="Y195" i="2" a="1"/>
  <c r="Y195" i="2" s="1"/>
  <c r="Y194" i="2" a="1"/>
  <c r="Y194" i="2" s="1"/>
  <c r="Y193" i="2" a="1"/>
  <c r="Y193" i="2" s="1"/>
  <c r="Y192" i="2" a="1"/>
  <c r="Y192" i="2" s="1"/>
  <c r="Y191" i="2" a="1"/>
  <c r="Y191" i="2" s="1"/>
  <c r="Y190" i="2" a="1"/>
  <c r="Y190" i="2" s="1"/>
  <c r="Y189" i="2" a="1"/>
  <c r="Y189" i="2" s="1"/>
  <c r="Y188" i="2" a="1"/>
  <c r="Y188" i="2" s="1"/>
  <c r="Y187" i="2" a="1"/>
  <c r="Y187" i="2" s="1"/>
  <c r="Y186" i="2" a="1"/>
  <c r="Y186" i="2" s="1"/>
  <c r="Y185" i="2" a="1"/>
  <c r="Y185" i="2" s="1"/>
  <c r="Y184" i="2" a="1"/>
  <c r="Y184" i="2" s="1"/>
  <c r="Y183" i="2" a="1"/>
  <c r="Y183" i="2" s="1"/>
  <c r="Y182" i="2" a="1"/>
  <c r="Y182" i="2" s="1"/>
  <c r="Y181" i="2" a="1"/>
  <c r="Y181" i="2" s="1"/>
  <c r="Y180" i="2" a="1"/>
  <c r="Y180" i="2" s="1"/>
  <c r="Y179" i="2" a="1"/>
  <c r="Y179" i="2" s="1"/>
  <c r="Y178" i="2" a="1"/>
  <c r="Y178" i="2" s="1"/>
  <c r="Y177" i="2" a="1"/>
  <c r="Y177" i="2" s="1"/>
  <c r="Y176" i="2" a="1"/>
  <c r="Y176" i="2" s="1"/>
  <c r="Y175" i="2" a="1"/>
  <c r="Y175" i="2" s="1"/>
  <c r="Y174" i="2" a="1"/>
  <c r="Y174" i="2" s="1"/>
  <c r="Y173" i="2" a="1"/>
  <c r="Y173" i="2" s="1"/>
  <c r="Y172" i="2" a="1"/>
  <c r="Y172" i="2" s="1"/>
  <c r="Y171" i="2" a="1"/>
  <c r="Y171" i="2" s="1"/>
  <c r="Y170" i="2" a="1"/>
  <c r="Y170" i="2" s="1"/>
  <c r="Y169" i="2" a="1"/>
  <c r="Y169" i="2" s="1"/>
  <c r="Y168" i="2" a="1"/>
  <c r="Y168" i="2" s="1"/>
  <c r="Y167" i="2" a="1"/>
  <c r="Y167" i="2" s="1"/>
  <c r="Y166" i="2" a="1"/>
  <c r="Y166" i="2" s="1"/>
  <c r="Y165" i="2" a="1"/>
  <c r="Y165" i="2" s="1"/>
  <c r="Y164" i="2" a="1"/>
  <c r="Y164" i="2" s="1"/>
  <c r="Y163" i="2" a="1"/>
  <c r="Y163" i="2" s="1"/>
  <c r="Y162" i="2" a="1"/>
  <c r="Y162" i="2" s="1"/>
  <c r="Y161" i="2" a="1"/>
  <c r="Y161" i="2" s="1"/>
  <c r="Y160" i="2" a="1"/>
  <c r="Y160" i="2" s="1"/>
  <c r="Y159" i="2" a="1"/>
  <c r="Y159" i="2" s="1"/>
  <c r="Y158" i="2" a="1"/>
  <c r="Y158" i="2" s="1"/>
  <c r="Y157" i="2" a="1"/>
  <c r="Y157" i="2" s="1"/>
  <c r="Y156" i="2" a="1"/>
  <c r="Y156" i="2" s="1"/>
  <c r="Y155" i="2" a="1"/>
  <c r="Y155" i="2" s="1"/>
  <c r="Y154" i="2" a="1"/>
  <c r="Y154" i="2" s="1"/>
  <c r="Y153" i="2" a="1"/>
  <c r="Y153" i="2" s="1"/>
  <c r="Y152" i="2" a="1"/>
  <c r="Y152" i="2" s="1"/>
  <c r="Y151" i="2" a="1"/>
  <c r="Y151" i="2" s="1"/>
  <c r="Y150" i="2" a="1"/>
  <c r="Y150" i="2" s="1"/>
  <c r="Y149" i="2" a="1"/>
  <c r="Y149" i="2" s="1"/>
  <c r="Y148" i="2" a="1"/>
  <c r="Y148" i="2" s="1"/>
  <c r="Y147" i="2" a="1"/>
  <c r="Y147" i="2" s="1"/>
  <c r="Y146" i="2" a="1"/>
  <c r="Y146" i="2" s="1"/>
  <c r="Y145" i="2" a="1"/>
  <c r="Y145" i="2" s="1"/>
  <c r="Y144" i="2" a="1"/>
  <c r="Y144" i="2" s="1"/>
  <c r="Y143" i="2" a="1"/>
  <c r="Y143" i="2" s="1"/>
  <c r="Y142" i="2" a="1"/>
  <c r="Y142" i="2" s="1"/>
  <c r="Y141" i="2" a="1"/>
  <c r="Y141" i="2" s="1"/>
  <c r="Y140" i="2" a="1"/>
  <c r="Y140" i="2" s="1"/>
  <c r="Y139" i="2" a="1"/>
  <c r="Y139" i="2" s="1"/>
  <c r="Y138" i="2" a="1"/>
  <c r="Y138" i="2" s="1"/>
  <c r="Y137" i="2" a="1"/>
  <c r="Y137" i="2" s="1"/>
  <c r="Y136" i="2" a="1"/>
  <c r="Y136" i="2" s="1"/>
  <c r="Y135" i="2" a="1"/>
  <c r="Y135" i="2" s="1"/>
  <c r="Y134" i="2" a="1"/>
  <c r="Y134" i="2" s="1"/>
  <c r="Y133" i="2" a="1"/>
  <c r="Y133" i="2" s="1"/>
  <c r="Y132" i="2" a="1"/>
  <c r="Y132" i="2" s="1"/>
  <c r="Y131" i="2" a="1"/>
  <c r="Y131" i="2" s="1"/>
  <c r="Y130" i="2" a="1"/>
  <c r="Y130" i="2" s="1"/>
  <c r="Y129" i="2" a="1"/>
  <c r="Y129" i="2" s="1"/>
  <c r="Y128" i="2" a="1"/>
  <c r="Y128" i="2" s="1"/>
  <c r="Y127" i="2" a="1"/>
  <c r="Y127" i="2" s="1"/>
  <c r="Y126" i="2" a="1"/>
  <c r="Y126" i="2" s="1"/>
  <c r="Y125" i="2" a="1"/>
  <c r="Y125" i="2" s="1"/>
  <c r="Y124" i="2" a="1"/>
  <c r="Y124" i="2" s="1"/>
  <c r="Y123" i="2" a="1"/>
  <c r="Y123" i="2" s="1"/>
  <c r="Y122" i="2" a="1"/>
  <c r="Y122" i="2" s="1"/>
  <c r="Y121" i="2" a="1"/>
  <c r="Y121" i="2" s="1"/>
  <c r="Y120" i="2" a="1"/>
  <c r="Y120" i="2" s="1"/>
  <c r="Y119" i="2" a="1"/>
  <c r="Y119" i="2" s="1"/>
  <c r="Y118" i="2" a="1"/>
  <c r="Y118" i="2" s="1"/>
  <c r="Y117" i="2" a="1"/>
  <c r="Y117" i="2" s="1"/>
  <c r="Y116" i="2" a="1"/>
  <c r="Y116" i="2" s="1"/>
  <c r="Y115" i="2" a="1"/>
  <c r="Y115" i="2" s="1"/>
  <c r="Y114" i="2" a="1"/>
  <c r="Y114" i="2" s="1"/>
  <c r="Y113" i="2" a="1"/>
  <c r="Y113" i="2" s="1"/>
  <c r="Y112" i="2" a="1"/>
  <c r="Y112" i="2" s="1"/>
  <c r="Y111" i="2" a="1"/>
  <c r="Y111" i="2" s="1"/>
  <c r="Y110" i="2" a="1"/>
  <c r="Y110" i="2" s="1"/>
  <c r="Y109" i="2" a="1"/>
  <c r="Y109" i="2" s="1"/>
  <c r="Y108" i="2" a="1"/>
  <c r="Y108" i="2" s="1"/>
  <c r="Y107" i="2" a="1"/>
  <c r="Y107" i="2" s="1"/>
  <c r="Y106" i="2" a="1"/>
  <c r="Y106" i="2" s="1"/>
  <c r="Y105" i="2" a="1"/>
  <c r="Y105" i="2" s="1"/>
  <c r="Y104" i="2" a="1"/>
  <c r="Y104" i="2" s="1"/>
  <c r="Y103" i="2" a="1"/>
  <c r="Y103" i="2" s="1"/>
  <c r="Y102" i="2" a="1"/>
  <c r="Y102" i="2" s="1"/>
  <c r="Y101" i="2" a="1"/>
  <c r="Y101" i="2" s="1"/>
  <c r="Y100" i="2" a="1"/>
  <c r="Y100" i="2" s="1"/>
  <c r="Y99" i="2" a="1"/>
  <c r="Y99" i="2" s="1"/>
  <c r="Y98" i="2" a="1"/>
  <c r="Y98" i="2" s="1"/>
  <c r="Y97" i="2" a="1"/>
  <c r="Y97" i="2" s="1"/>
  <c r="Y96" i="2" a="1"/>
  <c r="Y96" i="2" s="1"/>
  <c r="Y95" i="2" a="1"/>
  <c r="Y95" i="2" s="1"/>
  <c r="Y94" i="2" a="1"/>
  <c r="Y94" i="2" s="1"/>
  <c r="Y93" i="2" a="1"/>
  <c r="Y93" i="2" s="1"/>
  <c r="Y92" i="2" a="1"/>
  <c r="Y92" i="2" s="1"/>
  <c r="Y91" i="2" a="1"/>
  <c r="Y91" i="2" s="1"/>
  <c r="Y90" i="2" a="1"/>
  <c r="Y90" i="2" s="1"/>
  <c r="Y89" i="2" a="1"/>
  <c r="Y89" i="2" s="1"/>
  <c r="Y88" i="2" a="1"/>
  <c r="Y88" i="2" s="1"/>
  <c r="Y87" i="2" a="1"/>
  <c r="Y87" i="2" s="1"/>
  <c r="Y86" i="2" a="1"/>
  <c r="Y86" i="2" s="1"/>
  <c r="Y85" i="2" a="1"/>
  <c r="Y85" i="2" s="1"/>
  <c r="Y84" i="2" a="1"/>
  <c r="Y84" i="2" s="1"/>
  <c r="Y83" i="2" a="1"/>
  <c r="Y83" i="2" s="1"/>
  <c r="Y82" i="2" a="1"/>
  <c r="Y82" i="2" s="1"/>
  <c r="Y81" i="2" a="1"/>
  <c r="Y81" i="2" s="1"/>
  <c r="Y80" i="2" a="1"/>
  <c r="Y80" i="2" s="1"/>
  <c r="Y79" i="2" a="1"/>
  <c r="Y79" i="2" s="1"/>
  <c r="Y78" i="2" a="1"/>
  <c r="Y78" i="2" s="1"/>
  <c r="Y77" i="2" a="1"/>
  <c r="Y77" i="2" s="1"/>
  <c r="Y76" i="2" a="1"/>
  <c r="Y76" i="2" s="1"/>
  <c r="Y75" i="2" a="1"/>
  <c r="Y75" i="2" s="1"/>
  <c r="Y74" i="2" a="1"/>
  <c r="Y74" i="2" s="1"/>
  <c r="Y73" i="2" a="1"/>
  <c r="Y73" i="2" s="1"/>
  <c r="Y72" i="2" a="1"/>
  <c r="Y72" i="2" s="1"/>
  <c r="Y71" i="2" a="1"/>
  <c r="Y71" i="2" s="1"/>
  <c r="Y70" i="2" a="1"/>
  <c r="Y70" i="2" s="1"/>
  <c r="Y69" i="2" a="1"/>
  <c r="Y69" i="2" s="1"/>
  <c r="Y68" i="2" a="1"/>
  <c r="Y68" i="2" s="1"/>
  <c r="Y67" i="2" a="1"/>
  <c r="Y67" i="2" s="1"/>
  <c r="Y66" i="2" a="1"/>
  <c r="Y66" i="2" s="1"/>
  <c r="Y65" i="2" a="1"/>
  <c r="Y65" i="2" s="1"/>
  <c r="Y64" i="2" a="1"/>
  <c r="Y64" i="2" s="1"/>
  <c r="Y63" i="2" a="1"/>
  <c r="Y63" i="2" s="1"/>
  <c r="Y62" i="2" a="1"/>
  <c r="Y62" i="2" s="1"/>
  <c r="Y61" i="2" a="1"/>
  <c r="Y61" i="2" s="1"/>
  <c r="Y60" i="2" a="1"/>
  <c r="Y60" i="2" s="1"/>
  <c r="Y59" i="2" a="1"/>
  <c r="Y59" i="2" s="1"/>
  <c r="Y58" i="2" a="1"/>
  <c r="Y58" i="2" s="1"/>
  <c r="Y57" i="2" a="1"/>
  <c r="Y57" i="2" s="1"/>
  <c r="Y56" i="2" a="1"/>
  <c r="Y56" i="2" s="1"/>
  <c r="Y55" i="2" a="1"/>
  <c r="Y55" i="2" s="1"/>
  <c r="Y54" i="2" a="1"/>
  <c r="Y54" i="2" s="1"/>
  <c r="Y53" i="2" a="1"/>
  <c r="Y53" i="2" s="1"/>
  <c r="Y52" i="2" a="1"/>
  <c r="Y52" i="2" s="1"/>
  <c r="Y51" i="2" a="1"/>
  <c r="Y51" i="2" s="1"/>
  <c r="Y50" i="2" a="1"/>
  <c r="Y50" i="2" s="1"/>
  <c r="Y49" i="2" a="1"/>
  <c r="Y49" i="2" s="1"/>
  <c r="Y48" i="2" a="1"/>
  <c r="Y48" i="2" s="1"/>
  <c r="Y47" i="2" a="1"/>
  <c r="Y47" i="2" s="1"/>
  <c r="Y46" i="2" a="1"/>
  <c r="Y46" i="2" s="1"/>
  <c r="Y45" i="2" a="1"/>
  <c r="Y45" i="2" s="1"/>
  <c r="Y44" i="2" a="1"/>
  <c r="Y44" i="2" s="1"/>
  <c r="Y43" i="2" a="1"/>
  <c r="Y43" i="2" s="1"/>
  <c r="Y42" i="2" a="1"/>
  <c r="Y42" i="2" s="1"/>
  <c r="Y41" i="2" a="1"/>
  <c r="Y41" i="2" s="1"/>
  <c r="Y40" i="2" a="1"/>
  <c r="Y40" i="2" s="1"/>
  <c r="Y39" i="2" a="1"/>
  <c r="Y39" i="2" s="1"/>
  <c r="Y38" i="2" a="1"/>
  <c r="Y38" i="2" s="1"/>
  <c r="Y37" i="2" a="1"/>
  <c r="Y37" i="2" s="1"/>
  <c r="Y36" i="2" a="1"/>
  <c r="Y36" i="2" s="1"/>
  <c r="Y35" i="2" a="1"/>
  <c r="Y35" i="2" s="1"/>
  <c r="Y34" i="2" a="1"/>
  <c r="Y34" i="2" s="1"/>
  <c r="Y33" i="2" a="1"/>
  <c r="Y33" i="2" s="1"/>
  <c r="Y32" i="2" a="1"/>
  <c r="Y32" i="2" s="1"/>
  <c r="Y31" i="2" a="1"/>
  <c r="Y31" i="2" s="1"/>
  <c r="Y30" i="2" a="1"/>
  <c r="Y30" i="2" s="1"/>
  <c r="Y29" i="2" a="1"/>
  <c r="Y29" i="2" s="1"/>
  <c r="Y28" i="2" a="1"/>
  <c r="Y28" i="2" s="1"/>
  <c r="Y27" i="2" a="1"/>
  <c r="Y27" i="2" s="1"/>
  <c r="Y26" i="2" a="1"/>
  <c r="Y26" i="2" s="1"/>
  <c r="Y25" i="2" a="1"/>
  <c r="Y25" i="2" s="1"/>
  <c r="Y24" i="2" a="1"/>
  <c r="Y24" i="2" s="1"/>
  <c r="Y23" i="2" a="1"/>
  <c r="Y23" i="2" s="1"/>
  <c r="Y22" i="2" a="1"/>
  <c r="Y22" i="2" s="1"/>
  <c r="Y21" i="2" a="1"/>
  <c r="Y21" i="2" s="1"/>
  <c r="Y20" i="2" a="1"/>
  <c r="Y20" i="2" s="1"/>
  <c r="Y19" i="2" a="1"/>
  <c r="Y19" i="2" s="1"/>
  <c r="Y18" i="2" a="1"/>
  <c r="Y18" i="2" s="1"/>
  <c r="Y17" i="2" a="1"/>
  <c r="Y17" i="2" s="1"/>
  <c r="Y16" i="2" a="1"/>
  <c r="Y16" i="2" s="1"/>
  <c r="Y15" i="2" a="1"/>
  <c r="Y15" i="2" s="1"/>
  <c r="Y14" i="2" a="1"/>
  <c r="Y14" i="2" s="1"/>
  <c r="Y13" i="2" a="1"/>
  <c r="Y13" i="2" s="1"/>
  <c r="Y12" i="2" a="1"/>
  <c r="Y12" i="2" s="1"/>
  <c r="Y11" i="2" a="1"/>
  <c r="Y11" i="2" s="1"/>
  <c r="Y10" i="2" a="1"/>
  <c r="Y10" i="2" s="1"/>
  <c r="Y9" i="2" a="1"/>
  <c r="Y9" i="2" s="1"/>
  <c r="Y8" i="2" a="1"/>
  <c r="Y8" i="2" s="1"/>
  <c r="Y7" i="2" a="1"/>
  <c r="Y7" i="2" s="1"/>
  <c r="Y6" i="2" a="1"/>
  <c r="Y6" i="2" s="1"/>
  <c r="Y5" i="2" a="1"/>
  <c r="Y5" i="2" s="1"/>
  <c r="Y4" i="2" a="1"/>
  <c r="Y4" i="2" s="1"/>
  <c r="Y3" i="2" a="1"/>
  <c r="Y3" i="2" s="1"/>
  <c r="Y2" i="2" a="1"/>
  <c r="Y2" i="2" s="1"/>
  <c r="X2" i="2"/>
  <c r="Z179" i="2" l="1"/>
  <c r="Z606" i="2"/>
  <c r="Z245" i="2"/>
  <c r="Z638" i="2"/>
  <c r="Z26" i="2"/>
  <c r="Z337" i="2"/>
  <c r="Z801" i="2"/>
  <c r="Z94" i="2"/>
  <c r="Z422" i="2"/>
  <c r="Z843" i="2"/>
  <c r="Z46" i="2"/>
  <c r="Z110" i="2"/>
  <c r="Z195" i="2"/>
  <c r="Z268" i="2"/>
  <c r="Z358" i="2"/>
  <c r="Z458" i="2"/>
  <c r="AA362" i="2" a="1"/>
  <c r="AA362" i="2" s="1"/>
  <c r="Z62" i="2"/>
  <c r="Z131" i="2"/>
  <c r="Z211" i="2"/>
  <c r="Z294" i="2"/>
  <c r="Z374" i="2"/>
  <c r="Z522" i="2"/>
  <c r="Z689" i="2"/>
  <c r="Z874" i="2"/>
  <c r="AA754" i="2" a="1"/>
  <c r="AA754" i="2" s="1"/>
  <c r="Z78" i="2"/>
  <c r="Z158" i="2"/>
  <c r="Z227" i="2"/>
  <c r="Z310" i="2"/>
  <c r="Z401" i="2"/>
  <c r="Z574" i="2"/>
  <c r="Z761" i="2"/>
  <c r="Z931" i="2"/>
  <c r="AA390" i="2" a="1"/>
  <c r="AA390" i="2" s="1"/>
  <c r="AA915" i="2" a="1"/>
  <c r="AA915" i="2" s="1"/>
  <c r="Z30" i="2"/>
  <c r="Z47" i="2"/>
  <c r="Z63" i="2"/>
  <c r="Z79" i="2"/>
  <c r="Z95" i="2"/>
  <c r="Z111" i="2"/>
  <c r="Z136" i="2"/>
  <c r="Z170" i="2"/>
  <c r="Z186" i="2"/>
  <c r="Z196" i="2"/>
  <c r="Z212" i="2"/>
  <c r="Z228" i="2"/>
  <c r="Z252" i="2"/>
  <c r="Z281" i="2"/>
  <c r="Z297" i="2"/>
  <c r="Z318" i="2"/>
  <c r="Z345" i="2"/>
  <c r="Z361" i="2"/>
  <c r="Z382" i="2"/>
  <c r="Z409" i="2"/>
  <c r="Z430" i="2"/>
  <c r="Z478" i="2"/>
  <c r="Z544" i="2"/>
  <c r="Z585" i="2"/>
  <c r="Z617" i="2"/>
  <c r="Z649" i="2"/>
  <c r="Z745" i="2"/>
  <c r="Z773" i="2"/>
  <c r="Z817" i="2"/>
  <c r="Z846" i="2"/>
  <c r="Z886" i="2"/>
  <c r="Z943" i="2"/>
  <c r="AA145" i="2" a="1"/>
  <c r="AA145" i="2" s="1"/>
  <c r="AA467" i="2" a="1"/>
  <c r="AA467" i="2" s="1"/>
  <c r="Z10" i="2"/>
  <c r="Z35" i="2"/>
  <c r="Z51" i="2"/>
  <c r="Z67" i="2"/>
  <c r="Z83" i="2"/>
  <c r="Z99" i="2"/>
  <c r="Z115" i="2"/>
  <c r="Z148" i="2"/>
  <c r="Z174" i="2"/>
  <c r="Z190" i="2"/>
  <c r="Z200" i="2"/>
  <c r="Z216" i="2"/>
  <c r="Z232" i="2"/>
  <c r="Z260" i="2"/>
  <c r="Z282" i="2"/>
  <c r="Z302" i="2"/>
  <c r="Z325" i="2"/>
  <c r="Z346" i="2"/>
  <c r="Z366" i="2"/>
  <c r="Z389" i="2"/>
  <c r="Z410" i="2"/>
  <c r="Z438" i="2"/>
  <c r="Z490" i="2"/>
  <c r="Z553" i="2"/>
  <c r="Z586" i="2"/>
  <c r="Z618" i="2"/>
  <c r="Z650" i="2"/>
  <c r="Z746" i="2"/>
  <c r="Z774" i="2"/>
  <c r="Z830" i="2"/>
  <c r="Z858" i="2"/>
  <c r="Z902" i="2"/>
  <c r="Z959" i="2"/>
  <c r="AA265" i="2" a="1"/>
  <c r="AA265" i="2" s="1"/>
  <c r="AA578" i="2" a="1"/>
  <c r="AA578" i="2" s="1"/>
  <c r="Z14" i="2"/>
  <c r="Z42" i="2"/>
  <c r="Z58" i="2"/>
  <c r="Z74" i="2"/>
  <c r="Z90" i="2"/>
  <c r="Z106" i="2"/>
  <c r="Z127" i="2"/>
  <c r="Z154" i="2"/>
  <c r="Z175" i="2"/>
  <c r="Z191" i="2"/>
  <c r="Z207" i="2"/>
  <c r="Z223" i="2"/>
  <c r="Z240" i="2"/>
  <c r="Z261" i="2"/>
  <c r="Z289" i="2"/>
  <c r="Z309" i="2"/>
  <c r="Z330" i="2"/>
  <c r="Z353" i="2"/>
  <c r="Z373" i="2"/>
  <c r="Z394" i="2"/>
  <c r="Z417" i="2"/>
  <c r="Z446" i="2"/>
  <c r="Z510" i="2"/>
  <c r="Z565" i="2"/>
  <c r="Z597" i="2"/>
  <c r="Z629" i="2"/>
  <c r="Z675" i="2"/>
  <c r="Z758" i="2"/>
  <c r="Z789" i="2"/>
  <c r="Z831" i="2"/>
  <c r="Z859" i="2"/>
  <c r="Z971" i="2"/>
  <c r="AA37" i="2" a="1"/>
  <c r="AA37" i="2" s="1"/>
  <c r="Z37" i="2"/>
  <c r="AA49" i="2" a="1"/>
  <c r="AA49" i="2" s="1"/>
  <c r="Z49" i="2"/>
  <c r="AA69" i="2" a="1"/>
  <c r="AA69" i="2" s="1"/>
  <c r="Z69" i="2"/>
  <c r="AA130" i="2" a="1"/>
  <c r="AA130" i="2" s="1"/>
  <c r="Z130" i="2"/>
  <c r="AA135" i="2" a="1"/>
  <c r="AA135" i="2" s="1"/>
  <c r="Z135" i="2"/>
  <c r="AA139" i="2" a="1"/>
  <c r="AA139" i="2" s="1"/>
  <c r="Z139" i="2"/>
  <c r="AA156" i="2" a="1"/>
  <c r="AA156" i="2" s="1"/>
  <c r="Z156" i="2"/>
  <c r="AA160" i="2" a="1"/>
  <c r="AA160" i="2" s="1"/>
  <c r="Z160" i="2"/>
  <c r="AA172" i="2" a="1"/>
  <c r="AA172" i="2" s="1"/>
  <c r="Z172" i="2"/>
  <c r="AA177" i="2" a="1"/>
  <c r="AA177" i="2" s="1"/>
  <c r="Z177" i="2"/>
  <c r="AA181" i="2" a="1"/>
  <c r="AA181" i="2" s="1"/>
  <c r="Z181" i="2"/>
  <c r="AA185" i="2" a="1"/>
  <c r="AA185" i="2" s="1"/>
  <c r="Z185" i="2"/>
  <c r="AA189" i="2" a="1"/>
  <c r="AA189" i="2" s="1"/>
  <c r="Z189" i="2"/>
  <c r="AA193" i="2" a="1"/>
  <c r="AA193" i="2" s="1"/>
  <c r="Z193" i="2"/>
  <c r="AA198" i="2" a="1"/>
  <c r="AA198" i="2" s="1"/>
  <c r="Z198" i="2"/>
  <c r="AA210" i="2" a="1"/>
  <c r="AA210" i="2" s="1"/>
  <c r="Z210" i="2"/>
  <c r="AA226" i="2" a="1"/>
  <c r="AA226" i="2" s="1"/>
  <c r="Z226" i="2"/>
  <c r="AA230" i="2" a="1"/>
  <c r="AA230" i="2" s="1"/>
  <c r="Z230" i="2"/>
  <c r="AA308" i="2" a="1"/>
  <c r="AA308" i="2" s="1"/>
  <c r="Z308" i="2"/>
  <c r="AA312" i="2" a="1"/>
  <c r="AA312" i="2" s="1"/>
  <c r="Z312" i="2"/>
  <c r="AA320" i="2" a="1"/>
  <c r="AA320" i="2" s="1"/>
  <c r="Z320" i="2"/>
  <c r="AA336" i="2" a="1"/>
  <c r="AA336" i="2" s="1"/>
  <c r="Z336" i="2"/>
  <c r="AA392" i="2" a="1"/>
  <c r="AA392" i="2" s="1"/>
  <c r="Z392" i="2"/>
  <c r="AA400" i="2" a="1"/>
  <c r="AA400" i="2" s="1"/>
  <c r="Z400" i="2"/>
  <c r="AA420" i="2" a="1"/>
  <c r="AA420" i="2" s="1"/>
  <c r="Z420" i="2"/>
  <c r="AA424" i="2" a="1"/>
  <c r="AA424" i="2" s="1"/>
  <c r="Z424" i="2"/>
  <c r="AA429" i="2" a="1"/>
  <c r="AA429" i="2" s="1"/>
  <c r="Z429" i="2"/>
  <c r="AA433" i="2" a="1"/>
  <c r="AA433" i="2" s="1"/>
  <c r="Z433" i="2"/>
  <c r="AA449" i="2" a="1"/>
  <c r="AA449" i="2" s="1"/>
  <c r="Z449" i="2"/>
  <c r="AA473" i="2" a="1"/>
  <c r="AA473" i="2" s="1"/>
  <c r="Z473" i="2"/>
  <c r="AA477" i="2" a="1"/>
  <c r="AA477" i="2" s="1"/>
  <c r="Z477" i="2"/>
  <c r="AA481" i="2" a="1"/>
  <c r="AA481" i="2" s="1"/>
  <c r="Z481" i="2"/>
  <c r="AA485" i="2" a="1"/>
  <c r="AA485" i="2" s="1"/>
  <c r="Z485" i="2"/>
  <c r="AA497" i="2" a="1"/>
  <c r="AA497" i="2" s="1"/>
  <c r="Z497" i="2"/>
  <c r="AA525" i="2" a="1"/>
  <c r="AA525" i="2" s="1"/>
  <c r="Z525" i="2"/>
  <c r="AA529" i="2" a="1"/>
  <c r="AA529" i="2" s="1"/>
  <c r="Z529" i="2"/>
  <c r="AA537" i="2" a="1"/>
  <c r="AA537" i="2" s="1"/>
  <c r="Z537" i="2"/>
  <c r="AA559" i="2" a="1"/>
  <c r="AA559" i="2" s="1"/>
  <c r="Z559" i="2"/>
  <c r="AA954" i="2" a="1"/>
  <c r="AA954" i="2" s="1"/>
  <c r="Z954" i="2"/>
  <c r="Z2" i="2"/>
  <c r="AA2" i="2" a="1"/>
  <c r="AA2" i="2" s="1"/>
  <c r="AA12" i="2" a="1"/>
  <c r="AA12" i="2" s="1"/>
  <c r="Z12" i="2"/>
  <c r="AA16" i="2" a="1"/>
  <c r="AA16" i="2" s="1"/>
  <c r="Z16" i="2"/>
  <c r="AA28" i="2" a="1"/>
  <c r="AA28" i="2" s="1"/>
  <c r="Z28" i="2"/>
  <c r="AA41" i="2" a="1"/>
  <c r="AA41" i="2" s="1"/>
  <c r="Z41" i="2"/>
  <c r="AA61" i="2" a="1"/>
  <c r="AA61" i="2" s="1"/>
  <c r="Z61" i="2"/>
  <c r="AA77" i="2" a="1"/>
  <c r="AA77" i="2" s="1"/>
  <c r="Z77" i="2"/>
  <c r="AA97" i="2" a="1"/>
  <c r="AA97" i="2" s="1"/>
  <c r="Z97" i="2"/>
  <c r="AA214" i="2" a="1"/>
  <c r="AA214" i="2" s="1"/>
  <c r="Z214" i="2"/>
  <c r="AA243" i="2" a="1"/>
  <c r="AA243" i="2" s="1"/>
  <c r="Z243" i="2"/>
  <c r="AA251" i="2" a="1"/>
  <c r="AA251" i="2" s="1"/>
  <c r="Z251" i="2"/>
  <c r="AA255" i="2" a="1"/>
  <c r="AA255" i="2" s="1"/>
  <c r="Z255" i="2"/>
  <c r="AA263" i="2" a="1"/>
  <c r="AA263" i="2" s="1"/>
  <c r="Z263" i="2"/>
  <c r="AA267" i="2" a="1"/>
  <c r="AA267" i="2" s="1"/>
  <c r="Z267" i="2"/>
  <c r="AA271" i="2" a="1"/>
  <c r="AA271" i="2" s="1"/>
  <c r="Z271" i="2"/>
  <c r="AA280" i="2" a="1"/>
  <c r="AA280" i="2" s="1"/>
  <c r="Z280" i="2"/>
  <c r="AA284" i="2" a="1"/>
  <c r="AA284" i="2" s="1"/>
  <c r="Z284" i="2"/>
  <c r="AA344" i="2" a="1"/>
  <c r="AA344" i="2" s="1"/>
  <c r="Z344" i="2"/>
  <c r="AA348" i="2" a="1"/>
  <c r="AA348" i="2" s="1"/>
  <c r="Z348" i="2"/>
  <c r="AA356" i="2" a="1"/>
  <c r="AA356" i="2" s="1"/>
  <c r="Z356" i="2"/>
  <c r="AA360" i="2" a="1"/>
  <c r="AA360" i="2" s="1"/>
  <c r="Z360" i="2"/>
  <c r="AA364" i="2" a="1"/>
  <c r="AA364" i="2" s="1"/>
  <c r="Z364" i="2"/>
  <c r="AA372" i="2" a="1"/>
  <c r="AA372" i="2" s="1"/>
  <c r="Z372" i="2"/>
  <c r="AA376" i="2" a="1"/>
  <c r="AA376" i="2" s="1"/>
  <c r="Z376" i="2"/>
  <c r="AA384" i="2" a="1"/>
  <c r="AA384" i="2" s="1"/>
  <c r="Z384" i="2"/>
  <c r="AA493" i="2" a="1"/>
  <c r="AA493" i="2" s="1"/>
  <c r="Z493" i="2"/>
  <c r="AA32" i="2" a="1"/>
  <c r="AA32" i="2" s="1"/>
  <c r="Z32" i="2"/>
  <c r="AA45" i="2" a="1"/>
  <c r="AA45" i="2" s="1"/>
  <c r="Z45" i="2"/>
  <c r="AA53" i="2" a="1"/>
  <c r="AA53" i="2" s="1"/>
  <c r="Z53" i="2"/>
  <c r="AA57" i="2" a="1"/>
  <c r="AA57" i="2" s="1"/>
  <c r="Z57" i="2"/>
  <c r="AA65" i="2" a="1"/>
  <c r="AA65" i="2" s="1"/>
  <c r="Z65" i="2"/>
  <c r="AA73" i="2" a="1"/>
  <c r="AA73" i="2" s="1"/>
  <c r="Z73" i="2"/>
  <c r="AA81" i="2" a="1"/>
  <c r="AA81" i="2" s="1"/>
  <c r="Z81" i="2"/>
  <c r="AA85" i="2" a="1"/>
  <c r="AA85" i="2" s="1"/>
  <c r="Z85" i="2"/>
  <c r="AA89" i="2" a="1"/>
  <c r="AA89" i="2" s="1"/>
  <c r="Z89" i="2"/>
  <c r="AA93" i="2" a="1"/>
  <c r="AA93" i="2" s="1"/>
  <c r="Z93" i="2"/>
  <c r="AA101" i="2" a="1"/>
  <c r="AA101" i="2" s="1"/>
  <c r="Z101" i="2"/>
  <c r="AA105" i="2" a="1"/>
  <c r="AA105" i="2" s="1"/>
  <c r="Z105" i="2"/>
  <c r="AA109" i="2" a="1"/>
  <c r="AA109" i="2" s="1"/>
  <c r="Z109" i="2"/>
  <c r="AA113" i="2" a="1"/>
  <c r="AA113" i="2" s="1"/>
  <c r="Z113" i="2"/>
  <c r="AA117" i="2" a="1"/>
  <c r="AA117" i="2" s="1"/>
  <c r="Z117" i="2"/>
  <c r="AA121" i="2" a="1"/>
  <c r="AA121" i="2" s="1"/>
  <c r="Z121" i="2"/>
  <c r="AA247" i="2" a="1"/>
  <c r="AA247" i="2" s="1"/>
  <c r="Z247" i="2"/>
  <c r="AA259" i="2" a="1"/>
  <c r="AA259" i="2" s="1"/>
  <c r="Z259" i="2"/>
  <c r="AA292" i="2" a="1"/>
  <c r="AA292" i="2" s="1"/>
  <c r="Z292" i="2"/>
  <c r="AA296" i="2" a="1"/>
  <c r="AA296" i="2" s="1"/>
  <c r="Z296" i="2"/>
  <c r="AA300" i="2" a="1"/>
  <c r="AA300" i="2" s="1"/>
  <c r="Z300" i="2"/>
  <c r="AA328" i="2" a="1"/>
  <c r="AA328" i="2" s="1"/>
  <c r="Z328" i="2"/>
  <c r="AA408" i="2" a="1"/>
  <c r="AA408" i="2" s="1"/>
  <c r="Z408" i="2"/>
  <c r="AA412" i="2" a="1"/>
  <c r="AA412" i="2" s="1"/>
  <c r="Z412" i="2"/>
  <c r="AA441" i="2" a="1"/>
  <c r="AA441" i="2" s="1"/>
  <c r="Z441" i="2"/>
  <c r="AA445" i="2" a="1"/>
  <c r="AA445" i="2" s="1"/>
  <c r="Z445" i="2"/>
  <c r="AA457" i="2" a="1"/>
  <c r="AA457" i="2" s="1"/>
  <c r="Z457" i="2"/>
  <c r="AA461" i="2" a="1"/>
  <c r="AA461" i="2" s="1"/>
  <c r="Z461" i="2"/>
  <c r="AA465" i="2" a="1"/>
  <c r="AA465" i="2" s="1"/>
  <c r="Z465" i="2"/>
  <c r="AA505" i="2" a="1"/>
  <c r="AA505" i="2" s="1"/>
  <c r="Z505" i="2"/>
  <c r="AA509" i="2" a="1"/>
  <c r="AA509" i="2" s="1"/>
  <c r="Z509" i="2"/>
  <c r="AA513" i="2" a="1"/>
  <c r="AA513" i="2" s="1"/>
  <c r="Z513" i="2"/>
  <c r="AA517" i="2" a="1"/>
  <c r="AA517" i="2" s="1"/>
  <c r="Z517" i="2"/>
  <c r="AA541" i="2" a="1"/>
  <c r="AA541" i="2" s="1"/>
  <c r="Z541" i="2"/>
  <c r="AA547" i="2" a="1"/>
  <c r="AA547" i="2" s="1"/>
  <c r="Z547" i="2"/>
  <c r="AA551" i="2" a="1"/>
  <c r="AA551" i="2" s="1"/>
  <c r="Z551" i="2"/>
  <c r="AA555" i="2" a="1"/>
  <c r="AA555" i="2" s="1"/>
  <c r="Z555" i="2"/>
  <c r="AA568" i="2" a="1"/>
  <c r="AA568" i="2" s="1"/>
  <c r="Z568" i="2"/>
  <c r="AA572" i="2" a="1"/>
  <c r="AA572" i="2" s="1"/>
  <c r="Z572" i="2"/>
  <c r="AA580" i="2" a="1"/>
  <c r="AA580" i="2" s="1"/>
  <c r="Z580" i="2"/>
  <c r="AA584" i="2" a="1"/>
  <c r="AA584" i="2" s="1"/>
  <c r="Z584" i="2"/>
  <c r="AA588" i="2" a="1"/>
  <c r="AA588" i="2" s="1"/>
  <c r="Z588" i="2"/>
  <c r="AA592" i="2" a="1"/>
  <c r="AA592" i="2" s="1"/>
  <c r="Z592" i="2"/>
  <c r="AA600" i="2" a="1"/>
  <c r="AA600" i="2" s="1"/>
  <c r="Z600" i="2"/>
  <c r="AA604" i="2" a="1"/>
  <c r="AA604" i="2" s="1"/>
  <c r="Z604" i="2"/>
  <c r="AA612" i="2" a="1"/>
  <c r="AA612" i="2" s="1"/>
  <c r="Z612" i="2"/>
  <c r="AA616" i="2" a="1"/>
  <c r="AA616" i="2" s="1"/>
  <c r="Z616" i="2"/>
  <c r="AA620" i="2" a="1"/>
  <c r="AA620" i="2" s="1"/>
  <c r="Z620" i="2"/>
  <c r="AA624" i="2" a="1"/>
  <c r="AA624" i="2" s="1"/>
  <c r="Z624" i="2"/>
  <c r="AA632" i="2" a="1"/>
  <c r="AA632" i="2" s="1"/>
  <c r="Z632" i="2"/>
  <c r="AA636" i="2" a="1"/>
  <c r="AA636" i="2" s="1"/>
  <c r="Z636" i="2"/>
  <c r="AA644" i="2" a="1"/>
  <c r="AA644" i="2" s="1"/>
  <c r="Z644" i="2"/>
  <c r="AA648" i="2" a="1"/>
  <c r="AA648" i="2" s="1"/>
  <c r="Z648" i="2"/>
  <c r="AA653" i="2" a="1"/>
  <c r="AA653" i="2" s="1"/>
  <c r="Z653" i="2"/>
  <c r="AA657" i="2" a="1"/>
  <c r="AA657" i="2" s="1"/>
  <c r="Z657" i="2"/>
  <c r="AA665" i="2" a="1"/>
  <c r="AA665" i="2" s="1"/>
  <c r="Z665" i="2"/>
  <c r="AA670" i="2" a="1"/>
  <c r="AA670" i="2" s="1"/>
  <c r="Z670" i="2"/>
  <c r="AA674" i="2" a="1"/>
  <c r="AA674" i="2" s="1"/>
  <c r="Z674" i="2"/>
  <c r="AA679" i="2" a="1"/>
  <c r="AA679" i="2" s="1"/>
  <c r="Z679" i="2"/>
  <c r="AA683" i="2" a="1"/>
  <c r="AA683" i="2" s="1"/>
  <c r="Z683" i="2"/>
  <c r="AA691" i="2" a="1"/>
  <c r="AA691" i="2" s="1"/>
  <c r="Z691" i="2"/>
  <c r="AA695" i="2" a="1"/>
  <c r="AA695" i="2" s="1"/>
  <c r="Z695" i="2"/>
  <c r="AA699" i="2" a="1"/>
  <c r="AA699" i="2" s="1"/>
  <c r="Z699" i="2"/>
  <c r="AA703" i="2" a="1"/>
  <c r="AA703" i="2" s="1"/>
  <c r="Z703" i="2"/>
  <c r="AA707" i="2" a="1"/>
  <c r="AA707" i="2" s="1"/>
  <c r="Z707" i="2"/>
  <c r="AA711" i="2" a="1"/>
  <c r="AA711" i="2" s="1"/>
  <c r="Z711" i="2"/>
  <c r="AA719" i="2" a="1"/>
  <c r="AA719" i="2" s="1"/>
  <c r="Z719" i="2"/>
  <c r="AA723" i="2" a="1"/>
  <c r="AA723" i="2" s="1"/>
  <c r="Z723" i="2"/>
  <c r="AA727" i="2" a="1"/>
  <c r="AA727" i="2" s="1"/>
  <c r="Z727" i="2"/>
  <c r="AA732" i="2" a="1"/>
  <c r="AA732" i="2" s="1"/>
  <c r="Z732" i="2"/>
  <c r="AA736" i="2" a="1"/>
  <c r="AA736" i="2" s="1"/>
  <c r="Z736" i="2"/>
  <c r="AA740" i="2" a="1"/>
  <c r="AA740" i="2" s="1"/>
  <c r="Z740" i="2"/>
  <c r="AA744" i="2" a="1"/>
  <c r="AA744" i="2" s="1"/>
  <c r="Z744" i="2"/>
  <c r="AA748" i="2" a="1"/>
  <c r="AA748" i="2" s="1"/>
  <c r="Z748" i="2"/>
  <c r="AA752" i="2" a="1"/>
  <c r="AA752" i="2" s="1"/>
  <c r="Z752" i="2"/>
  <c r="AA756" i="2" a="1"/>
  <c r="AA756" i="2" s="1"/>
  <c r="Z756" i="2"/>
  <c r="AA760" i="2" a="1"/>
  <c r="AA760" i="2" s="1"/>
  <c r="Z760" i="2"/>
  <c r="AA764" i="2" a="1"/>
  <c r="AA764" i="2" s="1"/>
  <c r="Z764" i="2"/>
  <c r="AA768" i="2" a="1"/>
  <c r="AA768" i="2" s="1"/>
  <c r="Z768" i="2"/>
  <c r="AA772" i="2" a="1"/>
  <c r="AA772" i="2" s="1"/>
  <c r="Z772" i="2"/>
  <c r="AA776" i="2" a="1"/>
  <c r="AA776" i="2" s="1"/>
  <c r="Z776" i="2"/>
  <c r="AA780" i="2" a="1"/>
  <c r="AA780" i="2" s="1"/>
  <c r="Z780" i="2"/>
  <c r="AA784" i="2" a="1"/>
  <c r="AA784" i="2" s="1"/>
  <c r="Z784" i="2"/>
  <c r="AA788" i="2" a="1"/>
  <c r="AA788" i="2" s="1"/>
  <c r="Z788" i="2"/>
  <c r="AA792" i="2" a="1"/>
  <c r="AA792" i="2" s="1"/>
  <c r="Z792" i="2"/>
  <c r="AA796" i="2" a="1"/>
  <c r="AA796" i="2" s="1"/>
  <c r="Z796" i="2"/>
  <c r="AA800" i="2" a="1"/>
  <c r="AA800" i="2" s="1"/>
  <c r="Z800" i="2"/>
  <c r="AA804" i="2" a="1"/>
  <c r="AA804" i="2" s="1"/>
  <c r="Z804" i="2"/>
  <c r="AA808" i="2" a="1"/>
  <c r="AA808" i="2" s="1"/>
  <c r="Z808" i="2"/>
  <c r="AA812" i="2" a="1"/>
  <c r="AA812" i="2" s="1"/>
  <c r="Z812" i="2"/>
  <c r="AA816" i="2" a="1"/>
  <c r="AA816" i="2" s="1"/>
  <c r="Z816" i="2"/>
  <c r="AA820" i="2" a="1"/>
  <c r="AA820" i="2" s="1"/>
  <c r="Z820" i="2"/>
  <c r="AA824" i="2" a="1"/>
  <c r="AA824" i="2" s="1"/>
  <c r="Z824" i="2"/>
  <c r="AA829" i="2" a="1"/>
  <c r="AA829" i="2" s="1"/>
  <c r="Z829" i="2"/>
  <c r="AA833" i="2" a="1"/>
  <c r="AA833" i="2" s="1"/>
  <c r="Z833" i="2"/>
  <c r="AA837" i="2" a="1"/>
  <c r="AA837" i="2" s="1"/>
  <c r="Z837" i="2"/>
  <c r="AA841" i="2" a="1"/>
  <c r="AA841" i="2" s="1"/>
  <c r="Z841" i="2"/>
  <c r="AA845" i="2" a="1"/>
  <c r="AA845" i="2" s="1"/>
  <c r="Z845" i="2"/>
  <c r="AA849" i="2" a="1"/>
  <c r="AA849" i="2" s="1"/>
  <c r="Z849" i="2"/>
  <c r="AA853" i="2" a="1"/>
  <c r="AA853" i="2" s="1"/>
  <c r="Z853" i="2"/>
  <c r="AA857" i="2" a="1"/>
  <c r="AA857" i="2" s="1"/>
  <c r="Z857" i="2"/>
  <c r="AA861" i="2" a="1"/>
  <c r="AA861" i="2" s="1"/>
  <c r="Z861" i="2"/>
  <c r="AA865" i="2" a="1"/>
  <c r="AA865" i="2" s="1"/>
  <c r="Z865" i="2"/>
  <c r="AA869" i="2" a="1"/>
  <c r="AA869" i="2" s="1"/>
  <c r="Z869" i="2"/>
  <c r="AA877" i="2" a="1"/>
  <c r="AA877" i="2" s="1"/>
  <c r="Z877" i="2"/>
  <c r="AA881" i="2" a="1"/>
  <c r="AA881" i="2" s="1"/>
  <c r="Z881" i="2"/>
  <c r="AA885" i="2" a="1"/>
  <c r="AA885" i="2" s="1"/>
  <c r="Z885" i="2"/>
  <c r="AA889" i="2" a="1"/>
  <c r="AA889" i="2" s="1"/>
  <c r="Z889" i="2"/>
  <c r="AA893" i="2" a="1"/>
  <c r="AA893" i="2" s="1"/>
  <c r="Z893" i="2"/>
  <c r="AA897" i="2" a="1"/>
  <c r="AA897" i="2" s="1"/>
  <c r="Z897" i="2"/>
  <c r="AA905" i="2" a="1"/>
  <c r="AA905" i="2" s="1"/>
  <c r="Z905" i="2"/>
  <c r="AA909" i="2" a="1"/>
  <c r="AA909" i="2" s="1"/>
  <c r="Z909" i="2"/>
  <c r="AA913" i="2" a="1"/>
  <c r="AA913" i="2" s="1"/>
  <c r="Z913" i="2"/>
  <c r="AA917" i="2" a="1"/>
  <c r="AA917" i="2" s="1"/>
  <c r="Z917" i="2"/>
  <c r="AA921" i="2" a="1"/>
  <c r="AA921" i="2" s="1"/>
  <c r="Z921" i="2"/>
  <c r="AA925" i="2" a="1"/>
  <c r="AA925" i="2" s="1"/>
  <c r="Z925" i="2"/>
  <c r="AA933" i="2" a="1"/>
  <c r="AA933" i="2" s="1"/>
  <c r="Z933" i="2"/>
  <c r="AA938" i="2" a="1"/>
  <c r="AA938" i="2" s="1"/>
  <c r="Z938" i="2"/>
  <c r="AA942" i="2" a="1"/>
  <c r="AA942" i="2" s="1"/>
  <c r="Z942" i="2"/>
  <c r="AA946" i="2" a="1"/>
  <c r="AA946" i="2" s="1"/>
  <c r="Z946" i="2"/>
  <c r="AA950" i="2" a="1"/>
  <c r="AA950" i="2" s="1"/>
  <c r="Z950" i="2"/>
  <c r="AA962" i="2" a="1"/>
  <c r="AA962" i="2" s="1"/>
  <c r="Z962" i="2"/>
  <c r="AA966" i="2" a="1"/>
  <c r="AA966" i="2" s="1"/>
  <c r="Z966" i="2"/>
  <c r="AA970" i="2" a="1"/>
  <c r="AA970" i="2" s="1"/>
  <c r="Z970" i="2"/>
  <c r="AA974" i="2" a="1"/>
  <c r="AA974" i="2" s="1"/>
  <c r="Z974" i="2"/>
  <c r="AA978" i="2" a="1"/>
  <c r="AA978" i="2" s="1"/>
  <c r="Z978" i="2"/>
  <c r="AA982" i="2" a="1"/>
  <c r="AA982" i="2" s="1"/>
  <c r="Z982" i="2"/>
  <c r="AA987" i="2" a="1"/>
  <c r="AA987" i="2" s="1"/>
  <c r="Z987" i="2"/>
  <c r="AA991" i="2" a="1"/>
  <c r="AA991" i="2" s="1"/>
  <c r="Z991" i="2"/>
  <c r="AA995" i="2" a="1"/>
  <c r="AA995" i="2" s="1"/>
  <c r="Z995" i="2"/>
  <c r="AA999" i="2" a="1"/>
  <c r="AA999" i="2" s="1"/>
  <c r="Z999" i="2"/>
  <c r="AA184" i="2" a="1"/>
  <c r="AA184" i="2" s="1"/>
  <c r="AA611" i="2" a="1"/>
  <c r="AA611" i="2" s="1"/>
  <c r="Z20" i="2"/>
  <c r="Z31" i="2"/>
  <c r="Z52" i="2"/>
  <c r="Z84" i="2"/>
  <c r="Z116" i="2"/>
  <c r="Z138" i="2"/>
  <c r="Z159" i="2"/>
  <c r="Z180" i="2"/>
  <c r="Z202" i="2"/>
  <c r="Z234" i="2"/>
  <c r="Z246" i="2"/>
  <c r="Z276" i="2"/>
  <c r="Z304" i="2"/>
  <c r="Z332" i="2"/>
  <c r="Z404" i="2"/>
  <c r="Z432" i="2"/>
  <c r="Z460" i="2"/>
  <c r="Z480" i="2"/>
  <c r="Z501" i="2"/>
  <c r="Z608" i="2"/>
  <c r="Z715" i="2"/>
  <c r="Z787" i="2"/>
  <c r="Z958" i="2"/>
  <c r="AA68" i="2" a="1"/>
  <c r="AA68" i="2" s="1"/>
  <c r="AA664" i="2" a="1"/>
  <c r="AA664" i="2" s="1"/>
  <c r="Z3" i="2"/>
  <c r="Z24" i="2"/>
  <c r="Z56" i="2"/>
  <c r="Z88" i="2"/>
  <c r="Z120" i="2"/>
  <c r="Z142" i="2"/>
  <c r="Z152" i="2"/>
  <c r="Z163" i="2"/>
  <c r="Z206" i="2"/>
  <c r="Z238" i="2"/>
  <c r="Z266" i="2"/>
  <c r="Z324" i="2"/>
  <c r="Z352" i="2"/>
  <c r="Z380" i="2"/>
  <c r="Z437" i="2"/>
  <c r="Z452" i="2"/>
  <c r="Z468" i="2"/>
  <c r="Z489" i="2"/>
  <c r="Z532" i="2"/>
  <c r="Z596" i="2"/>
  <c r="Z660" i="2"/>
  <c r="Z687" i="2"/>
  <c r="Z929" i="2"/>
  <c r="AA100" i="2" a="1"/>
  <c r="AA100" i="2" s="1"/>
  <c r="AA270" i="2" a="1"/>
  <c r="AA270" i="2" s="1"/>
  <c r="Z4" i="2"/>
  <c r="Z15" i="2"/>
  <c r="Z36" i="2"/>
  <c r="Z143" i="2"/>
  <c r="Z164" i="2"/>
  <c r="Z218" i="2"/>
  <c r="Z254" i="2"/>
  <c r="Z340" i="2"/>
  <c r="Z368" i="2"/>
  <c r="Z396" i="2"/>
  <c r="Z453" i="2"/>
  <c r="Z469" i="2"/>
  <c r="Z512" i="2"/>
  <c r="Z533" i="2"/>
  <c r="Z554" i="2"/>
  <c r="Z576" i="2"/>
  <c r="Z640" i="2"/>
  <c r="Z661" i="2"/>
  <c r="Z901" i="2"/>
  <c r="AA7" i="2" a="1"/>
  <c r="AA7" i="2" s="1"/>
  <c r="Z7" i="2"/>
  <c r="AA11" i="2" a="1"/>
  <c r="AA11" i="2" s="1"/>
  <c r="Z11" i="2"/>
  <c r="AA23" i="2" a="1"/>
  <c r="AA23" i="2" s="1"/>
  <c r="Z23" i="2"/>
  <c r="AA27" i="2" a="1"/>
  <c r="AA27" i="2" s="1"/>
  <c r="Z27" i="2"/>
  <c r="AA44" i="2" a="1"/>
  <c r="AA44" i="2" s="1"/>
  <c r="Z44" i="2"/>
  <c r="AA48" i="2" a="1"/>
  <c r="AA48" i="2" s="1"/>
  <c r="Z48" i="2"/>
  <c r="AA60" i="2" a="1"/>
  <c r="AA60" i="2" s="1"/>
  <c r="Z60" i="2"/>
  <c r="AA64" i="2" a="1"/>
  <c r="AA64" i="2" s="1"/>
  <c r="Z64" i="2"/>
  <c r="AA76" i="2" a="1"/>
  <c r="AA76" i="2" s="1"/>
  <c r="Z76" i="2"/>
  <c r="AA80" i="2" a="1"/>
  <c r="AA80" i="2" s="1"/>
  <c r="Z80" i="2"/>
  <c r="AA92" i="2" a="1"/>
  <c r="AA92" i="2" s="1"/>
  <c r="Z92" i="2"/>
  <c r="AA96" i="2" a="1"/>
  <c r="AA96" i="2" s="1"/>
  <c r="Z96" i="2"/>
  <c r="AA108" i="2" a="1"/>
  <c r="AA108" i="2" s="1"/>
  <c r="Z108" i="2"/>
  <c r="AA112" i="2" a="1"/>
  <c r="AA112" i="2" s="1"/>
  <c r="Z112" i="2"/>
  <c r="AA125" i="2" a="1"/>
  <c r="AA125" i="2" s="1"/>
  <c r="Z125" i="2"/>
  <c r="AA129" i="2" a="1"/>
  <c r="AA129" i="2" s="1"/>
  <c r="Z129" i="2"/>
  <c r="AA134" i="2" a="1"/>
  <c r="AA134" i="2" s="1"/>
  <c r="Z134" i="2"/>
  <c r="AA146" i="2" a="1"/>
  <c r="AA146" i="2" s="1"/>
  <c r="Z146" i="2"/>
  <c r="AA151" i="2" a="1"/>
  <c r="AA151" i="2" s="1"/>
  <c r="Z151" i="2"/>
  <c r="AA155" i="2" a="1"/>
  <c r="AA155" i="2" s="1"/>
  <c r="Z155" i="2"/>
  <c r="AA167" i="2" a="1"/>
  <c r="AA167" i="2" s="1"/>
  <c r="Z167" i="2"/>
  <c r="AA171" i="2" a="1"/>
  <c r="AA171" i="2" s="1"/>
  <c r="Z171" i="2"/>
  <c r="AA176" i="2" a="1"/>
  <c r="AA176" i="2" s="1"/>
  <c r="Z176" i="2"/>
  <c r="AA188" i="2" a="1"/>
  <c r="AA188" i="2" s="1"/>
  <c r="Z188" i="2"/>
  <c r="AA192" i="2" a="1"/>
  <c r="AA192" i="2" s="1"/>
  <c r="Z192" i="2"/>
  <c r="AA197" i="2" a="1"/>
  <c r="AA197" i="2" s="1"/>
  <c r="Z197" i="2"/>
  <c r="AA201" i="2" a="1"/>
  <c r="AA201" i="2" s="1"/>
  <c r="Z201" i="2"/>
  <c r="AA205" i="2" a="1"/>
  <c r="AA205" i="2" s="1"/>
  <c r="Z205" i="2"/>
  <c r="AA209" i="2" a="1"/>
  <c r="AA209" i="2" s="1"/>
  <c r="Z209" i="2"/>
  <c r="AA213" i="2" a="1"/>
  <c r="AA213" i="2" s="1"/>
  <c r="Z213" i="2"/>
  <c r="AA217" i="2" a="1"/>
  <c r="AA217" i="2" s="1"/>
  <c r="Z217" i="2"/>
  <c r="AA221" i="2" a="1"/>
  <c r="AA221" i="2" s="1"/>
  <c r="Z221" i="2"/>
  <c r="AA225" i="2" a="1"/>
  <c r="AA225" i="2" s="1"/>
  <c r="Z225" i="2"/>
  <c r="AA229" i="2" a="1"/>
  <c r="AA229" i="2" s="1"/>
  <c r="Z229" i="2"/>
  <c r="AA233" i="2" a="1"/>
  <c r="AA233" i="2" s="1"/>
  <c r="Z233" i="2"/>
  <c r="AA237" i="2" a="1"/>
  <c r="AA237" i="2" s="1"/>
  <c r="Z237" i="2"/>
  <c r="AA242" i="2" a="1"/>
  <c r="AA242" i="2" s="1"/>
  <c r="Z242" i="2"/>
  <c r="AA250" i="2" a="1"/>
  <c r="AA250" i="2" s="1"/>
  <c r="Z250" i="2"/>
  <c r="AA258" i="2" a="1"/>
  <c r="AA258" i="2" s="1"/>
  <c r="Z258" i="2"/>
  <c r="AA262" i="2" a="1"/>
  <c r="AA262" i="2" s="1"/>
  <c r="Z262" i="2"/>
  <c r="AA275" i="2" a="1"/>
  <c r="AA275" i="2" s="1"/>
  <c r="Z275" i="2"/>
  <c r="AA279" i="2" a="1"/>
  <c r="AA279" i="2" s="1"/>
  <c r="Z279" i="2"/>
  <c r="AA283" i="2" a="1"/>
  <c r="AA283" i="2" s="1"/>
  <c r="Z283" i="2"/>
  <c r="AA287" i="2" a="1"/>
  <c r="AA287" i="2" s="1"/>
  <c r="Z287" i="2"/>
  <c r="AA291" i="2" a="1"/>
  <c r="AA291" i="2" s="1"/>
  <c r="Z291" i="2"/>
  <c r="AA295" i="2" a="1"/>
  <c r="AA295" i="2" s="1"/>
  <c r="Z295" i="2"/>
  <c r="AA299" i="2" a="1"/>
  <c r="AA299" i="2" s="1"/>
  <c r="Z299" i="2"/>
  <c r="AA303" i="2" a="1"/>
  <c r="AA303" i="2" s="1"/>
  <c r="Z303" i="2"/>
  <c r="AA307" i="2" a="1"/>
  <c r="AA307" i="2" s="1"/>
  <c r="Z307" i="2"/>
  <c r="AA311" i="2" a="1"/>
  <c r="AA311" i="2" s="1"/>
  <c r="Z311" i="2"/>
  <c r="Z315" i="2"/>
  <c r="AA315" i="2" a="1"/>
  <c r="AA315" i="2" s="1"/>
  <c r="AA319" i="2" a="1"/>
  <c r="AA319" i="2" s="1"/>
  <c r="Z319" i="2"/>
  <c r="AA323" i="2" a="1"/>
  <c r="AA323" i="2" s="1"/>
  <c r="Z323" i="2"/>
  <c r="AA327" i="2" a="1"/>
  <c r="AA327" i="2" s="1"/>
  <c r="Z327" i="2"/>
  <c r="AA331" i="2" a="1"/>
  <c r="AA331" i="2" s="1"/>
  <c r="Z331" i="2"/>
  <c r="Z335" i="2"/>
  <c r="AA335" i="2" a="1"/>
  <c r="AA335" i="2" s="1"/>
  <c r="AA339" i="2" a="1"/>
  <c r="AA339" i="2" s="1"/>
  <c r="Z339" i="2"/>
  <c r="AA343" i="2" a="1"/>
  <c r="AA343" i="2" s="1"/>
  <c r="Z343" i="2"/>
  <c r="AA347" i="2" a="1"/>
  <c r="AA347" i="2" s="1"/>
  <c r="Z347" i="2"/>
  <c r="AA351" i="2" a="1"/>
  <c r="AA351" i="2" s="1"/>
  <c r="Z351" i="2"/>
  <c r="AA355" i="2" a="1"/>
  <c r="AA355" i="2" s="1"/>
  <c r="Z355" i="2"/>
  <c r="AA359" i="2" a="1"/>
  <c r="AA359" i="2" s="1"/>
  <c r="Z359" i="2"/>
  <c r="Z363" i="2"/>
  <c r="AA363" i="2" a="1"/>
  <c r="AA363" i="2" s="1"/>
  <c r="AA367" i="2" a="1"/>
  <c r="AA367" i="2" s="1"/>
  <c r="Z367" i="2"/>
  <c r="AA371" i="2" a="1"/>
  <c r="AA371" i="2" s="1"/>
  <c r="Z371" i="2"/>
  <c r="AA375" i="2" a="1"/>
  <c r="AA375" i="2" s="1"/>
  <c r="Z375" i="2"/>
  <c r="AA379" i="2" a="1"/>
  <c r="AA379" i="2" s="1"/>
  <c r="Z379" i="2"/>
  <c r="AA383" i="2" a="1"/>
  <c r="AA383" i="2" s="1"/>
  <c r="Z383" i="2"/>
  <c r="AA387" i="2" a="1"/>
  <c r="AA387" i="2" s="1"/>
  <c r="Z387" i="2"/>
  <c r="Z391" i="2"/>
  <c r="AA391" i="2" a="1"/>
  <c r="AA391" i="2" s="1"/>
  <c r="AA395" i="2" a="1"/>
  <c r="AA395" i="2" s="1"/>
  <c r="Z395" i="2"/>
  <c r="AA399" i="2" a="1"/>
  <c r="AA399" i="2" s="1"/>
  <c r="Z399" i="2"/>
  <c r="AA403" i="2" a="1"/>
  <c r="AA403" i="2" s="1"/>
  <c r="Z403" i="2"/>
  <c r="AA407" i="2" a="1"/>
  <c r="AA407" i="2" s="1"/>
  <c r="Z407" i="2"/>
  <c r="AA411" i="2" a="1"/>
  <c r="AA411" i="2" s="1"/>
  <c r="Z411" i="2"/>
  <c r="AA415" i="2" a="1"/>
  <c r="AA415" i="2" s="1"/>
  <c r="Z415" i="2"/>
  <c r="AA419" i="2" a="1"/>
  <c r="AA419" i="2" s="1"/>
  <c r="Z419" i="2"/>
  <c r="AA423" i="2" a="1"/>
  <c r="AA423" i="2" s="1"/>
  <c r="Z423" i="2"/>
  <c r="Z428" i="2"/>
  <c r="AA428" i="2" a="1"/>
  <c r="AA428" i="2" s="1"/>
  <c r="AA436" i="2" a="1"/>
  <c r="AA436" i="2" s="1"/>
  <c r="Z436" i="2"/>
  <c r="Z440" i="2"/>
  <c r="AA440" i="2" a="1"/>
  <c r="AA440" i="2" s="1"/>
  <c r="AA448" i="2" a="1"/>
  <c r="AA448" i="2" s="1"/>
  <c r="Z448" i="2"/>
  <c r="AA456" i="2" a="1"/>
  <c r="AA456" i="2" s="1"/>
  <c r="Z456" i="2"/>
  <c r="AA464" i="2" a="1"/>
  <c r="AA464" i="2" s="1"/>
  <c r="Z464" i="2"/>
  <c r="AA472" i="2" a="1"/>
  <c r="AA472" i="2" s="1"/>
  <c r="Z472" i="2"/>
  <c r="AA476" i="2" a="1"/>
  <c r="AA476" i="2" s="1"/>
  <c r="Z476" i="2"/>
  <c r="AA484" i="2" a="1"/>
  <c r="AA484" i="2" s="1"/>
  <c r="Z484" i="2"/>
  <c r="AA488" i="2" a="1"/>
  <c r="AA488" i="2" s="1"/>
  <c r="Z488" i="2"/>
  <c r="AA492" i="2" a="1"/>
  <c r="AA492" i="2" s="1"/>
  <c r="Z492" i="2"/>
  <c r="AA496" i="2" a="1"/>
  <c r="AA496" i="2" s="1"/>
  <c r="Z496" i="2"/>
  <c r="AA504" i="2" a="1"/>
  <c r="AA504" i="2" s="1"/>
  <c r="Z504" i="2"/>
  <c r="AA508" i="2" a="1"/>
  <c r="AA508" i="2" s="1"/>
  <c r="Z508" i="2"/>
  <c r="AA516" i="2" a="1"/>
  <c r="AA516" i="2" s="1"/>
  <c r="Z516" i="2"/>
  <c r="Z520" i="2"/>
  <c r="AA520" i="2" a="1"/>
  <c r="AA520" i="2" s="1"/>
  <c r="AA524" i="2" a="1"/>
  <c r="AA524" i="2" s="1"/>
  <c r="Z524" i="2"/>
  <c r="AA528" i="2" a="1"/>
  <c r="AA528" i="2" s="1"/>
  <c r="Z528" i="2"/>
  <c r="AA536" i="2" a="1"/>
  <c r="AA536" i="2" s="1"/>
  <c r="Z536" i="2"/>
  <c r="AA540" i="2" a="1"/>
  <c r="AA540" i="2" s="1"/>
  <c r="Z540" i="2"/>
  <c r="AA545" i="2" a="1"/>
  <c r="AA545" i="2" s="1"/>
  <c r="Z545" i="2"/>
  <c r="AA550" i="2" a="1"/>
  <c r="AA550" i="2" s="1"/>
  <c r="Z550" i="2"/>
  <c r="AA558" i="2" a="1"/>
  <c r="AA558" i="2" s="1"/>
  <c r="Z558" i="2"/>
  <c r="AA562" i="2" a="1"/>
  <c r="AA562" i="2" s="1"/>
  <c r="Z562" i="2"/>
  <c r="AA567" i="2" a="1"/>
  <c r="AA567" i="2" s="1"/>
  <c r="Z567" i="2"/>
  <c r="AA571" i="2" a="1"/>
  <c r="AA571" i="2" s="1"/>
  <c r="Z571" i="2"/>
  <c r="AA575" i="2" a="1"/>
  <c r="AA575" i="2" s="1"/>
  <c r="Z575" i="2"/>
  <c r="AA579" i="2" a="1"/>
  <c r="AA579" i="2" s="1"/>
  <c r="Z579" i="2"/>
  <c r="AA583" i="2" a="1"/>
  <c r="AA583" i="2" s="1"/>
  <c r="Z583" i="2"/>
  <c r="AA587" i="2" a="1"/>
  <c r="AA587" i="2" s="1"/>
  <c r="Z587" i="2"/>
  <c r="AA591" i="2" a="1"/>
  <c r="AA591" i="2" s="1"/>
  <c r="Z591" i="2"/>
  <c r="AA595" i="2" a="1"/>
  <c r="AA595" i="2" s="1"/>
  <c r="Z595" i="2"/>
  <c r="AA599" i="2" a="1"/>
  <c r="AA599" i="2" s="1"/>
  <c r="Z599" i="2"/>
  <c r="AA603" i="2" a="1"/>
  <c r="AA603" i="2" s="1"/>
  <c r="Z603" i="2"/>
  <c r="AA607" i="2" a="1"/>
  <c r="AA607" i="2" s="1"/>
  <c r="Z607" i="2"/>
  <c r="AA615" i="2" a="1"/>
  <c r="AA615" i="2" s="1"/>
  <c r="Z615" i="2"/>
  <c r="AA619" i="2" a="1"/>
  <c r="AA619" i="2" s="1"/>
  <c r="Z619" i="2"/>
  <c r="AA623" i="2" a="1"/>
  <c r="AA623" i="2" s="1"/>
  <c r="Z623" i="2"/>
  <c r="Z627" i="2"/>
  <c r="AA627" i="2" a="1"/>
  <c r="AA627" i="2" s="1"/>
  <c r="AA631" i="2" a="1"/>
  <c r="AA631" i="2" s="1"/>
  <c r="Z631" i="2"/>
  <c r="AA635" i="2" a="1"/>
  <c r="AA635" i="2" s="1"/>
  <c r="Z635" i="2"/>
  <c r="AA639" i="2" a="1"/>
  <c r="AA639" i="2" s="1"/>
  <c r="Z639" i="2"/>
  <c r="AA643" i="2" a="1"/>
  <c r="AA643" i="2" s="1"/>
  <c r="Z643" i="2"/>
  <c r="AA647" i="2" a="1"/>
  <c r="AA647" i="2" s="1"/>
  <c r="Z647" i="2"/>
  <c r="AA651" i="2" a="1"/>
  <c r="AA651" i="2" s="1"/>
  <c r="Z651" i="2"/>
  <c r="AA656" i="2" a="1"/>
  <c r="AA656" i="2" s="1"/>
  <c r="Z656" i="2"/>
  <c r="AA669" i="2" a="1"/>
  <c r="AA669" i="2" s="1"/>
  <c r="Z669" i="2"/>
  <c r="AA677" i="2" a="1"/>
  <c r="AA677" i="2" s="1"/>
  <c r="Z677" i="2"/>
  <c r="AA682" i="2" a="1"/>
  <c r="AA682" i="2" s="1"/>
  <c r="Z682" i="2"/>
  <c r="AA686" i="2" a="1"/>
  <c r="AA686" i="2" s="1"/>
  <c r="Z686" i="2"/>
  <c r="AA690" i="2" a="1"/>
  <c r="AA690" i="2" s="1"/>
  <c r="Z690" i="2"/>
  <c r="AA694" i="2" a="1"/>
  <c r="AA694" i="2" s="1"/>
  <c r="Z694" i="2"/>
  <c r="AA698" i="2" a="1"/>
  <c r="AA698" i="2" s="1"/>
  <c r="Z698" i="2"/>
  <c r="Z706" i="2"/>
  <c r="AA706" i="2" a="1"/>
  <c r="AA706" i="2" s="1"/>
  <c r="AA710" i="2" a="1"/>
  <c r="AA710" i="2" s="1"/>
  <c r="Z710" i="2"/>
  <c r="AA714" i="2" a="1"/>
  <c r="AA714" i="2" s="1"/>
  <c r="Z714" i="2"/>
  <c r="AA718" i="2" a="1"/>
  <c r="AA718" i="2" s="1"/>
  <c r="Z718" i="2"/>
  <c r="AA722" i="2" a="1"/>
  <c r="AA722" i="2" s="1"/>
  <c r="Z722" i="2"/>
  <c r="AA726" i="2" a="1"/>
  <c r="AA726" i="2" s="1"/>
  <c r="Z726" i="2"/>
  <c r="AA731" i="2" a="1"/>
  <c r="AA731" i="2" s="1"/>
  <c r="Z731" i="2"/>
  <c r="AA735" i="2" a="1"/>
  <c r="AA735" i="2" s="1"/>
  <c r="Z735" i="2"/>
  <c r="AA739" i="2" a="1"/>
  <c r="AA739" i="2" s="1"/>
  <c r="Z739" i="2"/>
  <c r="AA743" i="2" a="1"/>
  <c r="AA743" i="2" s="1"/>
  <c r="Z743" i="2"/>
  <c r="AA747" i="2" a="1"/>
  <c r="AA747" i="2" s="1"/>
  <c r="Z747" i="2"/>
  <c r="AA751" i="2" a="1"/>
  <c r="AA751" i="2" s="1"/>
  <c r="Z751" i="2"/>
  <c r="AA755" i="2" a="1"/>
  <c r="AA755" i="2" s="1"/>
  <c r="Z755" i="2"/>
  <c r="AA759" i="2" a="1"/>
  <c r="AA759" i="2" s="1"/>
  <c r="Z759" i="2"/>
  <c r="AA763" i="2" a="1"/>
  <c r="AA763" i="2" s="1"/>
  <c r="Z763" i="2"/>
  <c r="AA767" i="2" a="1"/>
  <c r="AA767" i="2" s="1"/>
  <c r="Z767" i="2"/>
  <c r="AA771" i="2" a="1"/>
  <c r="AA771" i="2" s="1"/>
  <c r="Z771" i="2"/>
  <c r="Z775" i="2"/>
  <c r="AA775" i="2" a="1"/>
  <c r="AA775" i="2" s="1"/>
  <c r="AA779" i="2" a="1"/>
  <c r="AA779" i="2" s="1"/>
  <c r="Z779" i="2"/>
  <c r="AA783" i="2" a="1"/>
  <c r="AA783" i="2" s="1"/>
  <c r="Z783" i="2"/>
  <c r="AA791" i="2" a="1"/>
  <c r="AA791" i="2" s="1"/>
  <c r="Z791" i="2"/>
  <c r="AA795" i="2" a="1"/>
  <c r="AA795" i="2" s="1"/>
  <c r="Z795" i="2"/>
  <c r="AA799" i="2" a="1"/>
  <c r="AA799" i="2" s="1"/>
  <c r="Z799" i="2"/>
  <c r="AA803" i="2" a="1"/>
  <c r="AA803" i="2" s="1"/>
  <c r="Z803" i="2"/>
  <c r="AA807" i="2" a="1"/>
  <c r="AA807" i="2" s="1"/>
  <c r="Z807" i="2"/>
  <c r="Z811" i="2"/>
  <c r="AA811" i="2" a="1"/>
  <c r="AA811" i="2" s="1"/>
  <c r="AA819" i="2" a="1"/>
  <c r="AA819" i="2" s="1"/>
  <c r="Z819" i="2"/>
  <c r="AA823" i="2" a="1"/>
  <c r="AA823" i="2" s="1"/>
  <c r="Z823" i="2"/>
  <c r="AA827" i="2" a="1"/>
  <c r="AA827" i="2" s="1"/>
  <c r="Z827" i="2"/>
  <c r="AA832" i="2" a="1"/>
  <c r="AA832" i="2" s="1"/>
  <c r="Z832" i="2"/>
  <c r="AA836" i="2" a="1"/>
  <c r="AA836" i="2" s="1"/>
  <c r="Z836" i="2"/>
  <c r="AA840" i="2" a="1"/>
  <c r="AA840" i="2" s="1"/>
  <c r="Z840" i="2"/>
  <c r="AA844" i="2" a="1"/>
  <c r="AA844" i="2" s="1"/>
  <c r="Z844" i="2"/>
  <c r="Z848" i="2"/>
  <c r="AA848" i="2" a="1"/>
  <c r="AA848" i="2" s="1"/>
  <c r="AA852" i="2" a="1"/>
  <c r="AA852" i="2" s="1"/>
  <c r="Z852" i="2"/>
  <c r="AA856" i="2" a="1"/>
  <c r="AA856" i="2" s="1"/>
  <c r="Z856" i="2"/>
  <c r="AA860" i="2" a="1"/>
  <c r="AA860" i="2" s="1"/>
  <c r="Z860" i="2"/>
  <c r="AA864" i="2" a="1"/>
  <c r="AA864" i="2" s="1"/>
  <c r="Z864" i="2"/>
  <c r="AA868" i="2" a="1"/>
  <c r="AA868" i="2" s="1"/>
  <c r="Z868" i="2"/>
  <c r="AA872" i="2" a="1"/>
  <c r="AA872" i="2" s="1"/>
  <c r="Z872" i="2"/>
  <c r="AA876" i="2" a="1"/>
  <c r="AA876" i="2" s="1"/>
  <c r="Z876" i="2"/>
  <c r="AA880" i="2" a="1"/>
  <c r="AA880" i="2" s="1"/>
  <c r="Z880" i="2"/>
  <c r="AA884" i="2" a="1"/>
  <c r="AA884" i="2" s="1"/>
  <c r="Z884" i="2"/>
  <c r="AA888" i="2" a="1"/>
  <c r="AA888" i="2" s="1"/>
  <c r="Z888" i="2"/>
  <c r="AA892" i="2" a="1"/>
  <c r="AA892" i="2" s="1"/>
  <c r="Z892" i="2"/>
  <c r="AA896" i="2" a="1"/>
  <c r="AA896" i="2" s="1"/>
  <c r="Z896" i="2"/>
  <c r="AA900" i="2" a="1"/>
  <c r="AA900" i="2" s="1"/>
  <c r="Z900" i="2"/>
  <c r="AA904" i="2" a="1"/>
  <c r="AA904" i="2" s="1"/>
  <c r="Z904" i="2"/>
  <c r="AA908" i="2" a="1"/>
  <c r="AA908" i="2" s="1"/>
  <c r="Z908" i="2"/>
  <c r="AA912" i="2" a="1"/>
  <c r="AA912" i="2" s="1"/>
  <c r="Z912" i="2"/>
  <c r="AA916" i="2" a="1"/>
  <c r="AA916" i="2" s="1"/>
  <c r="Z916" i="2"/>
  <c r="AA920" i="2" a="1"/>
  <c r="AA920" i="2" s="1"/>
  <c r="Z920" i="2"/>
  <c r="AA924" i="2" a="1"/>
  <c r="AA924" i="2" s="1"/>
  <c r="Z924" i="2"/>
  <c r="AA928" i="2" a="1"/>
  <c r="AA928" i="2" s="1"/>
  <c r="Z928" i="2"/>
  <c r="AA932" i="2" a="1"/>
  <c r="AA932" i="2" s="1"/>
  <c r="Z932" i="2"/>
  <c r="AA937" i="2" a="1"/>
  <c r="AA937" i="2" s="1"/>
  <c r="Z937" i="2"/>
  <c r="AA941" i="2" a="1"/>
  <c r="AA941" i="2" s="1"/>
  <c r="Z941" i="2"/>
  <c r="AA945" i="2" a="1"/>
  <c r="AA945" i="2" s="1"/>
  <c r="Z945" i="2"/>
  <c r="AA949" i="2" a="1"/>
  <c r="AA949" i="2" s="1"/>
  <c r="Z949" i="2"/>
  <c r="AA953" i="2" a="1"/>
  <c r="AA953" i="2" s="1"/>
  <c r="Z953" i="2"/>
  <c r="AA957" i="2" a="1"/>
  <c r="AA957" i="2" s="1"/>
  <c r="Z957" i="2"/>
  <c r="AA961" i="2" a="1"/>
  <c r="AA961" i="2" s="1"/>
  <c r="Z961" i="2"/>
  <c r="AA965" i="2" a="1"/>
  <c r="AA965" i="2" s="1"/>
  <c r="Z965" i="2"/>
  <c r="AA969" i="2" a="1"/>
  <c r="AA969" i="2" s="1"/>
  <c r="Z969" i="2"/>
  <c r="AA973" i="2" a="1"/>
  <c r="AA973" i="2" s="1"/>
  <c r="Z973" i="2"/>
  <c r="AA977" i="2" a="1"/>
  <c r="AA977" i="2" s="1"/>
  <c r="Z977" i="2"/>
  <c r="AA981" i="2" a="1"/>
  <c r="AA981" i="2" s="1"/>
  <c r="Z981" i="2"/>
  <c r="AA990" i="2" a="1"/>
  <c r="AA990" i="2" s="1"/>
  <c r="Z990" i="2"/>
  <c r="AA994" i="2" a="1"/>
  <c r="AA994" i="2" s="1"/>
  <c r="Z994" i="2"/>
  <c r="AA998" i="2" a="1"/>
  <c r="AA998" i="2" s="1"/>
  <c r="Z998" i="2"/>
  <c r="Z8" i="2"/>
  <c r="Z19" i="2"/>
  <c r="Z40" i="2"/>
  <c r="Z72" i="2"/>
  <c r="Z104" i="2"/>
  <c r="Z126" i="2"/>
  <c r="Z147" i="2"/>
  <c r="Z168" i="2"/>
  <c r="Z222" i="2"/>
  <c r="Z288" i="2"/>
  <c r="Z316" i="2"/>
  <c r="Z388" i="2"/>
  <c r="Z416" i="2"/>
  <c r="Z444" i="2"/>
  <c r="Z500" i="2"/>
  <c r="Z521" i="2"/>
  <c r="Z564" i="2"/>
  <c r="Z628" i="2"/>
  <c r="Z673" i="2"/>
  <c r="Z702" i="2"/>
  <c r="Z815" i="2"/>
  <c r="Z873" i="2"/>
  <c r="Z986" i="2"/>
  <c r="AA5" i="2" a="1"/>
  <c r="AA5" i="2" s="1"/>
  <c r="Z5" i="2"/>
  <c r="AA9" i="2" a="1"/>
  <c r="AA9" i="2" s="1"/>
  <c r="Z9" i="2"/>
  <c r="AA13" i="2" a="1"/>
  <c r="AA13" i="2" s="1"/>
  <c r="Z13" i="2"/>
  <c r="AA17" i="2" a="1"/>
  <c r="AA17" i="2" s="1"/>
  <c r="Z17" i="2"/>
  <c r="AA21" i="2" a="1"/>
  <c r="AA21" i="2" s="1"/>
  <c r="Z21" i="2"/>
  <c r="AA25" i="2" a="1"/>
  <c r="AA25" i="2" s="1"/>
  <c r="Z25" i="2"/>
  <c r="AA29" i="2" a="1"/>
  <c r="AA29" i="2" s="1"/>
  <c r="Z29" i="2"/>
  <c r="AA153" i="2" a="1"/>
  <c r="AA153" i="2" s="1"/>
  <c r="Z153" i="2"/>
  <c r="AA157" i="2" a="1"/>
  <c r="AA157" i="2" s="1"/>
  <c r="Z157" i="2"/>
  <c r="AA161" i="2" a="1"/>
  <c r="AA161" i="2" s="1"/>
  <c r="Z161" i="2"/>
  <c r="AA165" i="2" a="1"/>
  <c r="AA165" i="2" s="1"/>
  <c r="Z165" i="2"/>
  <c r="AA169" i="2" a="1"/>
  <c r="AA169" i="2" s="1"/>
  <c r="Z169" i="2"/>
  <c r="AA239" i="2" a="1"/>
  <c r="AA239" i="2" s="1"/>
  <c r="Z239" i="2"/>
  <c r="AA248" i="2" a="1"/>
  <c r="AA248" i="2" s="1"/>
  <c r="Z248" i="2"/>
  <c r="AA264" i="2" a="1"/>
  <c r="AA264" i="2" s="1"/>
  <c r="Z264" i="2"/>
  <c r="AA285" i="2" a="1"/>
  <c r="AA285" i="2" s="1"/>
  <c r="Z285" i="2"/>
  <c r="AA301" i="2" a="1"/>
  <c r="AA301" i="2" s="1"/>
  <c r="Z301" i="2"/>
  <c r="AA317" i="2" a="1"/>
  <c r="AA317" i="2" s="1"/>
  <c r="Z317" i="2"/>
  <c r="AA333" i="2" a="1"/>
  <c r="AA333" i="2" s="1"/>
  <c r="Z333" i="2"/>
  <c r="AA349" i="2" a="1"/>
  <c r="AA349" i="2" s="1"/>
  <c r="Z349" i="2"/>
  <c r="AA365" i="2" a="1"/>
  <c r="AA365" i="2" s="1"/>
  <c r="Z365" i="2"/>
  <c r="AA381" i="2" a="1"/>
  <c r="AA381" i="2" s="1"/>
  <c r="Z381" i="2"/>
  <c r="AA397" i="2" a="1"/>
  <c r="AA397" i="2" s="1"/>
  <c r="Z397" i="2"/>
  <c r="AA413" i="2" a="1"/>
  <c r="AA413" i="2" s="1"/>
  <c r="Z413" i="2"/>
  <c r="AA434" i="2" a="1"/>
  <c r="AA434" i="2" s="1"/>
  <c r="Z434" i="2"/>
  <c r="AA450" i="2" a="1"/>
  <c r="AA450" i="2" s="1"/>
  <c r="Z450" i="2"/>
  <c r="AA466" i="2" a="1"/>
  <c r="AA466" i="2" s="1"/>
  <c r="Z466" i="2"/>
  <c r="AA470" i="2" a="1"/>
  <c r="AA470" i="2" s="1"/>
  <c r="Z470" i="2"/>
  <c r="AA482" i="2" a="1"/>
  <c r="AA482" i="2" s="1"/>
  <c r="Z482" i="2"/>
  <c r="AA486" i="2" a="1"/>
  <c r="AA486" i="2" s="1"/>
  <c r="Z486" i="2"/>
  <c r="AA498" i="2" a="1"/>
  <c r="AA498" i="2" s="1"/>
  <c r="Z498" i="2"/>
  <c r="AA502" i="2" a="1"/>
  <c r="AA502" i="2" s="1"/>
  <c r="Z502" i="2"/>
  <c r="AA514" i="2" a="1"/>
  <c r="AA514" i="2" s="1"/>
  <c r="Z514" i="2"/>
  <c r="AA518" i="2" a="1"/>
  <c r="AA518" i="2" s="1"/>
  <c r="Z518" i="2"/>
  <c r="AA530" i="2" a="1"/>
  <c r="AA530" i="2" s="1"/>
  <c r="Z530" i="2"/>
  <c r="AA534" i="2" a="1"/>
  <c r="AA534" i="2" s="1"/>
  <c r="Z534" i="2"/>
  <c r="AA543" i="2" a="1"/>
  <c r="AA543" i="2" s="1"/>
  <c r="Z543" i="2"/>
  <c r="AA552" i="2" a="1"/>
  <c r="AA552" i="2" s="1"/>
  <c r="Z552" i="2"/>
  <c r="AA556" i="2" a="1"/>
  <c r="AA556" i="2" s="1"/>
  <c r="Z556" i="2"/>
  <c r="AA573" i="2" a="1"/>
  <c r="AA573" i="2" s="1"/>
  <c r="Z573" i="2"/>
  <c r="AA577" i="2" a="1"/>
  <c r="AA577" i="2" s="1"/>
  <c r="Z577" i="2"/>
  <c r="AA589" i="2" a="1"/>
  <c r="AA589" i="2" s="1"/>
  <c r="Z589" i="2"/>
  <c r="AA593" i="2" a="1"/>
  <c r="AA593" i="2" s="1"/>
  <c r="Z593" i="2"/>
  <c r="AA605" i="2" a="1"/>
  <c r="AA605" i="2" s="1"/>
  <c r="Z605" i="2"/>
  <c r="AA609" i="2" a="1"/>
  <c r="AA609" i="2" s="1"/>
  <c r="Z609" i="2"/>
  <c r="AA621" i="2" a="1"/>
  <c r="AA621" i="2" s="1"/>
  <c r="Z621" i="2"/>
  <c r="AA625" i="2" a="1"/>
  <c r="AA625" i="2" s="1"/>
  <c r="Z625" i="2"/>
  <c r="AA637" i="2" a="1"/>
  <c r="AA637" i="2" s="1"/>
  <c r="Z637" i="2"/>
  <c r="AA641" i="2" a="1"/>
  <c r="AA641" i="2" s="1"/>
  <c r="Z641" i="2"/>
  <c r="AA658" i="2" a="1"/>
  <c r="AA658" i="2" s="1"/>
  <c r="Z658" i="2"/>
  <c r="AA662" i="2" a="1"/>
  <c r="AA662" i="2" s="1"/>
  <c r="Z662" i="2"/>
  <c r="AA671" i="2" a="1"/>
  <c r="AA671" i="2" s="1"/>
  <c r="Z671" i="2"/>
  <c r="AA680" i="2" a="1"/>
  <c r="AA680" i="2" s="1"/>
  <c r="Z680" i="2"/>
  <c r="AA684" i="2" a="1"/>
  <c r="AA684" i="2" s="1"/>
  <c r="Z684" i="2"/>
  <c r="AA688" i="2" a="1"/>
  <c r="AA688" i="2" s="1"/>
  <c r="Z688" i="2"/>
  <c r="AA692" i="2" a="1"/>
  <c r="AA692" i="2" s="1"/>
  <c r="Z692" i="2"/>
  <c r="AA696" i="2" a="1"/>
  <c r="AA696" i="2" s="1"/>
  <c r="Z696" i="2"/>
  <c r="AA700" i="2" a="1"/>
  <c r="AA700" i="2" s="1"/>
  <c r="Z700" i="2"/>
  <c r="AA704" i="2" a="1"/>
  <c r="AA704" i="2" s="1"/>
  <c r="Z704" i="2"/>
  <c r="AA708" i="2" a="1"/>
  <c r="AA708" i="2" s="1"/>
  <c r="Z708" i="2"/>
  <c r="AA712" i="2" a="1"/>
  <c r="AA712" i="2" s="1"/>
  <c r="Z712" i="2"/>
  <c r="AA716" i="2" a="1"/>
  <c r="AA716" i="2" s="1"/>
  <c r="Z716" i="2"/>
  <c r="AA720" i="2" a="1"/>
  <c r="AA720" i="2" s="1"/>
  <c r="Z720" i="2"/>
  <c r="AA724" i="2" a="1"/>
  <c r="AA724" i="2" s="1"/>
  <c r="Z724" i="2"/>
  <c r="AA728" i="2" a="1"/>
  <c r="AA728" i="2" s="1"/>
  <c r="Z728" i="2"/>
  <c r="AA733" i="2" a="1"/>
  <c r="AA733" i="2" s="1"/>
  <c r="Z733" i="2"/>
  <c r="AA741" i="2" a="1"/>
  <c r="AA741" i="2" s="1"/>
  <c r="Z741" i="2"/>
  <c r="AA749" i="2" a="1"/>
  <c r="AA749" i="2" s="1"/>
  <c r="Z749" i="2"/>
  <c r="AA757" i="2" a="1"/>
  <c r="AA757" i="2" s="1"/>
  <c r="Z757" i="2"/>
  <c r="AA765" i="2" a="1"/>
  <c r="AA765" i="2" s="1"/>
  <c r="Z765" i="2"/>
  <c r="AA769" i="2" a="1"/>
  <c r="AA769" i="2" s="1"/>
  <c r="Z769" i="2"/>
  <c r="AA777" i="2" a="1"/>
  <c r="AA777" i="2" s="1"/>
  <c r="Z777" i="2"/>
  <c r="AA781" i="2" a="1"/>
  <c r="AA781" i="2" s="1"/>
  <c r="Z781" i="2"/>
  <c r="AA785" i="2" a="1"/>
  <c r="AA785" i="2" s="1"/>
  <c r="Z785" i="2"/>
  <c r="AA793" i="2" a="1"/>
  <c r="AA793" i="2" s="1"/>
  <c r="Z793" i="2"/>
  <c r="AA797" i="2" a="1"/>
  <c r="AA797" i="2" s="1"/>
  <c r="Z797" i="2"/>
  <c r="AA805" i="2" a="1"/>
  <c r="AA805" i="2" s="1"/>
  <c r="Z805" i="2"/>
  <c r="AA813" i="2" a="1"/>
  <c r="AA813" i="2" s="1"/>
  <c r="Z813" i="2"/>
  <c r="AA821" i="2" a="1"/>
  <c r="AA821" i="2" s="1"/>
  <c r="Z821" i="2"/>
  <c r="AA834" i="2" a="1"/>
  <c r="AA834" i="2" s="1"/>
  <c r="Z834" i="2"/>
  <c r="AA842" i="2" a="1"/>
  <c r="AA842" i="2" s="1"/>
  <c r="Z842" i="2"/>
  <c r="AA850" i="2" a="1"/>
  <c r="AA850" i="2" s="1"/>
  <c r="Z850" i="2"/>
  <c r="AA854" i="2" a="1"/>
  <c r="AA854" i="2" s="1"/>
  <c r="Z854" i="2"/>
  <c r="AA862" i="2" a="1"/>
  <c r="AA862" i="2" s="1"/>
  <c r="Z862" i="2"/>
  <c r="AA866" i="2" a="1"/>
  <c r="AA866" i="2" s="1"/>
  <c r="Z866" i="2"/>
  <c r="AA870" i="2" a="1"/>
  <c r="AA870" i="2" s="1"/>
  <c r="Z870" i="2"/>
  <c r="AA878" i="2" a="1"/>
  <c r="AA878" i="2" s="1"/>
  <c r="Z878" i="2"/>
  <c r="AA882" i="2" a="1"/>
  <c r="AA882" i="2" s="1"/>
  <c r="Z882" i="2"/>
  <c r="AA890" i="2" a="1"/>
  <c r="AA890" i="2" s="1"/>
  <c r="Z890" i="2"/>
  <c r="AA898" i="2" a="1"/>
  <c r="AA898" i="2" s="1"/>
  <c r="Z898" i="2"/>
  <c r="AA906" i="2" a="1"/>
  <c r="AA906" i="2" s="1"/>
  <c r="Z906" i="2"/>
  <c r="AA914" i="2" a="1"/>
  <c r="AA914" i="2" s="1"/>
  <c r="Z914" i="2"/>
  <c r="AA918" i="2" a="1"/>
  <c r="AA918" i="2" s="1"/>
  <c r="Z918" i="2"/>
  <c r="AA926" i="2" a="1"/>
  <c r="AA926" i="2" s="1"/>
  <c r="Z926" i="2"/>
  <c r="AA930" i="2" a="1"/>
  <c r="AA930" i="2" s="1"/>
  <c r="Z930" i="2"/>
  <c r="AA934" i="2" a="1"/>
  <c r="AA934" i="2" s="1"/>
  <c r="Z934" i="2"/>
  <c r="AA939" i="2" a="1"/>
  <c r="AA939" i="2" s="1"/>
  <c r="Z939" i="2"/>
  <c r="AA947" i="2" a="1"/>
  <c r="AA947" i="2" s="1"/>
  <c r="Z947" i="2"/>
  <c r="AA951" i="2" a="1"/>
  <c r="AA951" i="2" s="1"/>
  <c r="Z951" i="2"/>
  <c r="AA955" i="2" a="1"/>
  <c r="AA955" i="2" s="1"/>
  <c r="Z955" i="2"/>
  <c r="AA963" i="2" a="1"/>
  <c r="AA963" i="2" s="1"/>
  <c r="Z963" i="2"/>
  <c r="AA967" i="2" a="1"/>
  <c r="AA967" i="2" s="1"/>
  <c r="Z967" i="2"/>
  <c r="AA975" i="2" a="1"/>
  <c r="AA975" i="2" s="1"/>
  <c r="Z975" i="2"/>
  <c r="AA984" i="2" a="1"/>
  <c r="AA984" i="2" s="1"/>
  <c r="Z984" i="2"/>
  <c r="AA988" i="2" a="1"/>
  <c r="AA988" i="2" s="1"/>
  <c r="Z988" i="2"/>
  <c r="AA992" i="2" a="1"/>
  <c r="AA992" i="2" s="1"/>
  <c r="Z992" i="2"/>
  <c r="AA996" i="2" a="1"/>
  <c r="AA996" i="2" s="1"/>
  <c r="Z996" i="2"/>
  <c r="AA1000" i="2" a="1"/>
  <c r="AA1000" i="2" s="1"/>
  <c r="Z1000" i="2"/>
  <c r="AA334" i="2" a="1"/>
  <c r="AA334" i="2" s="1"/>
  <c r="AA519" i="2" a="1"/>
  <c r="AA519" i="2" s="1"/>
  <c r="Z6" i="2"/>
  <c r="Z22" i="2"/>
  <c r="Z38" i="2"/>
  <c r="Z43" i="2"/>
  <c r="Z54" i="2"/>
  <c r="Z59" i="2"/>
  <c r="Z70" i="2"/>
  <c r="Z75" i="2"/>
  <c r="Z86" i="2"/>
  <c r="Z91" i="2"/>
  <c r="Z102" i="2"/>
  <c r="Z107" i="2"/>
  <c r="Z118" i="2"/>
  <c r="Z123" i="2"/>
  <c r="Z128" i="2"/>
  <c r="Z144" i="2"/>
  <c r="Z166" i="2"/>
  <c r="Z182" i="2"/>
  <c r="Z187" i="2"/>
  <c r="Z203" i="2"/>
  <c r="Z208" i="2"/>
  <c r="Z219" i="2"/>
  <c r="Z224" i="2"/>
  <c r="Z235" i="2"/>
  <c r="Z249" i="2"/>
  <c r="Z256" i="2"/>
  <c r="Z277" i="2"/>
  <c r="Z298" i="2"/>
  <c r="Z305" i="2"/>
  <c r="Z313" i="2"/>
  <c r="Z326" i="2"/>
  <c r="Z341" i="2"/>
  <c r="Z369" i="2"/>
  <c r="Z377" i="2"/>
  <c r="Z398" i="2"/>
  <c r="Z405" i="2"/>
  <c r="Z426" i="2"/>
  <c r="Z454" i="2"/>
  <c r="Z462" i="2"/>
  <c r="Z494" i="2"/>
  <c r="Z526" i="2"/>
  <c r="Z548" i="2"/>
  <c r="Z569" i="2"/>
  <c r="Z590" i="2"/>
  <c r="Z601" i="2"/>
  <c r="Z622" i="2"/>
  <c r="Z633" i="2"/>
  <c r="Z654" i="2"/>
  <c r="Z681" i="2"/>
  <c r="Z709" i="2"/>
  <c r="Z737" i="2"/>
  <c r="Z766" i="2"/>
  <c r="Z794" i="2"/>
  <c r="Z809" i="2"/>
  <c r="Z822" i="2"/>
  <c r="Z851" i="2"/>
  <c r="Z879" i="2"/>
  <c r="Z894" i="2"/>
  <c r="Z907" i="2"/>
  <c r="Z922" i="2"/>
  <c r="Z979" i="2"/>
  <c r="Z993" i="2"/>
  <c r="AA133" i="2" a="1"/>
  <c r="AA133" i="2" s="1"/>
  <c r="Z133" i="2"/>
  <c r="AA137" i="2" a="1"/>
  <c r="AA137" i="2" s="1"/>
  <c r="Z137" i="2"/>
  <c r="AA141" i="2" a="1"/>
  <c r="AA141" i="2" s="1"/>
  <c r="Z141" i="2"/>
  <c r="AA149" i="2" a="1"/>
  <c r="AA149" i="2" s="1"/>
  <c r="Z149" i="2"/>
  <c r="AA253" i="2" a="1"/>
  <c r="AA253" i="2" s="1"/>
  <c r="Z253" i="2"/>
  <c r="AA269" i="2" a="1"/>
  <c r="AA269" i="2" s="1"/>
  <c r="Z269" i="2"/>
  <c r="AA274" i="2" a="1"/>
  <c r="AA274" i="2" s="1"/>
  <c r="Z274" i="2"/>
  <c r="AA290" i="2" a="1"/>
  <c r="AA290" i="2" s="1"/>
  <c r="Z290" i="2"/>
  <c r="AA306" i="2" a="1"/>
  <c r="AA306" i="2" s="1"/>
  <c r="Z306" i="2"/>
  <c r="AA322" i="2" a="1"/>
  <c r="AA322" i="2" s="1"/>
  <c r="Z322" i="2"/>
  <c r="AA338" i="2" a="1"/>
  <c r="AA338" i="2" s="1"/>
  <c r="Z338" i="2"/>
  <c r="AA354" i="2" a="1"/>
  <c r="AA354" i="2" s="1"/>
  <c r="Z354" i="2"/>
  <c r="AA370" i="2" a="1"/>
  <c r="AA370" i="2" s="1"/>
  <c r="Z370" i="2"/>
  <c r="AA386" i="2" a="1"/>
  <c r="AA386" i="2" s="1"/>
  <c r="Z386" i="2"/>
  <c r="AA402" i="2" a="1"/>
  <c r="AA402" i="2" s="1"/>
  <c r="Z402" i="2"/>
  <c r="AA418" i="2" a="1"/>
  <c r="AA418" i="2" s="1"/>
  <c r="Z418" i="2"/>
  <c r="AA427" i="2" a="1"/>
  <c r="AA427" i="2" s="1"/>
  <c r="Z427" i="2"/>
  <c r="AA431" i="2" a="1"/>
  <c r="AA431" i="2" s="1"/>
  <c r="Z431" i="2"/>
  <c r="AA435" i="2" a="1"/>
  <c r="AA435" i="2" s="1"/>
  <c r="Z435" i="2"/>
  <c r="AA439" i="2" a="1"/>
  <c r="AA439" i="2" s="1"/>
  <c r="Z439" i="2"/>
  <c r="AA443" i="2" a="1"/>
  <c r="AA443" i="2" s="1"/>
  <c r="Z443" i="2"/>
  <c r="AA447" i="2" a="1"/>
  <c r="AA447" i="2" s="1"/>
  <c r="Z447" i="2"/>
  <c r="AA451" i="2" a="1"/>
  <c r="AA451" i="2" s="1"/>
  <c r="Z451" i="2"/>
  <c r="AA455" i="2" a="1"/>
  <c r="AA455" i="2" s="1"/>
  <c r="Z455" i="2"/>
  <c r="AA459" i="2" a="1"/>
  <c r="AA459" i="2" s="1"/>
  <c r="Z459" i="2"/>
  <c r="AA463" i="2" a="1"/>
  <c r="AA463" i="2" s="1"/>
  <c r="Z463" i="2"/>
  <c r="AA471" i="2" a="1"/>
  <c r="AA471" i="2" s="1"/>
  <c r="Z471" i="2"/>
  <c r="AA475" i="2" a="1"/>
  <c r="AA475" i="2" s="1"/>
  <c r="Z475" i="2"/>
  <c r="AA479" i="2" a="1"/>
  <c r="AA479" i="2" s="1"/>
  <c r="Z479" i="2"/>
  <c r="AA483" i="2" a="1"/>
  <c r="AA483" i="2" s="1"/>
  <c r="Z483" i="2"/>
  <c r="AA487" i="2" a="1"/>
  <c r="AA487" i="2" s="1"/>
  <c r="Z487" i="2"/>
  <c r="AA491" i="2" a="1"/>
  <c r="AA491" i="2" s="1"/>
  <c r="Z491" i="2"/>
  <c r="AA495" i="2" a="1"/>
  <c r="AA495" i="2" s="1"/>
  <c r="Z495" i="2"/>
  <c r="AA499" i="2" a="1"/>
  <c r="AA499" i="2" s="1"/>
  <c r="Z499" i="2"/>
  <c r="AA503" i="2" a="1"/>
  <c r="AA503" i="2" s="1"/>
  <c r="Z503" i="2"/>
  <c r="AA507" i="2" a="1"/>
  <c r="AA507" i="2" s="1"/>
  <c r="Z507" i="2"/>
  <c r="AA511" i="2" a="1"/>
  <c r="AA511" i="2" s="1"/>
  <c r="Z511" i="2"/>
  <c r="AA515" i="2" a="1"/>
  <c r="AA515" i="2" s="1"/>
  <c r="Z515" i="2"/>
  <c r="AA523" i="2" a="1"/>
  <c r="AA523" i="2" s="1"/>
  <c r="Z523" i="2"/>
  <c r="AA527" i="2" a="1"/>
  <c r="AA527" i="2" s="1"/>
  <c r="Z527" i="2"/>
  <c r="AA531" i="2" a="1"/>
  <c r="AA531" i="2" s="1"/>
  <c r="Z531" i="2"/>
  <c r="AA535" i="2" a="1"/>
  <c r="AA535" i="2" s="1"/>
  <c r="Z535" i="2"/>
  <c r="AA539" i="2" a="1"/>
  <c r="AA539" i="2" s="1"/>
  <c r="Z539" i="2"/>
  <c r="AA557" i="2" a="1"/>
  <c r="AA557" i="2" s="1"/>
  <c r="Z557" i="2"/>
  <c r="AA561" i="2" a="1"/>
  <c r="AA561" i="2" s="1"/>
  <c r="Z561" i="2"/>
  <c r="AA566" i="2" a="1"/>
  <c r="AA566" i="2" s="1"/>
  <c r="Z566" i="2"/>
  <c r="AA582" i="2" a="1"/>
  <c r="AA582" i="2" s="1"/>
  <c r="Z582" i="2"/>
  <c r="AA594" i="2" a="1"/>
  <c r="AA594" i="2" s="1"/>
  <c r="Z594" i="2"/>
  <c r="AA598" i="2" a="1"/>
  <c r="AA598" i="2" s="1"/>
  <c r="Z598" i="2"/>
  <c r="AA610" i="2" a="1"/>
  <c r="AA610" i="2" s="1"/>
  <c r="Z610" i="2"/>
  <c r="AA614" i="2" a="1"/>
  <c r="AA614" i="2" s="1"/>
  <c r="Z614" i="2"/>
  <c r="AA626" i="2" a="1"/>
  <c r="AA626" i="2" s="1"/>
  <c r="Z626" i="2"/>
  <c r="AA630" i="2" a="1"/>
  <c r="AA630" i="2" s="1"/>
  <c r="Z630" i="2"/>
  <c r="AA642" i="2" a="1"/>
  <c r="AA642" i="2" s="1"/>
  <c r="Z642" i="2"/>
  <c r="AA646" i="2" a="1"/>
  <c r="AA646" i="2" s="1"/>
  <c r="Z646" i="2"/>
  <c r="AA655" i="2" a="1"/>
  <c r="AA655" i="2" s="1"/>
  <c r="Z655" i="2"/>
  <c r="AA659" i="2" a="1"/>
  <c r="AA659" i="2" s="1"/>
  <c r="Z659" i="2"/>
  <c r="AA668" i="2" a="1"/>
  <c r="AA668" i="2" s="1"/>
  <c r="Z668" i="2"/>
  <c r="AA672" i="2" a="1"/>
  <c r="AA672" i="2" s="1"/>
  <c r="Z672" i="2"/>
  <c r="AA676" i="2" a="1"/>
  <c r="AA676" i="2" s="1"/>
  <c r="Z676" i="2"/>
  <c r="AA685" i="2" a="1"/>
  <c r="AA685" i="2" s="1"/>
  <c r="Z685" i="2"/>
  <c r="AA693" i="2" a="1"/>
  <c r="AA693" i="2" s="1"/>
  <c r="Z693" i="2"/>
  <c r="AA701" i="2" a="1"/>
  <c r="AA701" i="2" s="1"/>
  <c r="Z701" i="2"/>
  <c r="AA705" i="2" a="1"/>
  <c r="AA705" i="2" s="1"/>
  <c r="Z705" i="2"/>
  <c r="AA713" i="2" a="1"/>
  <c r="AA713" i="2" s="1"/>
  <c r="Z713" i="2"/>
  <c r="AA717" i="2" a="1"/>
  <c r="AA717" i="2" s="1"/>
  <c r="Z717" i="2"/>
  <c r="AA721" i="2" a="1"/>
  <c r="AA721" i="2" s="1"/>
  <c r="Z721" i="2"/>
  <c r="AA729" i="2" a="1"/>
  <c r="AA729" i="2" s="1"/>
  <c r="Z729" i="2"/>
  <c r="AA734" i="2" a="1"/>
  <c r="AA734" i="2" s="1"/>
  <c r="Z734" i="2"/>
  <c r="AA738" i="2" a="1"/>
  <c r="AA738" i="2" s="1"/>
  <c r="Z738" i="2"/>
  <c r="AA742" i="2" a="1"/>
  <c r="AA742" i="2" s="1"/>
  <c r="Z742" i="2"/>
  <c r="AA750" i="2" a="1"/>
  <c r="AA750" i="2" s="1"/>
  <c r="Z750" i="2"/>
  <c r="AA762" i="2" a="1"/>
  <c r="AA762" i="2" s="1"/>
  <c r="Z762" i="2"/>
  <c r="AA770" i="2" a="1"/>
  <c r="AA770" i="2" s="1"/>
  <c r="Z770" i="2"/>
  <c r="AA778" i="2" a="1"/>
  <c r="AA778" i="2" s="1"/>
  <c r="Z778" i="2"/>
  <c r="AA786" i="2" a="1"/>
  <c r="AA786" i="2" s="1"/>
  <c r="Z786" i="2"/>
  <c r="AA790" i="2" a="1"/>
  <c r="AA790" i="2" s="1"/>
  <c r="Z790" i="2"/>
  <c r="AA798" i="2" a="1"/>
  <c r="AA798" i="2" s="1"/>
  <c r="Z798" i="2"/>
  <c r="AA802" i="2" a="1"/>
  <c r="AA802" i="2" s="1"/>
  <c r="Z802" i="2"/>
  <c r="AA806" i="2" a="1"/>
  <c r="AA806" i="2" s="1"/>
  <c r="Z806" i="2"/>
  <c r="AA814" i="2" a="1"/>
  <c r="AA814" i="2" s="1"/>
  <c r="Z814" i="2"/>
  <c r="AA818" i="2" a="1"/>
  <c r="AA818" i="2" s="1"/>
  <c r="Z818" i="2"/>
  <c r="AA826" i="2" a="1"/>
  <c r="AA826" i="2" s="1"/>
  <c r="Z826" i="2"/>
  <c r="AA835" i="2" a="1"/>
  <c r="AA835" i="2" s="1"/>
  <c r="Z835" i="2"/>
  <c r="AA839" i="2" a="1"/>
  <c r="AA839" i="2" s="1"/>
  <c r="Z839" i="2"/>
  <c r="AA847" i="2" a="1"/>
  <c r="AA847" i="2" s="1"/>
  <c r="Z847" i="2"/>
  <c r="AA855" i="2" a="1"/>
  <c r="AA855" i="2" s="1"/>
  <c r="Z855" i="2"/>
  <c r="AA863" i="2" a="1"/>
  <c r="AA863" i="2" s="1"/>
  <c r="Z863" i="2"/>
  <c r="AA871" i="2" a="1"/>
  <c r="AA871" i="2" s="1"/>
  <c r="Z871" i="2"/>
  <c r="AA875" i="2" a="1"/>
  <c r="AA875" i="2" s="1"/>
  <c r="Z875" i="2"/>
  <c r="AA883" i="2" a="1"/>
  <c r="AA883" i="2" s="1"/>
  <c r="Z883" i="2"/>
  <c r="AA887" i="2" a="1"/>
  <c r="AA887" i="2" s="1"/>
  <c r="Z887" i="2"/>
  <c r="AA891" i="2" a="1"/>
  <c r="AA891" i="2" s="1"/>
  <c r="Z891" i="2"/>
  <c r="AA899" i="2" a="1"/>
  <c r="AA899" i="2" s="1"/>
  <c r="Z899" i="2"/>
  <c r="AA903" i="2" a="1"/>
  <c r="AA903" i="2" s="1"/>
  <c r="Z903" i="2"/>
  <c r="AA911" i="2" a="1"/>
  <c r="AA911" i="2" s="1"/>
  <c r="Z911" i="2"/>
  <c r="AA919" i="2" a="1"/>
  <c r="AA919" i="2" s="1"/>
  <c r="Z919" i="2"/>
  <c r="AA927" i="2" a="1"/>
  <c r="AA927" i="2" s="1"/>
  <c r="Z927" i="2"/>
  <c r="AA935" i="2" a="1"/>
  <c r="AA935" i="2" s="1"/>
  <c r="Z935" i="2"/>
  <c r="AA940" i="2" a="1"/>
  <c r="AA940" i="2" s="1"/>
  <c r="Z940" i="2"/>
  <c r="AA944" i="2" a="1"/>
  <c r="AA944" i="2" s="1"/>
  <c r="Z944" i="2"/>
  <c r="AA948" i="2" a="1"/>
  <c r="AA948" i="2" s="1"/>
  <c r="Z948" i="2"/>
  <c r="AA952" i="2" a="1"/>
  <c r="AA952" i="2" s="1"/>
  <c r="Z952" i="2"/>
  <c r="AA956" i="2" a="1"/>
  <c r="AA956" i="2" s="1"/>
  <c r="Z956" i="2"/>
  <c r="AA960" i="2" a="1"/>
  <c r="AA960" i="2" s="1"/>
  <c r="Z960" i="2"/>
  <c r="AA964" i="2" a="1"/>
  <c r="AA964" i="2" s="1"/>
  <c r="Z964" i="2"/>
  <c r="AA968" i="2" a="1"/>
  <c r="AA968" i="2" s="1"/>
  <c r="Z968" i="2"/>
  <c r="AA972" i="2" a="1"/>
  <c r="AA972" i="2" s="1"/>
  <c r="Z972" i="2"/>
  <c r="AA976" i="2" a="1"/>
  <c r="AA976" i="2" s="1"/>
  <c r="Z976" i="2"/>
  <c r="AA980" i="2" a="1"/>
  <c r="AA980" i="2" s="1"/>
  <c r="Z980" i="2"/>
  <c r="AA985" i="2" a="1"/>
  <c r="AA985" i="2" s="1"/>
  <c r="Z985" i="2"/>
  <c r="AA989" i="2" a="1"/>
  <c r="AA989" i="2" s="1"/>
  <c r="Z989" i="2"/>
  <c r="AA997" i="2" a="1"/>
  <c r="AA997" i="2" s="1"/>
  <c r="Z997" i="2"/>
  <c r="AA1001" i="2" a="1"/>
  <c r="AA1001" i="2" s="1"/>
  <c r="Z1001" i="2"/>
  <c r="AA549" i="2" a="1"/>
  <c r="AA549" i="2" s="1"/>
  <c r="AA663" i="2" a="1"/>
  <c r="AA663" i="2" s="1"/>
  <c r="Z18" i="2"/>
  <c r="Z34" i="2"/>
  <c r="Z39" i="2"/>
  <c r="Z50" i="2"/>
  <c r="Z55" i="2"/>
  <c r="Z66" i="2"/>
  <c r="Z71" i="2"/>
  <c r="Z82" i="2"/>
  <c r="Z87" i="2"/>
  <c r="Z98" i="2"/>
  <c r="Z103" i="2"/>
  <c r="Z114" i="2"/>
  <c r="Z119" i="2"/>
  <c r="Z124" i="2"/>
  <c r="Z140" i="2"/>
  <c r="Z162" i="2"/>
  <c r="Z178" i="2"/>
  <c r="Z183" i="2"/>
  <c r="Z199" i="2"/>
  <c r="Z204" i="2"/>
  <c r="Z215" i="2"/>
  <c r="Z220" i="2"/>
  <c r="Z231" i="2"/>
  <c r="Z236" i="2"/>
  <c r="Z244" i="2"/>
  <c r="Z257" i="2"/>
  <c r="Z272" i="2"/>
  <c r="Z278" i="2"/>
  <c r="Z286" i="2"/>
  <c r="Z293" i="2"/>
  <c r="Z314" i="2"/>
  <c r="Z321" i="2"/>
  <c r="Z329" i="2"/>
  <c r="Z342" i="2"/>
  <c r="Z350" i="2"/>
  <c r="Z357" i="2"/>
  <c r="Z378" i="2"/>
  <c r="Z385" i="2"/>
  <c r="Z393" i="2"/>
  <c r="Z406" i="2"/>
  <c r="Z414" i="2"/>
  <c r="Z421" i="2"/>
  <c r="Z442" i="2"/>
  <c r="Z474" i="2"/>
  <c r="Z506" i="2"/>
  <c r="Z538" i="2"/>
  <c r="Z560" i="2"/>
  <c r="Z570" i="2"/>
  <c r="Z581" i="2"/>
  <c r="Z602" i="2"/>
  <c r="Z613" i="2"/>
  <c r="Z634" i="2"/>
  <c r="Z645" i="2"/>
  <c r="Z667" i="2"/>
  <c r="Z697" i="2"/>
  <c r="Z725" i="2"/>
  <c r="Z753" i="2"/>
  <c r="Z782" i="2"/>
  <c r="Z810" i="2"/>
  <c r="Z825" i="2"/>
  <c r="Z838" i="2"/>
  <c r="Z867" i="2"/>
  <c r="Z895" i="2"/>
  <c r="Z910" i="2"/>
  <c r="Z923" i="2"/>
  <c r="X150" i="2"/>
  <c r="X730" i="2"/>
  <c r="X936" i="2"/>
  <c r="X122" i="2"/>
  <c r="X194" i="2"/>
  <c r="X542" i="2"/>
  <c r="X666" i="2"/>
  <c r="X132" i="2"/>
  <c r="X241" i="2"/>
  <c r="X546" i="2"/>
  <c r="X678" i="2"/>
  <c r="X983" i="2"/>
  <c r="X273" i="2"/>
  <c r="X563" i="2"/>
  <c r="X33" i="2"/>
  <c r="X173" i="2"/>
  <c r="X425" i="2"/>
  <c r="X652" i="2"/>
  <c r="X828" i="2"/>
  <c r="AA425" i="2" l="1" a="1"/>
  <c r="AA425" i="2" s="1"/>
  <c r="Z425" i="2"/>
  <c r="AA241" i="2" a="1"/>
  <c r="AA241" i="2" s="1"/>
  <c r="Z241" i="2"/>
  <c r="AA150" i="2" a="1"/>
  <c r="AA150" i="2" s="1"/>
  <c r="Z150" i="2"/>
  <c r="AA983" i="2" a="1"/>
  <c r="AA983" i="2" s="1"/>
  <c r="Z983" i="2"/>
  <c r="AA122" i="2" a="1"/>
  <c r="AA122" i="2" s="1"/>
  <c r="Z122" i="2"/>
  <c r="AA828" i="2" a="1"/>
  <c r="AA828" i="2" s="1"/>
  <c r="Z828" i="2"/>
  <c r="AA33" i="2" a="1"/>
  <c r="AA33" i="2" s="1"/>
  <c r="Z33" i="2"/>
  <c r="AA678" i="2" a="1"/>
  <c r="AA678" i="2" s="1"/>
  <c r="Z678" i="2"/>
  <c r="AA666" i="2" a="1"/>
  <c r="AA666" i="2" s="1"/>
  <c r="Z666" i="2"/>
  <c r="AA936" i="2" a="1"/>
  <c r="AA936" i="2" s="1"/>
  <c r="Z936" i="2"/>
  <c r="AA273" i="2" a="1"/>
  <c r="AA273" i="2" s="1"/>
  <c r="Z273" i="2"/>
  <c r="AA194" i="2" a="1"/>
  <c r="AA194" i="2" s="1"/>
  <c r="Z194" i="2"/>
  <c r="AA173" i="2" a="1"/>
  <c r="AA173" i="2" s="1"/>
  <c r="Z173" i="2"/>
  <c r="AA132" i="2" a="1"/>
  <c r="AA132" i="2" s="1"/>
  <c r="Z132" i="2"/>
  <c r="AA652" i="2" a="1"/>
  <c r="AA652" i="2" s="1"/>
  <c r="Z652" i="2"/>
  <c r="AA563" i="2" a="1"/>
  <c r="AA563" i="2" s="1"/>
  <c r="Z563" i="2"/>
  <c r="AA546" i="2" a="1"/>
  <c r="AA546" i="2" s="1"/>
  <c r="Z546" i="2"/>
  <c r="AA542" i="2" a="1"/>
  <c r="AA542" i="2" s="1"/>
  <c r="Z542" i="2"/>
  <c r="AA730" i="2" a="1"/>
  <c r="AA730" i="2" s="1"/>
  <c r="Z730"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<sst xmlns="http://schemas.openxmlformats.org/spreadsheetml/2006/main" count="19806" uniqueCount="864">
  <si>
    <t>User_ID</t>
  </si>
  <si>
    <t>User_Name</t>
  </si>
  <si>
    <t>Join_Date</t>
  </si>
  <si>
    <t>Last_Login</t>
  </si>
  <si>
    <t>Monthly_Price</t>
  </si>
  <si>
    <t>Watch_Hours</t>
  </si>
  <si>
    <t>Favorite_Genre</t>
  </si>
  <si>
    <t>Active_Devices</t>
  </si>
  <si>
    <t>Profile_Count</t>
  </si>
  <si>
    <t>Parental_Controls</t>
  </si>
  <si>
    <t>Total_Movies_Watched</t>
  </si>
  <si>
    <t>Total_Series_Watched</t>
  </si>
  <si>
    <t>Country</t>
  </si>
  <si>
    <t>Payment_Method</t>
  </si>
  <si>
    <t>Language_Preference</t>
  </si>
  <si>
    <t>Recommended_Content_Count</t>
  </si>
  <si>
    <t>Average_Rating_Given</t>
  </si>
  <si>
    <t>Has_Downloaded_Content</t>
  </si>
  <si>
    <t>Membership_Status</t>
  </si>
  <si>
    <t>Loyalty_Points</t>
  </si>
  <si>
    <t>First_Device_Used</t>
  </si>
  <si>
    <t>Age_Group</t>
  </si>
  <si>
    <t>Primary_Watch_Time</t>
  </si>
  <si>
    <t>Amber</t>
  </si>
  <si>
    <t>5/15/2023</t>
  </si>
  <si>
    <t>12/13/2024</t>
  </si>
  <si>
    <t>Action</t>
  </si>
  <si>
    <t>USA</t>
  </si>
  <si>
    <t>PayPal</t>
  </si>
  <si>
    <t>Hindi</t>
  </si>
  <si>
    <t>Active</t>
  </si>
  <si>
    <t>Smartphone</t>
  </si>
  <si>
    <t>35-44</t>
  </si>
  <si>
    <t>Late Night</t>
  </si>
  <si>
    <t>Patrick</t>
  </si>
  <si>
    <t>12/15/2024</t>
  </si>
  <si>
    <t>Drama</t>
  </si>
  <si>
    <t>German</t>
  </si>
  <si>
    <t>Desktop</t>
  </si>
  <si>
    <t>25-34</t>
  </si>
  <si>
    <t>Evening</t>
  </si>
  <si>
    <t>Robert</t>
  </si>
  <si>
    <t>12/14/2024</t>
  </si>
  <si>
    <t>Canada</t>
  </si>
  <si>
    <t>Debit Card</t>
  </si>
  <si>
    <t>Mandarin</t>
  </si>
  <si>
    <t>Cole</t>
  </si>
  <si>
    <t>1/31/2023</t>
  </si>
  <si>
    <t>Sci-Fi</t>
  </si>
  <si>
    <t>UK</t>
  </si>
  <si>
    <t>Jamie</t>
  </si>
  <si>
    <t>Documentary</t>
  </si>
  <si>
    <t>Mary</t>
  </si>
  <si>
    <t>9/17/2023</t>
  </si>
  <si>
    <t>11/19/2024</t>
  </si>
  <si>
    <t>India</t>
  </si>
  <si>
    <t>Credit Card</t>
  </si>
  <si>
    <t>Spanish</t>
  </si>
  <si>
    <t>Smart TV</t>
  </si>
  <si>
    <t>18-24</t>
  </si>
  <si>
    <t>Morning</t>
  </si>
  <si>
    <t>Theodore</t>
  </si>
  <si>
    <t>8/25/2024</t>
  </si>
  <si>
    <t>Horror</t>
  </si>
  <si>
    <t>English</t>
  </si>
  <si>
    <t>Laptop</t>
  </si>
  <si>
    <t>Olivia</t>
  </si>
  <si>
    <t>5/31/2024</t>
  </si>
  <si>
    <t>Australia</t>
  </si>
  <si>
    <t>45-54</t>
  </si>
  <si>
    <t>Patricia</t>
  </si>
  <si>
    <t>6/17/2023</t>
  </si>
  <si>
    <t>12/17/2024</t>
  </si>
  <si>
    <t>Comedy</t>
  </si>
  <si>
    <t>Germany</t>
  </si>
  <si>
    <t>Cryptocurrency</t>
  </si>
  <si>
    <t>Tablet</t>
  </si>
  <si>
    <t>Linda</t>
  </si>
  <si>
    <t>French</t>
  </si>
  <si>
    <t>55+</t>
  </si>
  <si>
    <t>Nichole</t>
  </si>
  <si>
    <t>3/28/2023</t>
  </si>
  <si>
    <t>11/22/2024</t>
  </si>
  <si>
    <t>Frances</t>
  </si>
  <si>
    <t>11/20/2024</t>
  </si>
  <si>
    <t>Maurice</t>
  </si>
  <si>
    <t>3/27/2023</t>
  </si>
  <si>
    <t>11/25/2024</t>
  </si>
  <si>
    <t>Jennifer</t>
  </si>
  <si>
    <t>9/15/2024</t>
  </si>
  <si>
    <t>11/30/2024</t>
  </si>
  <si>
    <t>Cheryl</t>
  </si>
  <si>
    <t>France</t>
  </si>
  <si>
    <t>Afternoon</t>
  </si>
  <si>
    <t>Kathy</t>
  </si>
  <si>
    <t>5/18/2024</t>
  </si>
  <si>
    <t>Cassie</t>
  </si>
  <si>
    <t>2/14/2023</t>
  </si>
  <si>
    <t>Charles</t>
  </si>
  <si>
    <t>11/27/2024</t>
  </si>
  <si>
    <t>Romance</t>
  </si>
  <si>
    <t>William</t>
  </si>
  <si>
    <t>9/20/2023</t>
  </si>
  <si>
    <t>12/18/2024</t>
  </si>
  <si>
    <t>Tiffany</t>
  </si>
  <si>
    <t>11/28/2024</t>
  </si>
  <si>
    <t>Mark</t>
  </si>
  <si>
    <t>7/15/2023</t>
  </si>
  <si>
    <t>6/13/2024</t>
  </si>
  <si>
    <t>11/23/2024</t>
  </si>
  <si>
    <t>Anne</t>
  </si>
  <si>
    <t>11/19/2023</t>
  </si>
  <si>
    <t>Carol</t>
  </si>
  <si>
    <t>9/22/2023</t>
  </si>
  <si>
    <t>Cynthia</t>
  </si>
  <si>
    <t>5/15/2024</t>
  </si>
  <si>
    <t>Destiny</t>
  </si>
  <si>
    <t>6/19/2023</t>
  </si>
  <si>
    <t>Brittany</t>
  </si>
  <si>
    <t>5/22/2024</t>
  </si>
  <si>
    <t>Amy</t>
  </si>
  <si>
    <t>1/30/2024</t>
  </si>
  <si>
    <t>Kimberly</t>
  </si>
  <si>
    <t>3/28/2024</t>
  </si>
  <si>
    <t>Ariel</t>
  </si>
  <si>
    <t>Lauren</t>
  </si>
  <si>
    <t>Joshua</t>
  </si>
  <si>
    <t>6/22/2023</t>
  </si>
  <si>
    <t>Megan</t>
  </si>
  <si>
    <t>12/16/2024</t>
  </si>
  <si>
    <t>Stephanie</t>
  </si>
  <si>
    <t>11/28/2023</t>
  </si>
  <si>
    <t>Terrence</t>
  </si>
  <si>
    <t>Julia</t>
  </si>
  <si>
    <t>11/21/2024</t>
  </si>
  <si>
    <t>Derrick</t>
  </si>
  <si>
    <t>9/15/2023</t>
  </si>
  <si>
    <t>Nathan</t>
  </si>
  <si>
    <t>Matthew</t>
  </si>
  <si>
    <t>8/18/2023</t>
  </si>
  <si>
    <t>Ashley</t>
  </si>
  <si>
    <t>2/16/2024</t>
  </si>
  <si>
    <t>Kerri</t>
  </si>
  <si>
    <t>Jessica</t>
  </si>
  <si>
    <t>9/17/2024</t>
  </si>
  <si>
    <t>7/18/2023</t>
  </si>
  <si>
    <t>Phillip</t>
  </si>
  <si>
    <t>Elizabeth</t>
  </si>
  <si>
    <t>Lisa</t>
  </si>
  <si>
    <t>4/26/2023</t>
  </si>
  <si>
    <t>Natalie</t>
  </si>
  <si>
    <t>3/25/2023</t>
  </si>
  <si>
    <t>Autumn</t>
  </si>
  <si>
    <t>James</t>
  </si>
  <si>
    <t>3/26/2023</t>
  </si>
  <si>
    <t>6/18/2024</t>
  </si>
  <si>
    <t>11/24/2024</t>
  </si>
  <si>
    <t>Michael</t>
  </si>
  <si>
    <t>7/27/2023</t>
  </si>
  <si>
    <t>10/31/2024</t>
  </si>
  <si>
    <t>Molly</t>
  </si>
  <si>
    <t>12/26/2022</t>
  </si>
  <si>
    <t>Lance</t>
  </si>
  <si>
    <t>12/31/2022</t>
  </si>
  <si>
    <t>Lori</t>
  </si>
  <si>
    <t>12/24/2022</t>
  </si>
  <si>
    <t>Jeremy</t>
  </si>
  <si>
    <t>12/19/2023</t>
  </si>
  <si>
    <t>11/29/2024</t>
  </si>
  <si>
    <t>Scott</t>
  </si>
  <si>
    <t>Sabrina</t>
  </si>
  <si>
    <t>Zachary</t>
  </si>
  <si>
    <t>Levi</t>
  </si>
  <si>
    <t>6/24/2023</t>
  </si>
  <si>
    <t>Christine</t>
  </si>
  <si>
    <t>12/29/2023</t>
  </si>
  <si>
    <t>Emily</t>
  </si>
  <si>
    <t>Jonathan</t>
  </si>
  <si>
    <t>3/15/2024</t>
  </si>
  <si>
    <t>David</t>
  </si>
  <si>
    <t>4/13/2023</t>
  </si>
  <si>
    <t>Gina</t>
  </si>
  <si>
    <t>2/19/2023</t>
  </si>
  <si>
    <t>Kristin</t>
  </si>
  <si>
    <t>Douglas</t>
  </si>
  <si>
    <t>11/26/2023</t>
  </si>
  <si>
    <t>Nicole</t>
  </si>
  <si>
    <t>10/13/2023</t>
  </si>
  <si>
    <t>Chloe</t>
  </si>
  <si>
    <t>7/31/2023</t>
  </si>
  <si>
    <t>Kevin</t>
  </si>
  <si>
    <t>Nicholas</t>
  </si>
  <si>
    <t>7/20/2024</t>
  </si>
  <si>
    <t>Terry</t>
  </si>
  <si>
    <t>Garrett</t>
  </si>
  <si>
    <t>10/25/2023</t>
  </si>
  <si>
    <t>Jose</t>
  </si>
  <si>
    <t>Courtney</t>
  </si>
  <si>
    <t>12/31/2023</t>
  </si>
  <si>
    <t>Kim</t>
  </si>
  <si>
    <t>8/20/2023</t>
  </si>
  <si>
    <t>Katherine</t>
  </si>
  <si>
    <t>Lynn</t>
  </si>
  <si>
    <t>10/20/2024</t>
  </si>
  <si>
    <t>Leah</t>
  </si>
  <si>
    <t>7/22/2024</t>
  </si>
  <si>
    <t>8/21/2024</t>
  </si>
  <si>
    <t>Kayla</t>
  </si>
  <si>
    <t>8/31/2024</t>
  </si>
  <si>
    <t>Katelyn</t>
  </si>
  <si>
    <t>4/30/2023</t>
  </si>
  <si>
    <t>Maria</t>
  </si>
  <si>
    <t>Justin</t>
  </si>
  <si>
    <t>12/18/2023</t>
  </si>
  <si>
    <t>11/26/2024</t>
  </si>
  <si>
    <t>Susan</t>
  </si>
  <si>
    <t>10/22/2023</t>
  </si>
  <si>
    <t>2/29/2024</t>
  </si>
  <si>
    <t>Sue</t>
  </si>
  <si>
    <t>Jean</t>
  </si>
  <si>
    <t>6/24/2024</t>
  </si>
  <si>
    <t>10/21/2023</t>
  </si>
  <si>
    <t>Ebony</t>
  </si>
  <si>
    <t>Derek</t>
  </si>
  <si>
    <t>John</t>
  </si>
  <si>
    <t>10/28/2023</t>
  </si>
  <si>
    <t>Rebecca</t>
  </si>
  <si>
    <t>4/15/2023</t>
  </si>
  <si>
    <t>Juan</t>
  </si>
  <si>
    <t>12/19/2022</t>
  </si>
  <si>
    <t>Gabrielle</t>
  </si>
  <si>
    <t>2/14/2024</t>
  </si>
  <si>
    <t>Samantha</t>
  </si>
  <si>
    <t>7/23/2023</t>
  </si>
  <si>
    <t>Jesse</t>
  </si>
  <si>
    <t>10/30/2024</t>
  </si>
  <si>
    <t>Aaron</t>
  </si>
  <si>
    <t>6/20/2023</t>
  </si>
  <si>
    <t>Melissa</t>
  </si>
  <si>
    <t>3/19/2024</t>
  </si>
  <si>
    <t>Erin</t>
  </si>
  <si>
    <t>Dale</t>
  </si>
  <si>
    <t>Gregory</t>
  </si>
  <si>
    <t>2/17/2023</t>
  </si>
  <si>
    <t>Sarah</t>
  </si>
  <si>
    <t>Carmen</t>
  </si>
  <si>
    <t>12/21/2022</t>
  </si>
  <si>
    <t>April</t>
  </si>
  <si>
    <t>Anthony</t>
  </si>
  <si>
    <t>Brett</t>
  </si>
  <si>
    <t>9/26/2024</t>
  </si>
  <si>
    <t>Carly</t>
  </si>
  <si>
    <t>Dennis</t>
  </si>
  <si>
    <t>Alexandra</t>
  </si>
  <si>
    <t>Ryan</t>
  </si>
  <si>
    <t>Tony</t>
  </si>
  <si>
    <t>1/20/2024</t>
  </si>
  <si>
    <t>Daniel</t>
  </si>
  <si>
    <t>11/18/2024</t>
  </si>
  <si>
    <t>Jacob</t>
  </si>
  <si>
    <t>Carolyn</t>
  </si>
  <si>
    <t>11/14/2024</t>
  </si>
  <si>
    <t>Denise</t>
  </si>
  <si>
    <t>Cassandra</t>
  </si>
  <si>
    <t>10/15/2024</t>
  </si>
  <si>
    <t>5/30/2024</t>
  </si>
  <si>
    <t>Dustin</t>
  </si>
  <si>
    <t>1/23/2023</t>
  </si>
  <si>
    <t>Crystal</t>
  </si>
  <si>
    <t>11/24/2023</t>
  </si>
  <si>
    <t>Barbara</t>
  </si>
  <si>
    <t>Kathryn</t>
  </si>
  <si>
    <t>Christopher</t>
  </si>
  <si>
    <t>3/19/2023</t>
  </si>
  <si>
    <t>Martin</t>
  </si>
  <si>
    <t>Taylor</t>
  </si>
  <si>
    <t>Vickie</t>
  </si>
  <si>
    <t>Betty</t>
  </si>
  <si>
    <t>12/25/2022</t>
  </si>
  <si>
    <t>2/20/2023</t>
  </si>
  <si>
    <t>Amanda</t>
  </si>
  <si>
    <t>Stephen</t>
  </si>
  <si>
    <t>2/23/2023</t>
  </si>
  <si>
    <t>Dawn</t>
  </si>
  <si>
    <t>Paul</t>
  </si>
  <si>
    <t>10/17/2024</t>
  </si>
  <si>
    <t>Kenneth</t>
  </si>
  <si>
    <t>9/30/2024</t>
  </si>
  <si>
    <t>Bruce</t>
  </si>
  <si>
    <t>12/30/2022</t>
  </si>
  <si>
    <t>Andrew</t>
  </si>
  <si>
    <t>Brandon</t>
  </si>
  <si>
    <t>10/18/2023</t>
  </si>
  <si>
    <t>6/17/2024</t>
  </si>
  <si>
    <t>Steven</t>
  </si>
  <si>
    <t>1/14/2024</t>
  </si>
  <si>
    <t>Hunter</t>
  </si>
  <si>
    <t>Catherine</t>
  </si>
  <si>
    <t>4/28/2024</t>
  </si>
  <si>
    <t>Jeff</t>
  </si>
  <si>
    <t>9/21/2024</t>
  </si>
  <si>
    <t>Cathy</t>
  </si>
  <si>
    <t>Sylvia</t>
  </si>
  <si>
    <t>5/19/2024</t>
  </si>
  <si>
    <t>Joseph</t>
  </si>
  <si>
    <t>2/20/2024</t>
  </si>
  <si>
    <t>3/13/2023</t>
  </si>
  <si>
    <t>Laurie</t>
  </si>
  <si>
    <t>2/25/2023</t>
  </si>
  <si>
    <t>10/17/2023</t>
  </si>
  <si>
    <t>4/19/2023</t>
  </si>
  <si>
    <t>Danielle</t>
  </si>
  <si>
    <t>2/23/2024</t>
  </si>
  <si>
    <t>Alexander</t>
  </si>
  <si>
    <t>6/18/2023</t>
  </si>
  <si>
    <t>3/26/2024</t>
  </si>
  <si>
    <t>Randy</t>
  </si>
  <si>
    <t>11/16/2024</t>
  </si>
  <si>
    <t>Michelle</t>
  </si>
  <si>
    <t>10/21/2024</t>
  </si>
  <si>
    <t>1/26/2024</t>
  </si>
  <si>
    <t>9/24/2023</t>
  </si>
  <si>
    <t>Chris</t>
  </si>
  <si>
    <t>Sherri</t>
  </si>
  <si>
    <t>7/17/2024</t>
  </si>
  <si>
    <t>Angela</t>
  </si>
  <si>
    <t>10/27/2024</t>
  </si>
  <si>
    <t>8/13/2024</t>
  </si>
  <si>
    <t>Francis</t>
  </si>
  <si>
    <t>Katie</t>
  </si>
  <si>
    <t>Natasha</t>
  </si>
  <si>
    <t>2/22/2024</t>
  </si>
  <si>
    <t>Julie</t>
  </si>
  <si>
    <t>5/14/2023</t>
  </si>
  <si>
    <t>Jaime</t>
  </si>
  <si>
    <t>Emma</t>
  </si>
  <si>
    <t>1/19/2023</t>
  </si>
  <si>
    <t>Briana</t>
  </si>
  <si>
    <t>3/25/2024</t>
  </si>
  <si>
    <t>5/22/2023</t>
  </si>
  <si>
    <t>Bradley</t>
  </si>
  <si>
    <t>6/14/2024</t>
  </si>
  <si>
    <t>Devin</t>
  </si>
  <si>
    <t>8/17/2023</t>
  </si>
  <si>
    <t>Eric</t>
  </si>
  <si>
    <t>Brian</t>
  </si>
  <si>
    <t>2/27/2024</t>
  </si>
  <si>
    <t>Ann</t>
  </si>
  <si>
    <t>8/16/2024</t>
  </si>
  <si>
    <t>Valerie</t>
  </si>
  <si>
    <t>5/16/2023</t>
  </si>
  <si>
    <t>Carrie</t>
  </si>
  <si>
    <t>9/19/2024</t>
  </si>
  <si>
    <t>Randall</t>
  </si>
  <si>
    <t>5/23/2023</t>
  </si>
  <si>
    <t>Victor</t>
  </si>
  <si>
    <t>11/18/2023</t>
  </si>
  <si>
    <t>Richard</t>
  </si>
  <si>
    <t>2/26/2024</t>
  </si>
  <si>
    <t>Tyler</t>
  </si>
  <si>
    <t>Johnny</t>
  </si>
  <si>
    <t>Jesus</t>
  </si>
  <si>
    <t>3/23/2024</t>
  </si>
  <si>
    <t>Jill</t>
  </si>
  <si>
    <t>Andrea</t>
  </si>
  <si>
    <t>Sara</t>
  </si>
  <si>
    <t>9/23/2024</t>
  </si>
  <si>
    <t>Tammy</t>
  </si>
  <si>
    <t>8/29/2023</t>
  </si>
  <si>
    <t>Sandra</t>
  </si>
  <si>
    <t>12/26/2023</t>
  </si>
  <si>
    <t>4/25/2024</t>
  </si>
  <si>
    <t>4/24/2023</t>
  </si>
  <si>
    <t>Alicia</t>
  </si>
  <si>
    <t>Margaret</t>
  </si>
  <si>
    <t>8/30/2023</t>
  </si>
  <si>
    <t>Renee</t>
  </si>
  <si>
    <t>1/29/2024</t>
  </si>
  <si>
    <t>Wayne</t>
  </si>
  <si>
    <t>Rhonda</t>
  </si>
  <si>
    <t>Darrell</t>
  </si>
  <si>
    <t>2/24/2023</t>
  </si>
  <si>
    <t>Diana</t>
  </si>
  <si>
    <t>Christina</t>
  </si>
  <si>
    <t>6/26/2023</t>
  </si>
  <si>
    <t>Darlene</t>
  </si>
  <si>
    <t>1/18/2023</t>
  </si>
  <si>
    <t>Janet</t>
  </si>
  <si>
    <t>10/15/2023</t>
  </si>
  <si>
    <t>Ethan</t>
  </si>
  <si>
    <t>11/17/2024</t>
  </si>
  <si>
    <t>Phyllis</t>
  </si>
  <si>
    <t>6/21/2024</t>
  </si>
  <si>
    <t>Joel</t>
  </si>
  <si>
    <t>9/24/2024</t>
  </si>
  <si>
    <t>Craig</t>
  </si>
  <si>
    <t>7/26/2023</t>
  </si>
  <si>
    <t>5/29/2023</t>
  </si>
  <si>
    <t>10/23/2023</t>
  </si>
  <si>
    <t>Jordan</t>
  </si>
  <si>
    <t>4/22/2023</t>
  </si>
  <si>
    <t>Victoria</t>
  </si>
  <si>
    <t>2/21/2023</t>
  </si>
  <si>
    <t>10/28/2024</t>
  </si>
  <si>
    <t>Rachel</t>
  </si>
  <si>
    <t>Tina</t>
  </si>
  <si>
    <t>Vincent</t>
  </si>
  <si>
    <t>7/28/2024</t>
  </si>
  <si>
    <t>Cindy</t>
  </si>
  <si>
    <t>Gary</t>
  </si>
  <si>
    <t>7/28/2023</t>
  </si>
  <si>
    <t>Lindsey</t>
  </si>
  <si>
    <t>4/17/2023</t>
  </si>
  <si>
    <t>2/15/2023</t>
  </si>
  <si>
    <t>Gabriel</t>
  </si>
  <si>
    <t>1/19/2024</t>
  </si>
  <si>
    <t>7/21/2023</t>
  </si>
  <si>
    <t>Heidi</t>
  </si>
  <si>
    <t>10/29/2024</t>
  </si>
  <si>
    <t>1/13/2024</t>
  </si>
  <si>
    <t>9/27/2024</t>
  </si>
  <si>
    <t>Darren</t>
  </si>
  <si>
    <t>Bethany</t>
  </si>
  <si>
    <t>1/28/2023</t>
  </si>
  <si>
    <t>Beth</t>
  </si>
  <si>
    <t>3/14/2024</t>
  </si>
  <si>
    <t>5/17/2024</t>
  </si>
  <si>
    <t>1/24/2023</t>
  </si>
  <si>
    <t>Allen</t>
  </si>
  <si>
    <t>5/31/2023</t>
  </si>
  <si>
    <t>9/25/2024</t>
  </si>
  <si>
    <t>Veronica</t>
  </si>
  <si>
    <t>12/22/2023</t>
  </si>
  <si>
    <t>12/28/2023</t>
  </si>
  <si>
    <t>Larry</t>
  </si>
  <si>
    <t>Makayla</t>
  </si>
  <si>
    <t>3/18/2023</t>
  </si>
  <si>
    <t>5/26/2023</t>
  </si>
  <si>
    <t>10/14/2024</t>
  </si>
  <si>
    <t>Angelica</t>
  </si>
  <si>
    <t>8/19/2024</t>
  </si>
  <si>
    <t>Timothy</t>
  </si>
  <si>
    <t>3/20/2023</t>
  </si>
  <si>
    <t>1/25/2023</t>
  </si>
  <si>
    <t>Karen</t>
  </si>
  <si>
    <t>Anna</t>
  </si>
  <si>
    <t>9/29/2023</t>
  </si>
  <si>
    <t>4/13/2024</t>
  </si>
  <si>
    <t>Felicia</t>
  </si>
  <si>
    <t>12/27/2022</t>
  </si>
  <si>
    <t>Stacey</t>
  </si>
  <si>
    <t>7/21/2024</t>
  </si>
  <si>
    <t>Alison</t>
  </si>
  <si>
    <t>Harold</t>
  </si>
  <si>
    <t>9/16/2024</t>
  </si>
  <si>
    <t>1/16/2024</t>
  </si>
  <si>
    <t>Rick</t>
  </si>
  <si>
    <t>1/26/2023</t>
  </si>
  <si>
    <t>Troy</t>
  </si>
  <si>
    <t>5/21/2023</t>
  </si>
  <si>
    <t>4/21/2024</t>
  </si>
  <si>
    <t>8/29/2024</t>
  </si>
  <si>
    <t>11/30/2023</t>
  </si>
  <si>
    <t>Judy</t>
  </si>
  <si>
    <t>1/18/2024</t>
  </si>
  <si>
    <t>7/27/2024</t>
  </si>
  <si>
    <t>4/17/2024</t>
  </si>
  <si>
    <t>7/23/2024</t>
  </si>
  <si>
    <t>4/19/2024</t>
  </si>
  <si>
    <t>9/19/2023</t>
  </si>
  <si>
    <t>7/30/2024</t>
  </si>
  <si>
    <t>8/28/2023</t>
  </si>
  <si>
    <t>6/30/2024</t>
  </si>
  <si>
    <t>Jeffrey</t>
  </si>
  <si>
    <t>6/20/2024</t>
  </si>
  <si>
    <t>4/22/2024</t>
  </si>
  <si>
    <t>8/28/2024</t>
  </si>
  <si>
    <t>12/20/2022</t>
  </si>
  <si>
    <t>Meghan</t>
  </si>
  <si>
    <t>1/25/2024</t>
  </si>
  <si>
    <t>Calvin</t>
  </si>
  <si>
    <t>8/22/2024</t>
  </si>
  <si>
    <t>10/27/2023</t>
  </si>
  <si>
    <t>4/21/2023</t>
  </si>
  <si>
    <t>12/30/2023</t>
  </si>
  <si>
    <t>Sheri</t>
  </si>
  <si>
    <t>Tommy</t>
  </si>
  <si>
    <t>2/19/2024</t>
  </si>
  <si>
    <t>Trevor</t>
  </si>
  <si>
    <t>Dana</t>
  </si>
  <si>
    <t>10/13/2024</t>
  </si>
  <si>
    <t>Jasmine</t>
  </si>
  <si>
    <t>Chelsea</t>
  </si>
  <si>
    <t>9/18/2024</t>
  </si>
  <si>
    <t>Kristy</t>
  </si>
  <si>
    <t>Terri</t>
  </si>
  <si>
    <t>5/17/2023</t>
  </si>
  <si>
    <t>9/13/2024</t>
  </si>
  <si>
    <t>Madison</t>
  </si>
  <si>
    <t>Alyssa</t>
  </si>
  <si>
    <t>Carlos</t>
  </si>
  <si>
    <t>1/21/2024</t>
  </si>
  <si>
    <t>Debra</t>
  </si>
  <si>
    <t>5/25/2023</t>
  </si>
  <si>
    <t>Bianca</t>
  </si>
  <si>
    <t>Joann</t>
  </si>
  <si>
    <t>12/13/2023</t>
  </si>
  <si>
    <t>Gail</t>
  </si>
  <si>
    <t>Travis</t>
  </si>
  <si>
    <t>7/13/2024</t>
  </si>
  <si>
    <t>Reginald</t>
  </si>
  <si>
    <t>Ian</t>
  </si>
  <si>
    <t>3/21/2024</t>
  </si>
  <si>
    <t>Claudia</t>
  </si>
  <si>
    <t>8/26/2023</t>
  </si>
  <si>
    <t>Kristina</t>
  </si>
  <si>
    <t>9/28/2023</t>
  </si>
  <si>
    <t>Desiree</t>
  </si>
  <si>
    <t>Audrey</t>
  </si>
  <si>
    <t>1/15/2023</t>
  </si>
  <si>
    <t>8/25/2023</t>
  </si>
  <si>
    <t>Pamela</t>
  </si>
  <si>
    <t>4/20/2023</t>
  </si>
  <si>
    <t>6/22/2024</t>
  </si>
  <si>
    <t>6/15/2023</t>
  </si>
  <si>
    <t>Jane</t>
  </si>
  <si>
    <t>10/31/2023</t>
  </si>
  <si>
    <t>Norma</t>
  </si>
  <si>
    <t>12/14/2023</t>
  </si>
  <si>
    <t>4/23/2024</t>
  </si>
  <si>
    <t>1/29/2023</t>
  </si>
  <si>
    <t>Wendy</t>
  </si>
  <si>
    <t>Marie</t>
  </si>
  <si>
    <t>Cory</t>
  </si>
  <si>
    <t>11/13/2023</t>
  </si>
  <si>
    <t>2/24/2024</t>
  </si>
  <si>
    <t>Cameron</t>
  </si>
  <si>
    <t>5/29/2024</t>
  </si>
  <si>
    <t>3/21/2023</t>
  </si>
  <si>
    <t>Jerry</t>
  </si>
  <si>
    <t>3/20/2024</t>
  </si>
  <si>
    <t>Brittney</t>
  </si>
  <si>
    <t>Thomas</t>
  </si>
  <si>
    <t>3/22/2024</t>
  </si>
  <si>
    <t>Bryan</t>
  </si>
  <si>
    <t>Walter</t>
  </si>
  <si>
    <t>Samuel</t>
  </si>
  <si>
    <t>Dylan</t>
  </si>
  <si>
    <t>10/22/2024</t>
  </si>
  <si>
    <t>Heather</t>
  </si>
  <si>
    <t>3/29/2023</t>
  </si>
  <si>
    <t>Marisa</t>
  </si>
  <si>
    <t>6/16/2024</t>
  </si>
  <si>
    <t>Tracy</t>
  </si>
  <si>
    <t>5/18/2023</t>
  </si>
  <si>
    <t>Angel</t>
  </si>
  <si>
    <t>1/17/2023</t>
  </si>
  <si>
    <t>5/27/2023</t>
  </si>
  <si>
    <t>Caitlin</t>
  </si>
  <si>
    <t>4/14/2024</t>
  </si>
  <si>
    <t>Johnathan</t>
  </si>
  <si>
    <t>2/26/2023</t>
  </si>
  <si>
    <t>Mariah</t>
  </si>
  <si>
    <t>Jerome</t>
  </si>
  <si>
    <t>Devon</t>
  </si>
  <si>
    <t>12/15/2023</t>
  </si>
  <si>
    <t>Antonio</t>
  </si>
  <si>
    <t>3/17/2023</t>
  </si>
  <si>
    <t>3/31/2024</t>
  </si>
  <si>
    <t>9/18/2023</t>
  </si>
  <si>
    <t>9/13/2023</t>
  </si>
  <si>
    <t>4/24/2024</t>
  </si>
  <si>
    <t>Billy</t>
  </si>
  <si>
    <t>10/24/2024</t>
  </si>
  <si>
    <t>Kelsey</t>
  </si>
  <si>
    <t>2/28/2024</t>
  </si>
  <si>
    <t>11/20/2023</t>
  </si>
  <si>
    <t>7/15/2024</t>
  </si>
  <si>
    <t>10/18/2024</t>
  </si>
  <si>
    <t>Erica</t>
  </si>
  <si>
    <t>Donna</t>
  </si>
  <si>
    <t>6/23/2023</t>
  </si>
  <si>
    <t>5/19/2023</t>
  </si>
  <si>
    <t>Paige</t>
  </si>
  <si>
    <t>Todd</t>
  </si>
  <si>
    <t>1/17/2024</t>
  </si>
  <si>
    <t>7/29/2023</t>
  </si>
  <si>
    <t>5/14/2024</t>
  </si>
  <si>
    <t>8/23/2023</t>
  </si>
  <si>
    <t>Sherry</t>
  </si>
  <si>
    <t>8/31/2023</t>
  </si>
  <si>
    <t>4/29/2024</t>
  </si>
  <si>
    <t>Erika</t>
  </si>
  <si>
    <t>Keith</t>
  </si>
  <si>
    <t>7/19/2024</t>
  </si>
  <si>
    <t>Jimmy</t>
  </si>
  <si>
    <t>6/14/2023</t>
  </si>
  <si>
    <t>12/21/2023</t>
  </si>
  <si>
    <t>Adam</t>
  </si>
  <si>
    <t>Miranda</t>
  </si>
  <si>
    <t>4/14/2023</t>
  </si>
  <si>
    <t>6/26/2024</t>
  </si>
  <si>
    <t>Sierra</t>
  </si>
  <si>
    <t>Andre</t>
  </si>
  <si>
    <t>Jocelyn</t>
  </si>
  <si>
    <t>4/25/2023</t>
  </si>
  <si>
    <t>Kara</t>
  </si>
  <si>
    <t>9/22/2024</t>
  </si>
  <si>
    <t>Krista</t>
  </si>
  <si>
    <t>12/20/2023</t>
  </si>
  <si>
    <t>Eugene</t>
  </si>
  <si>
    <t>2/15/2024</t>
  </si>
  <si>
    <t>Abigail</t>
  </si>
  <si>
    <t>Hayden</t>
  </si>
  <si>
    <t>9/26/2023</t>
  </si>
  <si>
    <t>12/23/2022</t>
  </si>
  <si>
    <t>9/23/2023</t>
  </si>
  <si>
    <t>Carla</t>
  </si>
  <si>
    <t>Shane</t>
  </si>
  <si>
    <t>Brooke</t>
  </si>
  <si>
    <t>Stefanie</t>
  </si>
  <si>
    <t>Jeffery</t>
  </si>
  <si>
    <t>10/30/2023</t>
  </si>
  <si>
    <t>Xavier</t>
  </si>
  <si>
    <t>Kelly</t>
  </si>
  <si>
    <t>Anita</t>
  </si>
  <si>
    <t>Nicolas</t>
  </si>
  <si>
    <t>6/27/2023</t>
  </si>
  <si>
    <t>Hector</t>
  </si>
  <si>
    <t>Jack</t>
  </si>
  <si>
    <t>Julian</t>
  </si>
  <si>
    <t>Jason</t>
  </si>
  <si>
    <t>2/17/2024</t>
  </si>
  <si>
    <t>2/13/2023</t>
  </si>
  <si>
    <t>9/16/2023</t>
  </si>
  <si>
    <t>Jonathon</t>
  </si>
  <si>
    <t>7/24/2024</t>
  </si>
  <si>
    <t>Grace</t>
  </si>
  <si>
    <t>10/19/2024</t>
  </si>
  <si>
    <t>11/13/2024</t>
  </si>
  <si>
    <t>Melvin</t>
  </si>
  <si>
    <t>12/16/2023</t>
  </si>
  <si>
    <t>3/22/2023</t>
  </si>
  <si>
    <t>Kurt</t>
  </si>
  <si>
    <t>6/30/2023</t>
  </si>
  <si>
    <t>Glenda</t>
  </si>
  <si>
    <t>7/25/2024</t>
  </si>
  <si>
    <t>Duane</t>
  </si>
  <si>
    <t>Cody</t>
  </si>
  <si>
    <t>5/25/2024</t>
  </si>
  <si>
    <t>Tanya</t>
  </si>
  <si>
    <t>10/25/2024</t>
  </si>
  <si>
    <t>5/28/2023</t>
  </si>
  <si>
    <t>Claire</t>
  </si>
  <si>
    <t>11/15/2023</t>
  </si>
  <si>
    <t>1/16/2023</t>
  </si>
  <si>
    <t>Caroline</t>
  </si>
  <si>
    <t>Benjamin</t>
  </si>
  <si>
    <t>Yolanda</t>
  </si>
  <si>
    <t>Peter</t>
  </si>
  <si>
    <t>5/23/2024</t>
  </si>
  <si>
    <t>7/14/2024</t>
  </si>
  <si>
    <t>9/21/2023</t>
  </si>
  <si>
    <t>7/25/2023</t>
  </si>
  <si>
    <t>Norman</t>
  </si>
  <si>
    <t>2/16/2023</t>
  </si>
  <si>
    <t>Katrina</t>
  </si>
  <si>
    <t>Shannon</t>
  </si>
  <si>
    <t>2/21/2024</t>
  </si>
  <si>
    <t>8/23/2024</t>
  </si>
  <si>
    <t>7/19/2023</t>
  </si>
  <si>
    <t>Suzanne</t>
  </si>
  <si>
    <t>6/25/2024</t>
  </si>
  <si>
    <t>8/24/2023</t>
  </si>
  <si>
    <t>8/20/2024</t>
  </si>
  <si>
    <t>Jaclyn</t>
  </si>
  <si>
    <t>Deborah</t>
  </si>
  <si>
    <t>Allison</t>
  </si>
  <si>
    <t>Christian</t>
  </si>
  <si>
    <t>6/28/2024</t>
  </si>
  <si>
    <t>1/27/2024</t>
  </si>
  <si>
    <t>5/28/2024</t>
  </si>
  <si>
    <t>Lindsay</t>
  </si>
  <si>
    <t>4/28/2023</t>
  </si>
  <si>
    <t>Breanna</t>
  </si>
  <si>
    <t>8/14/2024</t>
  </si>
  <si>
    <t>Marvin</t>
  </si>
  <si>
    <t>4/29/2023</t>
  </si>
  <si>
    <t>10/16/2024</t>
  </si>
  <si>
    <t>Michele</t>
  </si>
  <si>
    <t>1/30/2023</t>
  </si>
  <si>
    <t>Edward</t>
  </si>
  <si>
    <t>Leslie</t>
  </si>
  <si>
    <t>Donald</t>
  </si>
  <si>
    <t>6/19/2024</t>
  </si>
  <si>
    <t>Grant</t>
  </si>
  <si>
    <t>Sydney</t>
  </si>
  <si>
    <t>10/26/2023</t>
  </si>
  <si>
    <t>Shawna</t>
  </si>
  <si>
    <t>4/16/2023</t>
  </si>
  <si>
    <t>6/25/2023</t>
  </si>
  <si>
    <t>Chad</t>
  </si>
  <si>
    <t>2/18/2023</t>
  </si>
  <si>
    <t>Marissa</t>
  </si>
  <si>
    <t>6/16/2023</t>
  </si>
  <si>
    <t>Mason</t>
  </si>
  <si>
    <t>Alvin</t>
  </si>
  <si>
    <t>7/22/2023</t>
  </si>
  <si>
    <t>8/27/2023</t>
  </si>
  <si>
    <t>Yvonne</t>
  </si>
  <si>
    <t>Gene</t>
  </si>
  <si>
    <t>1/13/2023</t>
  </si>
  <si>
    <t>Nina</t>
  </si>
  <si>
    <t>Stacy</t>
  </si>
  <si>
    <t>8/13/2023</t>
  </si>
  <si>
    <t>9/28/2024</t>
  </si>
  <si>
    <t>Kristen</t>
  </si>
  <si>
    <t>11/29/2023</t>
  </si>
  <si>
    <t>Laura</t>
  </si>
  <si>
    <t>6/21/2023</t>
  </si>
  <si>
    <t>Jeremiah</t>
  </si>
  <si>
    <t>Leon</t>
  </si>
  <si>
    <t>5/27/2024</t>
  </si>
  <si>
    <t>Tracey</t>
  </si>
  <si>
    <t>12/23/2023</t>
  </si>
  <si>
    <t>4/30/2024</t>
  </si>
  <si>
    <t>Helen</t>
  </si>
  <si>
    <t>4/16/2024</t>
  </si>
  <si>
    <t>12/17/2023</t>
  </si>
  <si>
    <t>Kyle</t>
  </si>
  <si>
    <t>Alexandria</t>
  </si>
  <si>
    <t>Spencer</t>
  </si>
  <si>
    <t>5/30/2023</t>
  </si>
  <si>
    <t>Gregg</t>
  </si>
  <si>
    <t>11/22/2023</t>
  </si>
  <si>
    <t>4/26/2024</t>
  </si>
  <si>
    <t>11/25/2023</t>
  </si>
  <si>
    <t>Tenure Days</t>
  </si>
  <si>
    <t xml:space="preserve">Price Tier </t>
  </si>
  <si>
    <t>Grand Total</t>
  </si>
  <si>
    <t>Count of User_ID</t>
  </si>
  <si>
    <t>BASIC</t>
  </si>
  <si>
    <t>PREMIUM</t>
  </si>
  <si>
    <t>STANDARD</t>
  </si>
  <si>
    <t>Column Labels</t>
  </si>
  <si>
    <t>2022</t>
  </si>
  <si>
    <t>2023</t>
  </si>
  <si>
    <t>2024</t>
  </si>
  <si>
    <t>User Count</t>
  </si>
  <si>
    <t>Subscription Amount</t>
  </si>
  <si>
    <t>Susbcription Amount</t>
  </si>
  <si>
    <t>2. User Engagement Metrics:</t>
  </si>
  <si>
    <t>Average of Watch_Hours</t>
  </si>
  <si>
    <t>Age Group</t>
  </si>
  <si>
    <t>Year &amp; Month</t>
  </si>
  <si>
    <t xml:space="preserve">Watch Hours </t>
  </si>
  <si>
    <t>No. of Movies Watched</t>
  </si>
  <si>
    <t xml:space="preserve">No. of Series Watched </t>
  </si>
  <si>
    <t>0-20</t>
  </si>
  <si>
    <t>21-40</t>
  </si>
  <si>
    <t>41-60</t>
  </si>
  <si>
    <t>61-80</t>
  </si>
  <si>
    <t>81-100</t>
  </si>
  <si>
    <t>RC Count</t>
  </si>
  <si>
    <t>Avg Watch Hours</t>
  </si>
  <si>
    <t>3. Demographic &amp; Behavioral Insights:</t>
  </si>
  <si>
    <t>Device Name</t>
  </si>
  <si>
    <t>Primary Watch Time</t>
  </si>
  <si>
    <t>Count of User_ID2</t>
  </si>
  <si>
    <t>4. Retention &amp; Loyalty:</t>
  </si>
  <si>
    <t>Status</t>
  </si>
  <si>
    <t>Loyalty Points</t>
  </si>
  <si>
    <t>0-1000</t>
  </si>
  <si>
    <t>1001-2000</t>
  </si>
  <si>
    <t>2001-3000</t>
  </si>
  <si>
    <t>3001-4000</t>
  </si>
  <si>
    <t>4001-5000</t>
  </si>
  <si>
    <t xml:space="preserve">Has Downloaded </t>
  </si>
  <si>
    <t xml:space="preserve">Login Frequence Per Week </t>
  </si>
  <si>
    <t>Correction</t>
  </si>
  <si>
    <t>BR/VW</t>
  </si>
  <si>
    <t>Watch HR per Week</t>
  </si>
  <si>
    <t xml:space="preserve">You can see it's mentioned the hours as 158 but the date is incorrect </t>
  </si>
  <si>
    <t xml:space="preserve">Last Date Correction as date tenure is 1 only 0 </t>
  </si>
  <si>
    <t>Frequency Bucket</t>
  </si>
  <si>
    <t>Per Day Watch Hr</t>
  </si>
  <si>
    <t>Regular (6-15 Hours)</t>
  </si>
  <si>
    <t>Casual (0-5 Hours)</t>
  </si>
  <si>
    <t>Power (15+ Hours)</t>
  </si>
  <si>
    <t xml:space="preserve">Downloaded </t>
  </si>
  <si>
    <t>Not Downloaded</t>
  </si>
  <si>
    <t>Country Name</t>
  </si>
  <si>
    <t>(All)</t>
  </si>
  <si>
    <t>Jan</t>
  </si>
  <si>
    <t>Feb</t>
  </si>
  <si>
    <t>Mar</t>
  </si>
  <si>
    <t>Apr</t>
  </si>
  <si>
    <t>May</t>
  </si>
  <si>
    <t>Jun</t>
  </si>
  <si>
    <t>Jul</t>
  </si>
  <si>
    <t>Aug</t>
  </si>
  <si>
    <t>Sep</t>
  </si>
  <si>
    <t>Oct</t>
  </si>
  <si>
    <t>Nov</t>
  </si>
  <si>
    <t>Dec</t>
  </si>
  <si>
    <t>Subscription Tier</t>
  </si>
  <si>
    <t>Downloaded</t>
  </si>
  <si>
    <t>5. Payment Preferences &amp; Regional Trends</t>
  </si>
  <si>
    <t>○ Monthly revenue based on different subscription plans.</t>
  </si>
  <si>
    <t xml:space="preserve">○ Distribution of users across different price tiers. </t>
  </si>
  <si>
    <t>1. Subscription &amp; Revenue Analysis</t>
  </si>
  <si>
    <t>RC</t>
  </si>
  <si>
    <t>Recommended Content</t>
  </si>
  <si>
    <t>○ Impact of recommended content on engagement.</t>
  </si>
  <si>
    <t>○ Average watch hours per user &amp; ○ Total movies vs. series watched per user.</t>
  </si>
  <si>
    <t xml:space="preserve">○ Preferred genres by age group. </t>
  </si>
  <si>
    <t xml:space="preserve">○ Device usage trends. </t>
  </si>
  <si>
    <t xml:space="preserve">○ Peak watch time trends (Morning, Evening, Late Night). </t>
  </si>
  <si>
    <t xml:space="preserve">○ Membership status (Active vs. Inactive).  &amp; ○ Loyalty points distribution. </t>
  </si>
  <si>
    <t xml:space="preserve">○ Frequency of logins and content downloads. </t>
  </si>
  <si>
    <t>Avg Hrs/Wk</t>
  </si>
  <si>
    <t>Weekly Viewing Frequency (Average Watch Hours normalized by Tenure).</t>
  </si>
  <si>
    <t>=</t>
  </si>
  <si>
    <t>Total Watch Hours</t>
  </si>
  <si>
    <t>------------------------------</t>
  </si>
  <si>
    <t>(Tenure Days)/7</t>
  </si>
  <si>
    <t>○ Preferred payment methods by region. 
○ Subscription trends by country.</t>
  </si>
  <si>
    <t xml:space="preserve">○ Language preferences and their correlation with engagement. </t>
  </si>
  <si>
    <t xml:space="preserve">Price </t>
  </si>
  <si>
    <t>Users Count</t>
  </si>
  <si>
    <t>Y axis</t>
  </si>
  <si>
    <t>_40</t>
  </si>
  <si>
    <t>_38</t>
  </si>
  <si>
    <t>_36</t>
  </si>
  <si>
    <t>_34</t>
  </si>
  <si>
    <t>_32</t>
  </si>
  <si>
    <t>Swapped Join Date &amp; Last Login Date</t>
  </si>
  <si>
    <t xml:space="preserve">Joined Date &amp; Last Date Was Same So Changed It By One Month </t>
  </si>
  <si>
    <t>Changes Done</t>
  </si>
  <si>
    <t xml:space="preserve">Have used this in Heat Map - Just for presentation </t>
  </si>
  <si>
    <t xml:space="preserve">There are 19 Users above where if you see the Join Date &amp; Last Login shows negative value as the Join date can not be higher than the Last login date </t>
  </si>
  <si>
    <t>Hence I've swapped the last login date and join date to process with report buliding</t>
  </si>
  <si>
    <t xml:space="preserve">User ID 4115 - You can see the Join Date &amp; Last Login Date shows the same date, however wathced hours show as 158 which is not technically possible in the real life as 1 day only have 24 hours. </t>
  </si>
  <si>
    <t>Error</t>
  </si>
  <si>
    <t>Fixes</t>
  </si>
  <si>
    <t>I've updated the Last Login date greater by 1 month from Joined Date to process with report building</t>
  </si>
  <si>
    <t>Notes To Be Focused - Data Anomalies</t>
  </si>
  <si>
    <t xml:space="preserve">Notes to be considered - Additional Column Created </t>
  </si>
  <si>
    <t>Last Login - Joined Date</t>
  </si>
  <si>
    <t xml:space="preserve">Sr. No. </t>
  </si>
  <si>
    <t>Coloumn Name</t>
  </si>
  <si>
    <t>Logic Used</t>
  </si>
  <si>
    <t>Fomula Used</t>
  </si>
  <si>
    <t>Substraction</t>
  </si>
  <si>
    <t>IFS Formula</t>
  </si>
  <si>
    <t>Weekly Watching Hours / Weekly Viewing Frequency = (Average Watch Hours normalized by Tenure).</t>
  </si>
  <si>
    <t>Given Names To Subsciption Prices - Basic - 7.99, Standard - 11.99, &amp; Premium - 15.99</t>
  </si>
  <si>
    <t xml:space="preserve">We have used three type of users "Casual" who watch 0-5 hours watch time in a week, "Regular" who watch 5-15 hours watch time in a week &amp; "Power" who watch 15+ hours watch time in a week. </t>
  </si>
  <si>
    <t>Have used IF formula and above Avg Hrs/WK formula together</t>
  </si>
  <si>
    <t xml:space="preserve">Per Day Watching Hours = Watching Hours / Total number of Movies + Total Number of Series </t>
  </si>
  <si>
    <t>Maths Formula - Divison</t>
  </si>
  <si>
    <t xml:space="preserve">As We get per day Watch Hour, So have used a logic where if a user is having less than 9 Miutes (0.15 hr) watch time average We've considered it as "Browser" who just comes and check the show and goes back but don't consume the whole content, And second is the "Viewer" who is having more than 9 minutes watch time average Cause that user have spent some time in content consuming. </t>
  </si>
  <si>
    <t xml:space="preserve">IFS formula with above Per Day Watch HR </t>
  </si>
  <si>
    <t>This values were not used in report as there was not specific ask in the questions but it can give a good business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</si>
</sst>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0.0"/>
    <numFmt numFmtId="165" formatCode="&quot;₹&quot;\ #,##0.00"/>
    <numFmt numFmtId="166" formatCode="&quot;₹&quot;\ #,##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b/>
      <sz val="11"/>
      <name val="Calibri"/>
      <family val="2"/>
      <scheme val="minor"/>
    </font>
    <font>
      <sz val="16"/>
      <color theme="1"/>
      <name val="Calibri"/>
      <family val="2"/>
      <scheme val="minor"/>
    </font>
    <font>
      <b/>
      <sz val="16"/>
      <color theme="1"/>
      <name val="Calibri"/>
      <family val="2"/>
      <scheme val="minor"/>
    </font>
    <font>
      <b/>
      <sz val="20"/>
      <color theme="1"/>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bgColor indexed="64"/>
      </patternFill>
    </fill>
    <fill>
      <patternFill patternType="solid">
        <fgColor theme="3" tint="-0.49998474074526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4"/>
        <bgColor indexed="64"/>
      </patternFill>
    </fill>
  </fills>
  <borders count="3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medium">
        <color theme="4" tint="0.39997558519241921"/>
      </left>
      <right/>
      <top style="medium">
        <color theme="4" tint="0.39997558519241921"/>
      </top>
      <bottom/>
      <diagonal/>
    </border>
    <border>
      <left/>
      <right/>
      <top style="medium">
        <color theme="4" tint="0.39997558519241921"/>
      </top>
      <bottom/>
      <diagonal/>
    </border>
    <border>
      <left/>
      <right style="medium">
        <color theme="4" tint="0.39997558519241921"/>
      </right>
      <top style="medium">
        <color theme="4" tint="0.39997558519241921"/>
      </top>
      <bottom/>
      <diagonal/>
    </border>
    <border>
      <left style="medium">
        <color theme="4" tint="0.39997558519241921"/>
      </left>
      <right/>
      <top/>
      <bottom/>
      <diagonal/>
    </border>
    <border>
      <left/>
      <right style="medium">
        <color theme="4" tint="0.39997558519241921"/>
      </right>
      <top/>
      <bottom/>
      <diagonal/>
    </border>
    <border>
      <left style="medium">
        <color theme="4" tint="0.39997558519241921"/>
      </left>
      <right/>
      <top/>
      <bottom style="medium">
        <color theme="4" tint="0.39997558519241921"/>
      </bottom>
      <diagonal/>
    </border>
    <border>
      <left/>
      <right style="medium">
        <color theme="4" tint="0.39997558519241921"/>
      </right>
      <top/>
      <bottom style="medium">
        <color theme="4" tint="0.39997558519241921"/>
      </bottom>
      <diagonal/>
    </border>
    <border>
      <left/>
      <right style="thin">
        <color indexed="64"/>
      </right>
      <top style="thin">
        <color indexed="64"/>
      </top>
      <bottom/>
      <diagonal/>
    </border>
    <border>
      <left style="thin">
        <color indexed="64"/>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6">
    <xf numFmtId="0" fontId="0" fillId="0" borderId="0" xfId="0"/>
    <xf numFmtId="14" fontId="0" fillId="0" borderId="0" xfId="0" applyNumberFormat="1"/>
    <xf numFmtId="0" fontId="16" fillId="0" borderId="0" xfId="0" applyFont="1"/>
    <xf numFmtId="2" fontId="0" fillId="0" borderId="0" xfId="0" applyNumberFormat="1"/>
    <xf numFmtId="164" fontId="0" fillId="0" borderId="0" xfId="0" applyNumberFormat="1"/>
    <xf numFmtId="1" fontId="0" fillId="0" borderId="0" xfId="0" applyNumberFormat="1"/>
    <xf numFmtId="1" fontId="0" fillId="0" borderId="0" xfId="0" applyNumberFormat="1" applyAlignment="1">
      <alignment horizontal="center" vertical="center"/>
    </xf>
    <xf numFmtId="49" fontId="0" fillId="0" borderId="0" xfId="0" applyNumberFormat="1" applyAlignment="1">
      <alignment horizontal="center" vertical="center"/>
    </xf>
    <xf numFmtId="44" fontId="0" fillId="0" borderId="0" xfId="0" applyNumberFormat="1"/>
    <xf numFmtId="0" fontId="16" fillId="33" borderId="0" xfId="0" applyFont="1" applyFill="1"/>
    <xf numFmtId="14" fontId="0" fillId="0" borderId="0" xfId="0" applyNumberFormat="1" applyAlignment="1">
      <alignment horizontal="center" vertical="center"/>
    </xf>
    <xf numFmtId="164" fontId="0" fillId="0" borderId="0" xfId="0" applyNumberFormat="1" applyAlignment="1">
      <alignment horizontal="center" vertical="center"/>
    </xf>
    <xf numFmtId="0" fontId="0" fillId="0" borderId="0" xfId="0" applyAlignment="1">
      <alignment horizontal="center" vertical="center"/>
    </xf>
    <xf numFmtId="165" fontId="0" fillId="0" borderId="0" xfId="0" applyNumberFormat="1" applyAlignment="1">
      <alignment horizontal="center" vertical="center"/>
    </xf>
    <xf numFmtId="1" fontId="0" fillId="0" borderId="10" xfId="0" applyNumberFormat="1" applyBorder="1" applyAlignment="1">
      <alignment horizontal="center" vertical="center"/>
    </xf>
    <xf numFmtId="0" fontId="0" fillId="0" borderId="10" xfId="0" applyBorder="1" applyAlignment="1">
      <alignment horizontal="center" vertical="center"/>
    </xf>
    <xf numFmtId="0" fontId="13" fillId="35" borderId="0" xfId="0" applyFont="1" applyFill="1" applyAlignment="1">
      <alignment horizontal="center" vertical="center"/>
    </xf>
    <xf numFmtId="0" fontId="0" fillId="0" borderId="10" xfId="0" pivotButton="1" applyBorder="1" applyAlignment="1">
      <alignment horizontal="center" vertical="center"/>
    </xf>
    <xf numFmtId="9" fontId="0" fillId="0" borderId="10" xfId="0" applyNumberFormat="1" applyBorder="1" applyAlignment="1">
      <alignment horizontal="center" vertical="center"/>
    </xf>
    <xf numFmtId="0" fontId="18" fillId="0" borderId="0" xfId="0" applyFont="1" applyAlignment="1">
      <alignment horizontal="left" vertical="center" indent="2"/>
    </xf>
    <xf numFmtId="0" fontId="0" fillId="0" borderId="0" xfId="0" quotePrefix="1" applyAlignment="1">
      <alignment horizontal="left" vertical="center" indent="1"/>
    </xf>
    <xf numFmtId="0" fontId="19" fillId="33" borderId="0" xfId="0" applyFont="1" applyFill="1" applyAlignment="1">
      <alignment horizontal="center" vertical="center"/>
    </xf>
    <xf numFmtId="0" fontId="19" fillId="34" borderId="0" xfId="0" applyFont="1" applyFill="1" applyAlignment="1">
      <alignment horizontal="center" vertical="center"/>
    </xf>
    <xf numFmtId="0" fontId="19" fillId="0" borderId="0" xfId="0" applyFont="1" applyAlignment="1">
      <alignment horizontal="center" vertical="center"/>
    </xf>
    <xf numFmtId="0" fontId="0" fillId="0" borderId="11" xfId="0" applyBorder="1" applyAlignment="1">
      <alignment horizontal="center" vertical="center"/>
    </xf>
    <xf numFmtId="0" fontId="0" fillId="0" borderId="12" xfId="0" applyBorder="1"/>
    <xf numFmtId="0" fontId="0" fillId="0" borderId="12" xfId="0" applyBorder="1" applyAlignment="1">
      <alignment horizontal="center" vertical="center"/>
    </xf>
    <xf numFmtId="165" fontId="0" fillId="0" borderId="12" xfId="0" applyNumberFormat="1" applyBorder="1" applyAlignment="1">
      <alignment horizontal="center" vertical="center"/>
    </xf>
    <xf numFmtId="0" fontId="0" fillId="0" borderId="14" xfId="0" applyBorder="1"/>
    <xf numFmtId="0" fontId="0" fillId="0" borderId="13" xfId="0" applyBorder="1"/>
    <xf numFmtId="0" fontId="20" fillId="0" borderId="12" xfId="0" applyFont="1" applyBorder="1" applyAlignment="1">
      <alignment vertical="center"/>
    </xf>
    <xf numFmtId="0" fontId="21" fillId="0" borderId="12" xfId="0" applyFont="1" applyBorder="1" applyAlignment="1">
      <alignment vertical="center"/>
    </xf>
    <xf numFmtId="0" fontId="20" fillId="0" borderId="0" xfId="0" applyFont="1" applyAlignment="1">
      <alignment vertical="center"/>
    </xf>
    <xf numFmtId="0" fontId="0" fillId="0" borderId="13" xfId="0" applyBorder="1" applyAlignment="1">
      <alignment vertical="center"/>
    </xf>
    <xf numFmtId="0" fontId="16" fillId="0" borderId="0" xfId="0" quotePrefix="1" applyFont="1" applyAlignment="1">
      <alignment horizontal="center" vertical="center"/>
    </xf>
    <xf numFmtId="165" fontId="16" fillId="0" borderId="15" xfId="0" applyNumberFormat="1" applyFont="1" applyBorder="1" applyAlignment="1">
      <alignment horizontal="center" vertical="center"/>
    </xf>
    <xf numFmtId="165" fontId="0" fillId="0" borderId="15" xfId="0" applyNumberFormat="1" applyBorder="1" applyAlignment="1">
      <alignment horizontal="center" vertical="center"/>
    </xf>
    <xf numFmtId="166" fontId="0" fillId="0" borderId="10" xfId="0" applyNumberFormat="1" applyBorder="1" applyAlignment="1">
      <alignment horizontal="center" vertical="center"/>
    </xf>
    <xf numFmtId="0" fontId="0" fillId="0" borderId="16" xfId="0" applyBorder="1"/>
    <xf numFmtId="0" fontId="0" fillId="0" borderId="17" xfId="0" applyBorder="1"/>
    <xf numFmtId="0" fontId="16" fillId="0" borderId="18" xfId="0" applyFont="1" applyBorder="1" applyAlignment="1">
      <alignment horizontal="center"/>
    </xf>
    <xf numFmtId="0" fontId="16" fillId="0" borderId="19" xfId="0" applyFont="1" applyBorder="1" applyAlignment="1">
      <alignment horizontal="center" vertical="center"/>
    </xf>
    <xf numFmtId="0" fontId="16" fillId="0" borderId="20" xfId="0" quotePrefix="1" applyFont="1" applyBorder="1"/>
    <xf numFmtId="0" fontId="0" fillId="0" borderId="21" xfId="0" applyBorder="1"/>
    <xf numFmtId="0" fontId="0" fillId="0" borderId="3" xfId="0" applyBorder="1"/>
    <xf numFmtId="0" fontId="16" fillId="0" borderId="22" xfId="0" applyFont="1" applyBorder="1" applyAlignment="1">
      <alignment horizontal="center"/>
    </xf>
    <xf numFmtId="0" fontId="0" fillId="0" borderId="10" xfId="0" applyBorder="1" applyAlignment="1">
      <alignment horizontal="center"/>
    </xf>
    <xf numFmtId="0" fontId="0" fillId="0" borderId="10" xfId="0" applyBorder="1"/>
    <xf numFmtId="0" fontId="16" fillId="0" borderId="10" xfId="0" pivotButton="1" applyFont="1" applyBorder="1" applyAlignment="1">
      <alignment horizontal="center" vertical="center"/>
    </xf>
    <xf numFmtId="0" fontId="13" fillId="0" borderId="0" xfId="0" applyFont="1" applyAlignment="1">
      <alignment horizontal="center" vertical="center"/>
    </xf>
    <xf numFmtId="0" fontId="19" fillId="0" borderId="0" xfId="0" applyFont="1" applyAlignment="1">
      <alignment horizontal="right"/>
    </xf>
    <xf numFmtId="0" fontId="0" fillId="0" borderId="0" xfId="0" applyAlignment="1">
      <alignment horizontal="right"/>
    </xf>
    <xf numFmtId="0" fontId="0" fillId="36" borderId="0" xfId="0" applyFill="1"/>
    <xf numFmtId="0" fontId="16" fillId="36" borderId="0" xfId="0" applyFont="1" applyFill="1" applyAlignment="1">
      <alignment vertical="center"/>
    </xf>
    <xf numFmtId="0" fontId="16" fillId="36" borderId="0" xfId="0" applyFont="1" applyFill="1" applyAlignment="1">
      <alignment vertical="center" wrapText="1"/>
    </xf>
    <xf numFmtId="0" fontId="21" fillId="36" borderId="0" xfId="0" applyFont="1" applyFill="1" applyAlignment="1">
      <alignment vertical="center"/>
    </xf>
    <xf numFmtId="0" fontId="20" fillId="36" borderId="0" xfId="0" applyFont="1" applyFill="1" applyAlignment="1">
      <alignment vertical="center"/>
    </xf>
    <xf numFmtId="0" fontId="19" fillId="36" borderId="0" xfId="0" applyFont="1" applyFill="1" applyAlignment="1">
      <alignment horizontal="center"/>
    </xf>
    <xf numFmtId="0" fontId="13" fillId="36" borderId="0" xfId="0" applyFont="1" applyFill="1" applyAlignment="1">
      <alignment horizontal="center" vertical="center"/>
    </xf>
    <xf numFmtId="0" fontId="16" fillId="36" borderId="0" xfId="0" applyFont="1" applyFill="1" applyAlignment="1">
      <alignment horizontal="center" vertical="center"/>
    </xf>
    <xf numFmtId="0" fontId="13" fillId="36" borderId="27" xfId="0" applyFont="1" applyFill="1" applyBorder="1" applyAlignment="1">
      <alignment horizontal="center" vertical="center"/>
    </xf>
    <xf numFmtId="0" fontId="13" fillId="36" borderId="28" xfId="0" applyFont="1" applyFill="1" applyBorder="1" applyAlignment="1">
      <alignment horizontal="center" vertical="center"/>
    </xf>
    <xf numFmtId="0" fontId="13" fillId="36" borderId="23" xfId="0" applyFont="1" applyFill="1" applyBorder="1" applyAlignment="1">
      <alignment horizontal="center" vertical="center"/>
    </xf>
    <xf numFmtId="0" fontId="13" fillId="36" borderId="24" xfId="0" applyFont="1" applyFill="1" applyBorder="1" applyAlignment="1">
      <alignment horizontal="center" vertical="center"/>
    </xf>
    <xf numFmtId="0" fontId="13" fillId="36" borderId="12" xfId="0" applyFont="1" applyFill="1" applyBorder="1" applyAlignment="1">
      <alignment horizontal="center" vertical="center"/>
    </xf>
    <xf numFmtId="0" fontId="13" fillId="36" borderId="29" xfId="0" applyFont="1" applyFill="1" applyBorder="1" applyAlignment="1">
      <alignment horizontal="center" vertical="center"/>
    </xf>
    <xf numFmtId="0" fontId="13" fillId="36" borderId="13" xfId="0" applyFont="1" applyFill="1" applyBorder="1" applyAlignment="1">
      <alignment horizontal="center" vertical="center"/>
    </xf>
    <xf numFmtId="0" fontId="13" fillId="36" borderId="14" xfId="0" applyFont="1" applyFill="1" applyBorder="1" applyAlignment="1">
      <alignment horizontal="center" vertical="center"/>
    </xf>
    <xf numFmtId="0" fontId="22" fillId="0" borderId="0" xfId="0" applyFont="1"/>
    <xf numFmtId="0" fontId="19" fillId="0" borderId="10" xfId="0" applyFont="1" applyBorder="1" applyAlignment="1">
      <alignment horizontal="center" vertical="center"/>
    </xf>
    <xf numFmtId="0" fontId="19" fillId="0" borderId="10" xfId="0" applyFont="1" applyBorder="1" applyAlignment="1">
      <alignment horizontal="center" vertical="center" wrapText="1"/>
    </xf>
    <xf numFmtId="2" fontId="0" fillId="0" borderId="10" xfId="0" applyNumberFormat="1" applyBorder="1" applyAlignment="1">
      <alignment horizontal="center"/>
    </xf>
    <xf numFmtId="0" fontId="16" fillId="33" borderId="10" xfId="0" applyFont="1" applyFill="1" applyBorder="1" applyAlignment="1">
      <alignment horizontal="center"/>
    </xf>
    <xf numFmtId="0" fontId="16" fillId="34" borderId="10" xfId="0" applyFont="1" applyFill="1" applyBorder="1" applyAlignment="1">
      <alignment horizontal="center"/>
    </xf>
    <xf numFmtId="0" fontId="16" fillId="0" borderId="10" xfId="0" applyFont="1" applyBorder="1" applyAlignment="1">
      <alignment horizontal="center"/>
    </xf>
    <xf numFmtId="0" fontId="13" fillId="35" borderId="10" xfId="0" applyFont="1" applyFill="1" applyBorder="1" applyAlignment="1">
      <alignment horizontal="center"/>
    </xf>
    <xf numFmtId="0" fontId="13" fillId="38" borderId="10" xfId="0" applyFont="1" applyFill="1" applyBorder="1" applyAlignment="1">
      <alignment horizontal="center"/>
    </xf>
    <xf numFmtId="1" fontId="0" fillId="0" borderId="10" xfId="0" applyNumberFormat="1" applyBorder="1" applyAlignment="1">
      <alignment horizontal="center"/>
    </xf>
    <xf numFmtId="49" fontId="0" fillId="0" borderId="10" xfId="0" applyNumberFormat="1" applyBorder="1" applyAlignment="1">
      <alignment horizontal="center"/>
    </xf>
    <xf numFmtId="14" fontId="0" fillId="0" borderId="10" xfId="0" applyNumberFormat="1" applyBorder="1" applyAlignment="1">
      <alignment horizontal="center"/>
    </xf>
    <xf numFmtId="165" fontId="0" fillId="0" borderId="10" xfId="0" applyNumberFormat="1" applyBorder="1" applyAlignment="1">
      <alignment horizontal="center"/>
    </xf>
    <xf numFmtId="164" fontId="0" fillId="0" borderId="10" xfId="0" applyNumberFormat="1" applyBorder="1" applyAlignment="1">
      <alignment horizontal="center"/>
    </xf>
    <xf numFmtId="0" fontId="0" fillId="0" borderId="25" xfId="0" applyBorder="1" applyAlignment="1">
      <alignment horizontal="center" vertical="top"/>
    </xf>
    <xf numFmtId="0" fontId="0" fillId="0" borderId="26" xfId="0" applyBorder="1" applyAlignment="1">
      <alignment horizontal="center" vertical="top"/>
    </xf>
    <xf numFmtId="0" fontId="16" fillId="0" borderId="25" xfId="0" applyFont="1" applyBorder="1" applyAlignment="1">
      <alignment horizontal="center"/>
    </xf>
    <xf numFmtId="0" fontId="16" fillId="0" borderId="26" xfId="0" applyFont="1" applyBorder="1" applyAlignment="1">
      <alignment horizontal="center"/>
    </xf>
    <xf numFmtId="0" fontId="21" fillId="0" borderId="0" xfId="0" applyFont="1" applyAlignment="1">
      <alignment horizontal="center" vertical="center"/>
    </xf>
    <xf numFmtId="0" fontId="16" fillId="0" borderId="13" xfId="0" applyFont="1" applyBorder="1" applyAlignment="1">
      <alignment horizontal="center" vertical="center"/>
    </xf>
    <xf numFmtId="0" fontId="16" fillId="0" borderId="13" xfId="0" applyFont="1" applyBorder="1" applyAlignment="1">
      <alignment horizontal="center" vertical="center" wrapText="1"/>
    </xf>
    <xf numFmtId="0" fontId="16" fillId="0" borderId="13" xfId="0" applyFont="1" applyBorder="1" applyAlignment="1">
      <alignment vertical="center"/>
    </xf>
    <xf numFmtId="0" fontId="0" fillId="0" borderId="15" xfId="0" applyBorder="1" applyAlignment="1">
      <alignment horizontal="center"/>
    </xf>
    <xf numFmtId="0" fontId="16" fillId="0" borderId="15" xfId="0" applyFont="1" applyBorder="1" applyAlignment="1">
      <alignment horizontal="center"/>
    </xf>
    <xf numFmtId="0" fontId="21" fillId="37" borderId="30" xfId="0" applyFont="1" applyFill="1" applyBorder="1" applyAlignment="1">
      <alignment horizontal="center" vertical="center"/>
    </xf>
    <xf numFmtId="0" fontId="21" fillId="37" borderId="31" xfId="0" applyFont="1" applyFill="1" applyBorder="1" applyAlignment="1">
      <alignment horizontal="center" vertical="center"/>
    </xf>
    <xf numFmtId="0" fontId="21" fillId="37" borderId="32" xfId="0" applyFont="1" applyFill="1" applyBorder="1" applyAlignment="1">
      <alignment horizontal="center" vertical="center"/>
    </xf>
    <xf numFmtId="0" fontId="16"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general"/>
    </dxf>
    <dxf>
      <alignment horizontal="center"/>
    </dxf>
    <dxf>
      <alignment vertical="bottom"/>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6" formatCode="&quot;₹&quot;\ #,##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border>
        <left style="thin">
          <color indexed="64"/>
        </left>
        <horizontal style="thin">
          <color indexed="64"/>
        </horizontal>
      </border>
    </dxf>
    <dxf>
      <border>
        <left style="thin">
          <color indexed="64"/>
        </left>
        <horizontal style="thin">
          <color indexed="64"/>
        </horizontal>
      </border>
    </dxf>
    <dxf>
      <border>
        <left style="thin">
          <color indexed="64"/>
        </left>
        <horizontal style="thin">
          <color indexed="64"/>
        </horizontal>
      </border>
    </dxf>
    <dxf>
      <border>
        <left style="thin">
          <color indexed="64"/>
        </left>
        <horizontal style="thin">
          <color indexed="64"/>
        </horizontal>
      </border>
    </dxf>
    <dxf>
      <border>
        <left style="thin">
          <color indexed="64"/>
        </left>
        <horizontal style="thin">
          <color indexed="64"/>
        </horizontal>
      </border>
    </dxf>
    <dxf>
      <border>
        <left style="thin">
          <color indexed="64"/>
        </left>
        <horizontal style="thin">
          <color indexed="64"/>
        </horizontal>
      </border>
    </dxf>
    <dxf>
      <border>
        <left style="thin">
          <color indexed="64"/>
        </left>
        <horizontal style="thin">
          <color indexed="64"/>
        </horizontal>
      </border>
    </dxf>
    <dxf>
      <border>
        <left style="thin">
          <color indexed="64"/>
        </left>
        <horizontal style="thin">
          <color indexed="64"/>
        </horizontal>
      </border>
    </dxf>
    <dxf>
      <border>
        <left style="thin">
          <color indexed="64"/>
        </left>
        <horizontal style="thin">
          <color indexed="64"/>
        </horizontal>
      </border>
    </dxf>
    <dxf>
      <border>
        <left style="thin">
          <color indexed="64"/>
        </left>
        <horizontal style="thin">
          <color indexed="64"/>
        </horizontal>
      </border>
    </dxf>
    <dxf>
      <border>
        <left style="thin">
          <color indexed="64"/>
        </left>
        <horizontal style="thin">
          <color indexed="64"/>
        </horizontal>
      </border>
    </dxf>
    <dxf>
      <border>
        <left style="thin">
          <color indexed="64"/>
        </left>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2" formatCode="0.00"/>
    </dxf>
    <dxf>
      <numFmt numFmtId="2" formatCode="0.00"/>
    </dxf>
    <dxf>
      <numFmt numFmtId="164" formatCode="0.0"/>
    </dxf>
    <dxf>
      <numFmt numFmtId="1" formatCode="0"/>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65" formatCode="&quot;₹&quot;\ #,##0.00"/>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3" tint="-0.499984740745262"/>
        </patternFill>
      </fill>
      <alignment horizontal="center" vertical="center" textRotation="0" wrapText="0" indent="0" justifyLastLine="0" shrinkToFit="0" readingOrder="0"/>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[Excercise 1.xlsx]Pivot Table!1. Subscription &amp; Revenue Analysis: 1.1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Revenue Trend By Plan </a:t>
            </a:r>
          </a:p>
        </c:rich>
      </c:tx>
      <c:layout>
        <c:manualLayout>
          <c:xMode val="edge"/>
          <c:yMode val="edge"/>
          <c:x val="0.38199321238691319"/>
          <c:y val="4.611622342387924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Table'!$E$11:$E$12</c:f>
              <c:strCache>
                <c:ptCount val="1"/>
                <c:pt idx="0">
                  <c:v>BASIC</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Table'!$D$13:$D$41</c:f>
              <c:multiLvlStrCache>
                <c:ptCount val="25"/>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lvl>
                <c:lvl>
                  <c:pt idx="0">
                    <c:v>2022</c:v>
                  </c:pt>
                  <c:pt idx="1">
                    <c:v>2023</c:v>
                  </c:pt>
                  <c:pt idx="13">
                    <c:v>2024</c:v>
                  </c:pt>
                </c:lvl>
              </c:multiLvlStrCache>
            </c:multiLvlStrRef>
          </c:cat>
          <c:val>
            <c:numRef>
              <c:f>'Pivot Table'!$E$13:$E$41</c:f>
              <c:numCache>
                <c:formatCode>"₹"\ #,##0</c:formatCode>
                <c:ptCount val="25"/>
                <c:pt idx="0">
                  <c:v>31.96</c:v>
                </c:pt>
                <c:pt idx="1">
                  <c:v>87.89</c:v>
                </c:pt>
                <c:pt idx="2">
                  <c:v>95.88</c:v>
                </c:pt>
                <c:pt idx="3">
                  <c:v>127.83999999999997</c:v>
                </c:pt>
                <c:pt idx="4">
                  <c:v>175.78000000000003</c:v>
                </c:pt>
                <c:pt idx="5">
                  <c:v>135.82999999999998</c:v>
                </c:pt>
                <c:pt idx="6">
                  <c:v>135.82999999999998</c:v>
                </c:pt>
                <c:pt idx="7">
                  <c:v>87.89</c:v>
                </c:pt>
                <c:pt idx="8">
                  <c:v>87.89</c:v>
                </c:pt>
                <c:pt idx="9">
                  <c:v>111.85999999999999</c:v>
                </c:pt>
                <c:pt idx="10">
                  <c:v>119.84999999999998</c:v>
                </c:pt>
                <c:pt idx="11">
                  <c:v>79.900000000000006</c:v>
                </c:pt>
                <c:pt idx="12">
                  <c:v>135.82999999999998</c:v>
                </c:pt>
                <c:pt idx="13">
                  <c:v>103.86999999999999</c:v>
                </c:pt>
                <c:pt idx="14">
                  <c:v>103.86999999999999</c:v>
                </c:pt>
                <c:pt idx="15">
                  <c:v>79.900000000000006</c:v>
                </c:pt>
                <c:pt idx="16">
                  <c:v>95.88</c:v>
                </c:pt>
                <c:pt idx="17">
                  <c:v>111.85999999999999</c:v>
                </c:pt>
                <c:pt idx="18">
                  <c:v>95.88</c:v>
                </c:pt>
                <c:pt idx="19">
                  <c:v>79.900000000000006</c:v>
                </c:pt>
                <c:pt idx="20">
                  <c:v>63.920000000000009</c:v>
                </c:pt>
                <c:pt idx="21">
                  <c:v>143.82</c:v>
                </c:pt>
                <c:pt idx="22">
                  <c:v>159.80000000000001</c:v>
                </c:pt>
                <c:pt idx="23">
                  <c:v>95.88</c:v>
                </c:pt>
                <c:pt idx="24">
                  <c:v>31.96</c:v>
                </c:pt>
              </c:numCache>
            </c:numRef>
          </c:val>
          <c:extLst>
            <c:ext xmlns:c16="http://schemas.microsoft.com/office/drawing/2014/chart" uri="{C3380CC4-5D6E-409C-BE32-E72D297353CC}">
              <c16:uniqueId val="{00000000-F45A-4BAC-AAC2-9FC8604724BC}"/>
            </c:ext>
          </c:extLst>
        </c:ser>
        <c:ser>
          <c:idx val="1"/>
          <c:order val="1"/>
          <c:tx>
            <c:strRef>
              <c:f>'Pivot Table'!$F$11:$F$12</c:f>
              <c:strCache>
                <c:ptCount val="1"/>
                <c:pt idx="0">
                  <c:v>STANDARD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Table'!$D$13:$D$41</c:f>
              <c:multiLvlStrCache>
                <c:ptCount val="25"/>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lvl>
                <c:lvl>
                  <c:pt idx="0">
                    <c:v>2022</c:v>
                  </c:pt>
                  <c:pt idx="1">
                    <c:v>2023</c:v>
                  </c:pt>
                  <c:pt idx="13">
                    <c:v>2024</c:v>
                  </c:pt>
                </c:lvl>
              </c:multiLvlStrCache>
            </c:multiLvlStrRef>
          </c:cat>
          <c:val>
            <c:numRef>
              <c:f>'Pivot Table'!$F$13:$F$41</c:f>
              <c:numCache>
                <c:formatCode>"₹"\ #,##0</c:formatCode>
                <c:ptCount val="25"/>
                <c:pt idx="0">
                  <c:v>95.919999999999987</c:v>
                </c:pt>
                <c:pt idx="1">
                  <c:v>119.89999999999998</c:v>
                </c:pt>
                <c:pt idx="2">
                  <c:v>275.7700000000001</c:v>
                </c:pt>
                <c:pt idx="3">
                  <c:v>131.88999999999999</c:v>
                </c:pt>
                <c:pt idx="4">
                  <c:v>179.85000000000002</c:v>
                </c:pt>
                <c:pt idx="5">
                  <c:v>203.83000000000004</c:v>
                </c:pt>
                <c:pt idx="6">
                  <c:v>143.88</c:v>
                </c:pt>
                <c:pt idx="7">
                  <c:v>191.84000000000003</c:v>
                </c:pt>
                <c:pt idx="8">
                  <c:v>119.89999999999998</c:v>
                </c:pt>
                <c:pt idx="9">
                  <c:v>131.88999999999999</c:v>
                </c:pt>
                <c:pt idx="10">
                  <c:v>155.87</c:v>
                </c:pt>
                <c:pt idx="11">
                  <c:v>143.88</c:v>
                </c:pt>
                <c:pt idx="12">
                  <c:v>179.85000000000002</c:v>
                </c:pt>
                <c:pt idx="13">
                  <c:v>191.84000000000003</c:v>
                </c:pt>
                <c:pt idx="14">
                  <c:v>155.87</c:v>
                </c:pt>
                <c:pt idx="15">
                  <c:v>167.86</c:v>
                </c:pt>
                <c:pt idx="16">
                  <c:v>191.84000000000003</c:v>
                </c:pt>
                <c:pt idx="17">
                  <c:v>167.86</c:v>
                </c:pt>
                <c:pt idx="18">
                  <c:v>203.83000000000004</c:v>
                </c:pt>
                <c:pt idx="19">
                  <c:v>215.82000000000005</c:v>
                </c:pt>
                <c:pt idx="20">
                  <c:v>179.85000000000002</c:v>
                </c:pt>
                <c:pt idx="21">
                  <c:v>179.85000000000002</c:v>
                </c:pt>
                <c:pt idx="22">
                  <c:v>179.85000000000002</c:v>
                </c:pt>
                <c:pt idx="23">
                  <c:v>107.90999999999998</c:v>
                </c:pt>
                <c:pt idx="24">
                  <c:v>119.89999999999998</c:v>
                </c:pt>
              </c:numCache>
            </c:numRef>
          </c:val>
          <c:extLst>
            <c:ext xmlns:c16="http://schemas.microsoft.com/office/drawing/2014/chart" uri="{C3380CC4-5D6E-409C-BE32-E72D297353CC}">
              <c16:uniqueId val="{00000001-F45A-4BAC-AAC2-9FC8604724BC}"/>
            </c:ext>
          </c:extLst>
        </c:ser>
        <c:ser>
          <c:idx val="2"/>
          <c:order val="2"/>
          <c:tx>
            <c:strRef>
              <c:f>'Pivot Table'!$G$11:$G$12</c:f>
              <c:strCache>
                <c:ptCount val="1"/>
                <c:pt idx="0">
                  <c:v>PREMIUM</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Table'!$D$13:$D$41</c:f>
              <c:multiLvlStrCache>
                <c:ptCount val="25"/>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lvl>
                <c:lvl>
                  <c:pt idx="0">
                    <c:v>2022</c:v>
                  </c:pt>
                  <c:pt idx="1">
                    <c:v>2023</c:v>
                  </c:pt>
                  <c:pt idx="13">
                    <c:v>2024</c:v>
                  </c:pt>
                </c:lvl>
              </c:multiLvlStrCache>
            </c:multiLvlStrRef>
          </c:cat>
          <c:val>
            <c:numRef>
              <c:f>'Pivot Table'!$G$13:$G$41</c:f>
              <c:numCache>
                <c:formatCode>"₹"\ #,##0</c:formatCode>
                <c:ptCount val="25"/>
                <c:pt idx="0">
                  <c:v>95.94</c:v>
                </c:pt>
                <c:pt idx="1">
                  <c:v>367.7700000000001</c:v>
                </c:pt>
                <c:pt idx="2">
                  <c:v>175.89000000000001</c:v>
                </c:pt>
                <c:pt idx="3">
                  <c:v>175.89000000000001</c:v>
                </c:pt>
                <c:pt idx="4">
                  <c:v>143.91</c:v>
                </c:pt>
                <c:pt idx="5">
                  <c:v>175.89000000000001</c:v>
                </c:pt>
                <c:pt idx="6">
                  <c:v>239.85000000000005</c:v>
                </c:pt>
                <c:pt idx="7">
                  <c:v>143.91</c:v>
                </c:pt>
                <c:pt idx="8">
                  <c:v>175.89000000000001</c:v>
                </c:pt>
                <c:pt idx="9">
                  <c:v>351.78000000000009</c:v>
                </c:pt>
                <c:pt idx="10">
                  <c:v>191.88000000000002</c:v>
                </c:pt>
                <c:pt idx="11">
                  <c:v>303.81000000000006</c:v>
                </c:pt>
                <c:pt idx="12">
                  <c:v>319.80000000000007</c:v>
                </c:pt>
                <c:pt idx="13">
                  <c:v>191.88000000000002</c:v>
                </c:pt>
                <c:pt idx="14">
                  <c:v>255.84000000000006</c:v>
                </c:pt>
                <c:pt idx="15">
                  <c:v>175.89000000000001</c:v>
                </c:pt>
                <c:pt idx="16">
                  <c:v>191.88000000000002</c:v>
                </c:pt>
                <c:pt idx="17">
                  <c:v>255.84000000000006</c:v>
                </c:pt>
                <c:pt idx="18">
                  <c:v>303.81000000000006</c:v>
                </c:pt>
                <c:pt idx="19">
                  <c:v>191.88000000000002</c:v>
                </c:pt>
                <c:pt idx="20">
                  <c:v>159.9</c:v>
                </c:pt>
                <c:pt idx="21">
                  <c:v>207.87000000000003</c:v>
                </c:pt>
                <c:pt idx="22">
                  <c:v>175.89000000000001</c:v>
                </c:pt>
                <c:pt idx="23">
                  <c:v>255.84000000000006</c:v>
                </c:pt>
                <c:pt idx="24">
                  <c:v>79.95</c:v>
                </c:pt>
              </c:numCache>
            </c:numRef>
          </c:val>
          <c:extLst>
            <c:ext xmlns:c16="http://schemas.microsoft.com/office/drawing/2014/chart" uri="{C3380CC4-5D6E-409C-BE32-E72D297353CC}">
              <c16:uniqueId val="{00000002-F45A-4BAC-AAC2-9FC8604724BC}"/>
            </c:ext>
          </c:extLst>
        </c:ser>
        <c:dLbls>
          <c:dLblPos val="ctr"/>
          <c:showLegendKey val="0"/>
          <c:showVal val="1"/>
          <c:showCatName val="0"/>
          <c:showSerName val="0"/>
          <c:showPercent val="0"/>
          <c:showBubbleSize val="0"/>
        </c:dLbls>
        <c:gapWidth val="25"/>
        <c:overlap val="100"/>
        <c:axId val="1307579296"/>
        <c:axId val="1307579776"/>
      </c:barChart>
      <c:catAx>
        <c:axId val="13075792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307579776"/>
        <c:crosses val="autoZero"/>
        <c:auto val="1"/>
        <c:lblAlgn val="ctr"/>
        <c:lblOffset val="100"/>
        <c:noMultiLvlLbl val="0"/>
      </c:catAx>
      <c:valAx>
        <c:axId val="1307579776"/>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307579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[Excercise 1.xlsx]Pivot Table!1. Subscription &amp; Revenue Analysis: 1.0</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User Distribution</a:t>
            </a:r>
            <a:r>
              <a:rPr lang="en-US" baseline="0"/>
              <a:t> By Tier</a:t>
            </a:r>
          </a:p>
        </c:rich>
      </c:tx>
      <c:layout>
        <c:manualLayout>
          <c:xMode val="edge"/>
          <c:yMode val="edge"/>
          <c:x val="0.51661387790661184"/>
          <c:y val="2.62772386009888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2">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15:showDataLabelsRange val="1"/>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noAutofit/>
              </a:bodyPr>
              <a:lstStyle/>
              <a:p>
                <a:pPr>
                  <a:defRPr sz="900" b="1" i="0" u="none" strike="noStrike" kern="1200" baseline="0">
                    <a:solidFill>
                      <a:srgbClr val="FFFF00"/>
                    </a:solidFill>
                    <a:latin typeface="+mn-lt"/>
                    <a:ea typeface="+mn-ea"/>
                    <a:cs typeface="+mn-cs"/>
                  </a:defRPr>
                </a:pPr>
                <a:fld id="{5B058176-B888-45A0-B0DC-6F0CCA602812}" type="CELLRANGE">
                  <a:rPr lang="en-US" b="1">
                    <a:solidFill>
                      <a:srgbClr val="FFFF00"/>
                    </a:solidFill>
                  </a:rPr>
                  <a:pPr>
                    <a:defRPr b="1">
                      <a:solidFill>
                        <a:srgbClr val="FFFF00"/>
                      </a:solidFill>
                    </a:defRPr>
                  </a:pPr>
                  <a:t>[CELLRANGE]</a:t>
                </a:fld>
                <a:endParaRPr lang="en-US" b="1" baseline="0">
                  <a:solidFill>
                    <a:srgbClr val="FFFF00"/>
                  </a:solidFill>
                </a:endParaRPr>
              </a:p>
              <a:p>
                <a:pPr>
                  <a:defRPr b="1">
                    <a:solidFill>
                      <a:srgbClr val="FFFF00"/>
                    </a:solidFill>
                  </a:defRPr>
                </a:pPr>
                <a:fld id="{670F626B-52DD-4709-BCE3-0E984BF76E12}" type="PERCENTAGE">
                  <a:rPr lang="en-US" b="1">
                    <a:solidFill>
                      <a:schemeClr val="bg1"/>
                    </a:solidFill>
                  </a:rPr>
                  <a:pPr>
                    <a:defRPr b="1">
                      <a:solidFill>
                        <a:srgbClr val="FFFF00"/>
                      </a:solidFill>
                    </a:defRPr>
                  </a:pPr>
                  <a:t>[PERCENTAGE]</a:t>
                </a:fld>
                <a:endParaRPr lang="en-IN"/>
              </a:p>
            </c:rich>
          </c:tx>
          <c:spPr>
            <a:solidFill>
              <a:schemeClr val="tx2">
                <a:lumMod val="7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FFF00"/>
                  </a:solidFill>
                  <a:latin typeface="+mn-lt"/>
                  <a:ea typeface="+mn-ea"/>
                  <a:cs typeface="+mn-cs"/>
                </a:defRPr>
              </a:pPr>
              <a:endParaRPr lang="en-US"/>
            </a:p>
          </c:txPr>
          <c:dLblPos val="ctr"/>
          <c:showLegendKey val="0"/>
          <c:showVal val="0"/>
          <c:showCatName val="0"/>
          <c:showSerName val="0"/>
          <c:showPercent val="1"/>
          <c:showBubbleSize val="0"/>
          <c:separator>
</c:separator>
          <c:extLst>
            <c:ext xmlns:c15="http://schemas.microsoft.com/office/drawing/2012/chart" uri="{CE6537A1-D6FC-4f65-9D91-7224C49458BB}">
              <c15:layout>
                <c:manualLayout>
                  <c:w val="8.2231598687294891E-2"/>
                  <c:h val="9.6782945736434103E-2"/>
                </c:manualLayout>
              </c15:layout>
              <c15:dlblFieldTable/>
              <c15:showDataLabelsRange val="1"/>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fld id="{200073A3-850E-48E7-98E3-FD2D137CE311}" type="CELLRANGE">
                  <a:rPr lang="en-US">
                    <a:solidFill>
                      <a:srgbClr val="FFFF00"/>
                    </a:solidFill>
                  </a:rPr>
                  <a:pPr>
                    <a:defRPr b="1">
                      <a:solidFill>
                        <a:srgbClr val="FFFF00"/>
                      </a:solidFill>
                    </a:defRPr>
                  </a:pPr>
                  <a:t>[CELLRANGE]</a:t>
                </a:fld>
                <a:endParaRPr lang="en-US" baseline="0">
                  <a:solidFill>
                    <a:srgbClr val="FFFF00"/>
                  </a:solidFill>
                </a:endParaRPr>
              </a:p>
              <a:p>
                <a:pPr>
                  <a:defRPr b="1">
                    <a:solidFill>
                      <a:srgbClr val="FFFF00"/>
                    </a:solidFill>
                  </a:defRPr>
                </a:pPr>
                <a:fld id="{2E6256F4-BB93-41FE-9E99-C7B13F5463FA}" type="PERCENTAGE">
                  <a:rPr lang="en-US">
                    <a:solidFill>
                      <a:schemeClr val="bg1"/>
                    </a:solidFill>
                  </a:rPr>
                  <a:pPr>
                    <a:defRPr b="1">
                      <a:solidFill>
                        <a:srgbClr val="FFFF00"/>
                      </a:solidFill>
                    </a:defRPr>
                  </a:pPr>
                  <a:t>[PERCENTAGE]</a:t>
                </a:fld>
                <a:endParaRPr lang="en-IN"/>
              </a:p>
            </c:rich>
          </c:tx>
          <c:spPr>
            <a:solidFill>
              <a:schemeClr val="tx2">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ctr"/>
          <c:showLegendKey val="0"/>
          <c:showVal val="0"/>
          <c:showCatName val="0"/>
          <c:showSerName val="0"/>
          <c:showPercent val="1"/>
          <c:showBubbleSize val="0"/>
          <c:separator>
</c:separator>
          <c:extLst>
            <c:ext xmlns:c15="http://schemas.microsoft.com/office/drawing/2012/chart" uri="{CE6537A1-D6FC-4f65-9D91-7224C49458BB}">
              <c15:dlblFieldTable/>
              <c15:showDataLabelsRange val="1"/>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fld id="{91D1FDEF-E81B-414F-8A0D-5F67C94D3895}" type="CELLRANGE">
                  <a:rPr lang="en-US" b="1">
                    <a:solidFill>
                      <a:srgbClr val="FFFF00"/>
                    </a:solidFill>
                  </a:rPr>
                  <a:pPr>
                    <a:defRPr b="1">
                      <a:solidFill>
                        <a:srgbClr val="FFFF00"/>
                      </a:solidFill>
                    </a:defRPr>
                  </a:pPr>
                  <a:t>[CELLRANGE]</a:t>
                </a:fld>
                <a:endParaRPr lang="en-US" b="1" baseline="0">
                  <a:solidFill>
                    <a:srgbClr val="FFFF00"/>
                  </a:solidFill>
                </a:endParaRPr>
              </a:p>
              <a:p>
                <a:pPr>
                  <a:defRPr b="1">
                    <a:solidFill>
                      <a:srgbClr val="FFFF00"/>
                    </a:solidFill>
                  </a:defRPr>
                </a:pPr>
                <a:fld id="{ADFC967E-9969-4189-9447-7C7EA1759A6C}" type="PERCENTAGE">
                  <a:rPr lang="en-US" b="1">
                    <a:solidFill>
                      <a:schemeClr val="bg1"/>
                    </a:solidFill>
                  </a:rPr>
                  <a:pPr>
                    <a:defRPr b="1">
                      <a:solidFill>
                        <a:srgbClr val="FFFF00"/>
                      </a:solidFill>
                    </a:defRPr>
                  </a:pPr>
                  <a:t>[PERCENTAGE]</a:t>
                </a:fld>
                <a:endParaRPr lang="en-IN"/>
              </a:p>
            </c:rich>
          </c:tx>
          <c:spPr>
            <a:solidFill>
              <a:schemeClr val="tx2">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ctr"/>
          <c:showLegendKey val="0"/>
          <c:showVal val="0"/>
          <c:showCatName val="0"/>
          <c:showSerName val="0"/>
          <c:showPercent val="1"/>
          <c:showBubbleSize val="0"/>
          <c:separator>
</c:separator>
          <c:extLst>
            <c:ext xmlns:c15="http://schemas.microsoft.com/office/drawing/2012/chart" uri="{CE6537A1-D6FC-4f65-9D91-7224C49458BB}">
              <c15:dlblFieldTable/>
              <c15:showDataLabelsRange val="1"/>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6713235212687022"/>
          <c:y val="0.1717423548800586"/>
          <c:w val="0.39360277750091366"/>
          <c:h val="0.65081761582127817"/>
        </c:manualLayout>
      </c:layout>
      <c:pieChart>
        <c:varyColors val="1"/>
        <c:ser>
          <c:idx val="0"/>
          <c:order val="0"/>
          <c:tx>
            <c:strRef>
              <c:f>'Pivot Table'!$F$5:$F$7</c:f>
              <c:strCache>
                <c:ptCount val="1"/>
                <c:pt idx="0">
                  <c:v>User Count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F56-4AA6-B3F2-7ED701BD26C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F56-4AA6-B3F2-7ED701BD26C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F56-4AA6-B3F2-7ED701BD26C0}"/>
              </c:ext>
            </c:extLst>
          </c:dPt>
          <c:dLbls>
            <c:dLbl>
              <c:idx val="0"/>
              <c:tx>
                <c:rich>
                  <a:bodyPr rot="0" spcFirstLastPara="1" vertOverflow="ellipsis" vert="horz" wrap="square" lIns="38100" tIns="19050" rIns="38100" bIns="19050" anchor="ctr" anchorCtr="1">
                    <a:noAutofit/>
                  </a:bodyPr>
                  <a:lstStyle/>
                  <a:p>
                    <a:pPr>
                      <a:defRPr sz="900" b="1" i="0" u="none" strike="noStrike" kern="1200" baseline="0">
                        <a:solidFill>
                          <a:srgbClr val="FFFF00"/>
                        </a:solidFill>
                        <a:latin typeface="+mn-lt"/>
                        <a:ea typeface="+mn-ea"/>
                        <a:cs typeface="+mn-cs"/>
                      </a:defRPr>
                    </a:pPr>
                    <a:fld id="{5B058176-B888-45A0-B0DC-6F0CCA602812}" type="CELLRANGE">
                      <a:rPr lang="en-US" b="1">
                        <a:solidFill>
                          <a:srgbClr val="FFFF00"/>
                        </a:solidFill>
                      </a:rPr>
                      <a:pPr>
                        <a:defRPr b="1">
                          <a:solidFill>
                            <a:srgbClr val="FFFF00"/>
                          </a:solidFill>
                        </a:defRPr>
                      </a:pPr>
                      <a:t>[CELLRANGE]</a:t>
                    </a:fld>
                    <a:endParaRPr lang="en-US" b="1" baseline="0">
                      <a:solidFill>
                        <a:srgbClr val="FFFF00"/>
                      </a:solidFill>
                    </a:endParaRPr>
                  </a:p>
                  <a:p>
                    <a:pPr>
                      <a:defRPr b="1">
                        <a:solidFill>
                          <a:srgbClr val="FFFF00"/>
                        </a:solidFill>
                      </a:defRPr>
                    </a:pPr>
                    <a:fld id="{670F626B-52DD-4709-BCE3-0E984BF76E12}" type="PERCENTAGE">
                      <a:rPr lang="en-US" b="1">
                        <a:solidFill>
                          <a:schemeClr val="bg1"/>
                        </a:solidFill>
                      </a:rPr>
                      <a:pPr>
                        <a:defRPr b="1">
                          <a:solidFill>
                            <a:srgbClr val="FFFF00"/>
                          </a:solidFill>
                        </a:defRPr>
                      </a:pPr>
                      <a:t>[PERCENTAGE]</a:t>
                    </a:fld>
                    <a:endParaRPr lang="en-IN"/>
                  </a:p>
                </c:rich>
              </c:tx>
              <c:spPr>
                <a:solidFill>
                  <a:schemeClr val="tx2">
                    <a:lumMod val="7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FFF00"/>
                      </a:solidFill>
                      <a:latin typeface="+mn-lt"/>
                      <a:ea typeface="+mn-ea"/>
                      <a:cs typeface="+mn-cs"/>
                    </a:defRPr>
                  </a:pPr>
                  <a:endParaRPr lang="en-US"/>
                </a:p>
              </c:txPr>
              <c:dLblPos val="ctr"/>
              <c:showLegendKey val="0"/>
              <c:showVal val="0"/>
              <c:showCatName val="0"/>
              <c:showSerName val="0"/>
              <c:showPercent val="1"/>
              <c:showBubbleSize val="0"/>
              <c:separator>
</c:separator>
              <c:extLst>
                <c:ext xmlns:c15="http://schemas.microsoft.com/office/drawing/2012/chart" uri="{CE6537A1-D6FC-4f65-9D91-7224C49458BB}">
                  <c15:layout>
                    <c:manualLayout>
                      <c:w val="8.2231598687294891E-2"/>
                      <c:h val="9.6782945736434103E-2"/>
                    </c:manualLayout>
                  </c15:layout>
                  <c15:dlblFieldTable/>
                  <c15:showDataLabelsRange val="1"/>
                </c:ext>
                <c:ext xmlns:c16="http://schemas.microsoft.com/office/drawing/2014/chart" uri="{C3380CC4-5D6E-409C-BE32-E72D297353CC}">
                  <c16:uniqueId val="{00000001-8F56-4AA6-B3F2-7ED701BD26C0}"/>
                </c:ext>
              </c:extLst>
            </c:dLbl>
            <c:dLbl>
              <c:idx val="1"/>
              <c:tx>
                <c:rich>
                  <a:bodyPr/>
                  <a:lstStyle/>
                  <a:p>
                    <a:fld id="{200073A3-850E-48E7-98E3-FD2D137CE311}" type="CELLRANGE">
                      <a:rPr lang="en-US">
                        <a:solidFill>
                          <a:srgbClr val="FFFF00"/>
                        </a:solidFill>
                      </a:rPr>
                      <a:pPr/>
                      <a:t>[CELLRANGE]</a:t>
                    </a:fld>
                    <a:endParaRPr lang="en-US" baseline="0">
                      <a:solidFill>
                        <a:srgbClr val="FFFF00"/>
                      </a:solidFill>
                    </a:endParaRPr>
                  </a:p>
                  <a:p>
                    <a:fld id="{2E6256F4-BB93-41FE-9E99-C7B13F5463FA}" type="PERCENTAGE">
                      <a:rPr lang="en-US">
                        <a:solidFill>
                          <a:schemeClr val="bg1"/>
                        </a:solidFill>
                      </a:rPr>
                      <a:pPr/>
                      <a:t>[PERCENTAGE]</a:t>
                    </a:fld>
                    <a:endParaRPr lang="en-IN"/>
                  </a:p>
                </c:rich>
              </c:tx>
              <c:dLblPos val="ctr"/>
              <c:showLegendKey val="0"/>
              <c:showVal val="0"/>
              <c:showCatName val="0"/>
              <c:showSerName val="0"/>
              <c:showPercent val="1"/>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8F56-4AA6-B3F2-7ED701BD26C0}"/>
                </c:ext>
              </c:extLst>
            </c:dLbl>
            <c:dLbl>
              <c:idx val="2"/>
              <c:tx>
                <c:rich>
                  <a:bodyPr/>
                  <a:lstStyle/>
                  <a:p>
                    <a:fld id="{91D1FDEF-E81B-414F-8A0D-5F67C94D3895}" type="CELLRANGE">
                      <a:rPr lang="en-US" b="1">
                        <a:solidFill>
                          <a:srgbClr val="FFFF00"/>
                        </a:solidFill>
                      </a:rPr>
                      <a:pPr/>
                      <a:t>[CELLRANGE]</a:t>
                    </a:fld>
                    <a:endParaRPr lang="en-US" b="1" baseline="0">
                      <a:solidFill>
                        <a:srgbClr val="FFFF00"/>
                      </a:solidFill>
                    </a:endParaRPr>
                  </a:p>
                  <a:p>
                    <a:fld id="{ADFC967E-9969-4189-9447-7C7EA1759A6C}" type="PERCENTAGE">
                      <a:rPr lang="en-US" b="1">
                        <a:solidFill>
                          <a:schemeClr val="bg1"/>
                        </a:solidFill>
                      </a:rPr>
                      <a:pPr/>
                      <a:t>[PERCENTAGE]</a:t>
                    </a:fld>
                    <a:endParaRPr lang="en-IN"/>
                  </a:p>
                </c:rich>
              </c:tx>
              <c:dLblPos val="ctr"/>
              <c:showLegendKey val="0"/>
              <c:showVal val="0"/>
              <c:showCatName val="0"/>
              <c:showSerName val="0"/>
              <c:showPercent val="1"/>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8F56-4AA6-B3F2-7ED701BD26C0}"/>
                </c:ext>
              </c:extLst>
            </c:dLbl>
            <c:spPr>
              <a:solidFill>
                <a:schemeClr val="tx2">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ctr"/>
            <c:showLegendKey val="0"/>
            <c:showVal val="1"/>
            <c:showCatName val="0"/>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15:showDataLabelsRange val="1"/>
              </c:ext>
            </c:extLst>
          </c:dLbls>
          <c:cat>
            <c:strRef>
              <c:f>'Pivot Table'!$F$5:$F$7</c:f>
              <c:strCache>
                <c:ptCount val="3"/>
                <c:pt idx="0">
                  <c:v>BASIC</c:v>
                </c:pt>
                <c:pt idx="1">
                  <c:v>STANDARD</c:v>
                </c:pt>
                <c:pt idx="2">
                  <c:v>PREMIUM</c:v>
                </c:pt>
              </c:strCache>
            </c:strRef>
          </c:cat>
          <c:val>
            <c:numRef>
              <c:f>'Pivot Table'!$F$5:$F$7</c:f>
              <c:numCache>
                <c:formatCode>General</c:formatCode>
                <c:ptCount val="3"/>
                <c:pt idx="0">
                  <c:v>323</c:v>
                </c:pt>
                <c:pt idx="1">
                  <c:v>345</c:v>
                </c:pt>
                <c:pt idx="2">
                  <c:v>332</c:v>
                </c:pt>
              </c:numCache>
            </c:numRef>
          </c:val>
          <c:extLst>
            <c:ext xmlns:c15="http://schemas.microsoft.com/office/drawing/2012/chart" uri="{02D57815-91ED-43cb-92C2-25804820EDAC}">
              <c15:datalabelsRange>
                <c15:f>'Pivot Table'!$F$5:$F$7</c15:f>
                <c15:dlblRangeCache>
                  <c:ptCount val="3"/>
                  <c:pt idx="0">
                    <c:v>₹ 2,581</c:v>
                  </c:pt>
                  <c:pt idx="1">
                    <c:v>₹ 4,137</c:v>
                  </c:pt>
                  <c:pt idx="2">
                    <c:v>₹ 5,309</c:v>
                  </c:pt>
                </c15:dlblRangeCache>
              </c15:datalabelsRange>
            </c:ext>
            <c:ext xmlns:c16="http://schemas.microsoft.com/office/drawing/2014/chart" uri="{C3380CC4-5D6E-409C-BE32-E72D297353CC}">
              <c16:uniqueId val="{00000006-8F56-4AA6-B3F2-7ED701BD26C0}"/>
            </c:ext>
          </c:extLst>
        </c:ser>
        <c:ser>
          <c:idx val="1"/>
          <c:order val="1"/>
          <c:tx>
            <c:strRef>
              <c:f>'Pivot Table'!$F$5:$F$7</c:f>
              <c:strCache>
                <c:ptCount val="1"/>
                <c:pt idx="0">
                  <c:v>Subscription Amount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8F56-4AA6-B3F2-7ED701BD26C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8F56-4AA6-B3F2-7ED701BD26C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8F56-4AA6-B3F2-7ED701BD26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Table'!$F$5:$F$7</c:f>
              <c:strCache>
                <c:ptCount val="3"/>
                <c:pt idx="0">
                  <c:v>BASIC</c:v>
                </c:pt>
                <c:pt idx="1">
                  <c:v>STANDARD</c:v>
                </c:pt>
                <c:pt idx="2">
                  <c:v>PREMIUM</c:v>
                </c:pt>
              </c:strCache>
            </c:strRef>
          </c:cat>
          <c:val>
            <c:numRef>
              <c:f>'Pivot Table'!$F$5:$F$7</c:f>
              <c:numCache>
                <c:formatCode>"₹"\ #,##0</c:formatCode>
                <c:ptCount val="3"/>
                <c:pt idx="0">
                  <c:v>2580.7699999999877</c:v>
                </c:pt>
                <c:pt idx="1">
                  <c:v>4136.5499999999638</c:v>
                </c:pt>
                <c:pt idx="2">
                  <c:v>5308.6799999999566</c:v>
                </c:pt>
              </c:numCache>
            </c:numRef>
          </c:val>
          <c:extLst>
            <c:ext xmlns:c16="http://schemas.microsoft.com/office/drawing/2014/chart" uri="{C3380CC4-5D6E-409C-BE32-E72D297353CC}">
              <c16:uniqueId val="{0000000D-8F56-4AA6-B3F2-7ED701BD26C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7395280758681542"/>
          <c:y val="0.52979674052371373"/>
          <c:w val="0.31901484360868398"/>
          <c:h val="0.1866468290300921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[Excercise 1.xlsx]Pivot Table!2. User Engagement Metrics: 1.3</c:name>
    <c:fmtId val="4"/>
  </c:pivotSource>
  <c:chart>
    <c:title>
      <c:tx>
        <c:rich>
          <a:bodyPr rot="0" spcFirstLastPara="1" vertOverflow="ellipsis" vert="horz" wrap="square" anchor="ctr" anchorCtr="1"/>
          <a:lstStyle/>
          <a:p>
            <a:pPr>
              <a:defRPr sz="1200" b="1" i="0" u="sng"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sz="1200" b="1" u="sng">
                <a:solidFill>
                  <a:schemeClr val="bg1"/>
                </a:solidFill>
              </a:rPr>
              <a:t>Avg Watch Hours By Age</a:t>
            </a:r>
          </a:p>
        </c:rich>
      </c:tx>
      <c:layout>
        <c:manualLayout>
          <c:xMode val="edge"/>
          <c:yMode val="edge"/>
          <c:x val="0.61379545454545459"/>
          <c:y val="3.8636299494821211E-2"/>
        </c:manualLayout>
      </c:layout>
      <c:overlay val="1"/>
      <c:spPr>
        <a:noFill/>
        <a:ln>
          <a:noFill/>
        </a:ln>
        <a:effectLst/>
      </c:spPr>
      <c:txPr>
        <a:bodyPr rot="0" spcFirstLastPara="1" vertOverflow="ellipsis" vert="horz" wrap="square" anchor="ctr" anchorCtr="1"/>
        <a:lstStyle/>
        <a:p>
          <a:pPr>
            <a:defRPr sz="1200" b="1" i="0" u="sng"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a:outerShdw blurRad="57150" dist="19050" dir="5400000" algn="ctr" rotWithShape="0">
              <a:srgbClr val="000000">
                <a:alpha val="63000"/>
              </a:srgbClr>
            </a:outerShdw>
          </a:effectLst>
        </c:spPr>
        <c:dLbl>
          <c:idx val="0"/>
          <c:layout>
            <c:manualLayout>
              <c:x val="0"/>
              <c:y val="-0.33211328422656844"/>
            </c:manualLayout>
          </c:layout>
          <c:spPr>
            <a:noFill/>
            <a:ln>
              <a:noFill/>
            </a:ln>
            <a:effectLst/>
          </c:spPr>
          <c:txPr>
            <a:bodyPr rot="0" spcFirstLastPara="1" vertOverflow="ellipsis" vert="horz" wrap="square" lIns="38100" tIns="19050" rIns="38100" bIns="19050" anchor="t" anchorCtr="0">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a:outerShdw blurRad="57150" dist="19050" dir="5400000" algn="ctr" rotWithShape="0">
              <a:srgbClr val="000000">
                <a:alpha val="63000"/>
              </a:srgbClr>
            </a:outerShdw>
          </a:effectLst>
        </c:spPr>
        <c:dLbl>
          <c:idx val="0"/>
          <c:layout>
            <c:manualLayout>
              <c:x val="8.2137641342064476E-17"/>
              <c:y val="-0.27820449863121949"/>
            </c:manualLayout>
          </c:layout>
          <c:spPr>
            <a:noFill/>
            <a:ln>
              <a:noFill/>
            </a:ln>
            <a:effectLst/>
          </c:spPr>
          <c:txPr>
            <a:bodyPr rot="0" spcFirstLastPara="1" vertOverflow="ellipsis" vert="horz" wrap="square" lIns="38100" tIns="19050" rIns="38100" bIns="19050" anchor="t" anchorCtr="0">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a:outerShdw blurRad="57150" dist="19050" dir="5400000" algn="ctr" rotWithShape="0">
              <a:srgbClr val="000000">
                <a:alpha val="63000"/>
              </a:srgbClr>
            </a:outerShdw>
          </a:effectLst>
        </c:spPr>
        <c:dLbl>
          <c:idx val="0"/>
          <c:layout>
            <c:manualLayout>
              <c:x val="-2.2401433691756271E-3"/>
              <c:y val="-0.20081449496232326"/>
            </c:manualLayout>
          </c:layout>
          <c:spPr>
            <a:noFill/>
            <a:ln>
              <a:noFill/>
            </a:ln>
            <a:effectLst/>
          </c:spPr>
          <c:txPr>
            <a:bodyPr rot="0" spcFirstLastPara="1" vertOverflow="ellipsis" vert="horz" wrap="square" lIns="38100" tIns="19050" rIns="38100" bIns="19050" anchor="t" anchorCtr="0">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40000"/>
              <a:lumOff val="60000"/>
            </a:schemeClr>
          </a:solidFill>
          <a:ln>
            <a:noFill/>
          </a:ln>
          <a:effectLst>
            <a:outerShdw blurRad="57150" dist="19050" dir="5400000" algn="ctr" rotWithShape="0">
              <a:srgbClr val="000000">
                <a:alpha val="63000"/>
              </a:srgbClr>
            </a:outerShdw>
          </a:effectLst>
        </c:spPr>
        <c:dLbl>
          <c:idx val="0"/>
          <c:layout>
            <c:manualLayout>
              <c:x val="-1.7070950808568694E-3"/>
              <c:y val="-0.35875652640194167"/>
            </c:manualLayout>
          </c:layout>
          <c:spPr>
            <a:noFill/>
            <a:ln>
              <a:noFill/>
            </a:ln>
            <a:effectLst/>
          </c:spPr>
          <c:txPr>
            <a:bodyPr rot="0" spcFirstLastPara="1" vertOverflow="ellipsis" vert="horz" wrap="square" lIns="38100" tIns="19050" rIns="38100" bIns="19050" anchor="t" anchorCtr="0">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20000"/>
              <a:lumOff val="80000"/>
            </a:schemeClr>
          </a:solidFill>
          <a:ln>
            <a:noFill/>
          </a:ln>
          <a:effectLst>
            <a:outerShdw blurRad="57150" dist="19050" dir="5400000" algn="ctr" rotWithShape="0">
              <a:srgbClr val="000000">
                <a:alpha val="63000"/>
              </a:srgbClr>
            </a:outerShdw>
          </a:effectLst>
        </c:spPr>
        <c:dLbl>
          <c:idx val="0"/>
          <c:layout>
            <c:manualLayout>
              <c:x val="0"/>
              <c:y val="-0.14846967045785944"/>
            </c:manualLayout>
          </c:layout>
          <c:spPr>
            <a:noFill/>
            <a:ln>
              <a:noFill/>
            </a:ln>
            <a:effectLst/>
          </c:spPr>
          <c:txPr>
            <a:bodyPr rot="0" spcFirstLastPara="1" vertOverflow="ellipsis" vert="horz" wrap="square" lIns="38100" tIns="19050" rIns="38100" bIns="19050" anchor="t" anchorCtr="0">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Table'!$M$13</c:f>
              <c:strCache>
                <c:ptCount val="1"/>
                <c:pt idx="0">
                  <c:v>Total</c:v>
                </c:pt>
              </c:strCache>
            </c:strRef>
          </c:tx>
          <c:spPr>
            <a:solidFill>
              <a:schemeClr val="accent1">
                <a:lumMod val="50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1">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FF1-4C91-8CEB-F06F56183EBE}"/>
              </c:ext>
            </c:extLst>
          </c:dPt>
          <c:dPt>
            <c:idx val="1"/>
            <c:invertIfNegative val="0"/>
            <c:bubble3D val="0"/>
            <c:spPr>
              <a:solidFill>
                <a:schemeClr val="accent1">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7FF1-4C91-8CEB-F06F56183EBE}"/>
              </c:ext>
            </c:extLst>
          </c:dPt>
          <c:dPt>
            <c:idx val="2"/>
            <c:invertIfNegative val="0"/>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FF1-4C91-8CEB-F06F56183EBE}"/>
              </c:ext>
            </c:extLst>
          </c:dPt>
          <c:dPt>
            <c:idx val="3"/>
            <c:invertIfNegative val="0"/>
            <c:bubble3D val="0"/>
            <c:spPr>
              <a:solidFill>
                <a:schemeClr val="accent1">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7FF1-4C91-8CEB-F06F56183EBE}"/>
              </c:ext>
            </c:extLst>
          </c:dPt>
          <c:dPt>
            <c:idx val="4"/>
            <c:invertIfNegative val="0"/>
            <c:bubble3D val="0"/>
            <c:extLst>
              <c:ext xmlns:c16="http://schemas.microsoft.com/office/drawing/2014/chart" uri="{C3380CC4-5D6E-409C-BE32-E72D297353CC}">
                <c16:uniqueId val="{00000005-7FF1-4C91-8CEB-F06F56183EBE}"/>
              </c:ext>
            </c:extLst>
          </c:dPt>
          <c:dLbls>
            <c:dLbl>
              <c:idx val="0"/>
              <c:layout>
                <c:manualLayout>
                  <c:x val="0"/>
                  <c:y val="-0.14846967045785944"/>
                </c:manualLayout>
              </c:layout>
              <c:spPr>
                <a:noFill/>
                <a:ln>
                  <a:noFill/>
                </a:ln>
                <a:effectLst/>
              </c:spPr>
              <c:txPr>
                <a:bodyPr rot="0" spcFirstLastPara="1" vertOverflow="ellipsis" vert="horz" wrap="square" lIns="38100" tIns="19050" rIns="38100" bIns="19050" anchor="t" anchorCtr="0">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FF1-4C91-8CEB-F06F56183EBE}"/>
                </c:ext>
              </c:extLst>
            </c:dLbl>
            <c:dLbl>
              <c:idx val="1"/>
              <c:layout>
                <c:manualLayout>
                  <c:x val="-1.7070950808568694E-3"/>
                  <c:y val="-0.35875652640194167"/>
                </c:manualLayout>
              </c:layout>
              <c:spPr>
                <a:noFill/>
                <a:ln>
                  <a:noFill/>
                </a:ln>
                <a:effectLst/>
              </c:spPr>
              <c:txPr>
                <a:bodyPr rot="0" spcFirstLastPara="1" vertOverflow="ellipsis" vert="horz" wrap="square" lIns="38100" tIns="19050" rIns="38100" bIns="19050" anchor="t" anchorCtr="0">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FF1-4C91-8CEB-F06F56183EBE}"/>
                </c:ext>
              </c:extLst>
            </c:dLbl>
            <c:dLbl>
              <c:idx val="2"/>
              <c:layout>
                <c:manualLayout>
                  <c:x val="-2.2401433691756271E-3"/>
                  <c:y val="-0.20081449496232326"/>
                </c:manualLayout>
              </c:layout>
              <c:spPr>
                <a:noFill/>
                <a:ln>
                  <a:noFill/>
                </a:ln>
                <a:effectLst/>
              </c:spPr>
              <c:txPr>
                <a:bodyPr rot="0" spcFirstLastPara="1" vertOverflow="ellipsis" vert="horz" wrap="square" lIns="38100" tIns="19050" rIns="38100" bIns="19050" anchor="t" anchorCtr="0">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FF1-4C91-8CEB-F06F56183EBE}"/>
                </c:ext>
              </c:extLst>
            </c:dLbl>
            <c:dLbl>
              <c:idx val="3"/>
              <c:layout>
                <c:manualLayout>
                  <c:x val="8.2137641342064476E-17"/>
                  <c:y val="-0.27820449863121949"/>
                </c:manualLayout>
              </c:layout>
              <c:spPr>
                <a:noFill/>
                <a:ln>
                  <a:noFill/>
                </a:ln>
                <a:effectLst/>
              </c:spPr>
              <c:txPr>
                <a:bodyPr rot="0" spcFirstLastPara="1" vertOverflow="ellipsis" vert="horz" wrap="square" lIns="38100" tIns="19050" rIns="38100" bIns="19050" anchor="t" anchorCtr="0">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FF1-4C91-8CEB-F06F56183EBE}"/>
                </c:ext>
              </c:extLst>
            </c:dLbl>
            <c:dLbl>
              <c:idx val="4"/>
              <c:layout>
                <c:manualLayout>
                  <c:x val="0"/>
                  <c:y val="-0.33211328422656844"/>
                </c:manualLayout>
              </c:layout>
              <c:spPr>
                <a:noFill/>
                <a:ln>
                  <a:noFill/>
                </a:ln>
                <a:effectLst/>
              </c:spPr>
              <c:txPr>
                <a:bodyPr rot="0" spcFirstLastPara="1" vertOverflow="ellipsis" vert="horz" wrap="square" lIns="38100" tIns="19050" rIns="38100" bIns="19050" anchor="t" anchorCtr="0">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FF1-4C91-8CEB-F06F56183E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Table'!$L$14:$L$19</c:f>
              <c:strCache>
                <c:ptCount val="5"/>
                <c:pt idx="0">
                  <c:v>18-24</c:v>
                </c:pt>
                <c:pt idx="1">
                  <c:v>25-34</c:v>
                </c:pt>
                <c:pt idx="2">
                  <c:v>35-44</c:v>
                </c:pt>
                <c:pt idx="3">
                  <c:v>45-54</c:v>
                </c:pt>
                <c:pt idx="4">
                  <c:v>55+</c:v>
                </c:pt>
              </c:strCache>
            </c:strRef>
          </c:cat>
          <c:val>
            <c:numRef>
              <c:f>'Pivot Table'!$M$14:$M$19</c:f>
              <c:numCache>
                <c:formatCode>0</c:formatCode>
                <c:ptCount val="5"/>
                <c:pt idx="0">
                  <c:v>237.0611111111111</c:v>
                </c:pt>
                <c:pt idx="1">
                  <c:v>268.52</c:v>
                </c:pt>
                <c:pt idx="2">
                  <c:v>244.95652173913044</c:v>
                </c:pt>
                <c:pt idx="3">
                  <c:v>255.66346153846155</c:v>
                </c:pt>
                <c:pt idx="4">
                  <c:v>264.66829268292685</c:v>
                </c:pt>
              </c:numCache>
            </c:numRef>
          </c:val>
          <c:extLst>
            <c:ext xmlns:c16="http://schemas.microsoft.com/office/drawing/2014/chart" uri="{C3380CC4-5D6E-409C-BE32-E72D297353CC}">
              <c16:uniqueId val="{00000000-7FF1-4C91-8CEB-F06F56183EBE}"/>
            </c:ext>
          </c:extLst>
        </c:ser>
        <c:dLbls>
          <c:showLegendKey val="0"/>
          <c:showVal val="0"/>
          <c:showCatName val="0"/>
          <c:showSerName val="0"/>
          <c:showPercent val="0"/>
          <c:showBubbleSize val="0"/>
        </c:dLbls>
        <c:gapWidth val="100"/>
        <c:overlap val="100"/>
        <c:axId val="1884631680"/>
        <c:axId val="1884635520"/>
      </c:barChart>
      <c:catAx>
        <c:axId val="18846316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rgbClr val="FFC000"/>
                </a:solidFill>
                <a:latin typeface="+mn-lt"/>
                <a:ea typeface="+mn-ea"/>
                <a:cs typeface="+mn-cs"/>
              </a:defRPr>
            </a:pPr>
            <a:endParaRPr lang="en-US"/>
          </a:p>
        </c:txPr>
        <c:crossAx val="1884635520"/>
        <c:crosses val="autoZero"/>
        <c:auto val="1"/>
        <c:lblAlgn val="ctr"/>
        <c:lblOffset val="100"/>
        <c:noMultiLvlLbl val="0"/>
      </c:catAx>
      <c:valAx>
        <c:axId val="188463552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C000"/>
                </a:solidFill>
                <a:latin typeface="+mn-lt"/>
                <a:ea typeface="+mn-ea"/>
                <a:cs typeface="+mn-cs"/>
              </a:defRPr>
            </a:pPr>
            <a:endParaRPr lang="en-US"/>
          </a:p>
        </c:txPr>
        <c:crossAx val="18846316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[Excercise 1.xlsx]Pivot Table!2. User Engagement Metrics: 1.0</c:name>
    <c:fmtId val="4"/>
  </c:pivotSource>
  <c:chart>
    <c:title>
      <c:tx>
        <c:rich>
          <a:bodyPr rot="0" spcFirstLastPara="1" vertOverflow="ellipsis" vert="horz" wrap="square" anchor="ctr" anchorCtr="1"/>
          <a:lstStyle/>
          <a:p>
            <a:pPr algn="l">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u="sng"/>
              <a:t>Consumption</a:t>
            </a:r>
            <a:r>
              <a:rPr lang="en-IN" sz="1200" u="sng" baseline="0"/>
              <a:t> Mix Of Movies Vs. Series</a:t>
            </a:r>
            <a:endParaRPr lang="en-IN" sz="1200" u="sng"/>
          </a:p>
        </c:rich>
      </c:tx>
      <c:layout>
        <c:manualLayout>
          <c:xMode val="edge"/>
          <c:yMode val="edge"/>
          <c:x val="2.0735182217041466E-2"/>
          <c:y val="3.5851400180668472E-2"/>
        </c:manualLayout>
      </c:layout>
      <c:overlay val="1"/>
      <c:spPr>
        <a:noFill/>
        <a:ln>
          <a:noFill/>
        </a:ln>
        <a:effectLst/>
      </c:spPr>
      <c:txPr>
        <a:bodyPr rot="0" spcFirstLastPara="1" vertOverflow="ellipsis" vert="horz" wrap="square" anchor="ctr" anchorCtr="1"/>
        <a:lstStyle/>
        <a:p>
          <a:pPr algn="l">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19960966417659E-2"/>
          <c:y val="0.2424160499250898"/>
          <c:w val="0.89442004845548151"/>
          <c:h val="0.60242500535072596"/>
        </c:manualLayout>
      </c:layout>
      <c:barChart>
        <c:barDir val="col"/>
        <c:grouping val="stacked"/>
        <c:varyColors val="0"/>
        <c:ser>
          <c:idx val="0"/>
          <c:order val="0"/>
          <c:tx>
            <c:strRef>
              <c:f>'Pivot Table'!$M$4</c:f>
              <c:strCache>
                <c:ptCount val="1"/>
                <c:pt idx="0">
                  <c:v>No. of Movies Watched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Table'!$L$5:$L$10</c:f>
              <c:strCache>
                <c:ptCount val="5"/>
                <c:pt idx="0">
                  <c:v>18-24</c:v>
                </c:pt>
                <c:pt idx="1">
                  <c:v>25-34</c:v>
                </c:pt>
                <c:pt idx="2">
                  <c:v>35-44</c:v>
                </c:pt>
                <c:pt idx="3">
                  <c:v>45-54</c:v>
                </c:pt>
                <c:pt idx="4">
                  <c:v>55+</c:v>
                </c:pt>
              </c:strCache>
            </c:strRef>
          </c:cat>
          <c:val>
            <c:numRef>
              <c:f>'Pivot Table'!$M$5:$M$10</c:f>
              <c:numCache>
                <c:formatCode>0</c:formatCode>
                <c:ptCount val="5"/>
                <c:pt idx="0">
                  <c:v>522.77777777777783</c:v>
                </c:pt>
                <c:pt idx="1">
                  <c:v>502.71</c:v>
                </c:pt>
                <c:pt idx="2">
                  <c:v>532.0386473429952</c:v>
                </c:pt>
                <c:pt idx="3">
                  <c:v>500.98557692307691</c:v>
                </c:pt>
                <c:pt idx="4">
                  <c:v>521.55121951219508</c:v>
                </c:pt>
              </c:numCache>
            </c:numRef>
          </c:val>
          <c:extLst>
            <c:ext xmlns:c16="http://schemas.microsoft.com/office/drawing/2014/chart" uri="{C3380CC4-5D6E-409C-BE32-E72D297353CC}">
              <c16:uniqueId val="{00000000-FBBF-416E-B2D8-A7B1FC4846B4}"/>
            </c:ext>
          </c:extLst>
        </c:ser>
        <c:ser>
          <c:idx val="1"/>
          <c:order val="1"/>
          <c:tx>
            <c:strRef>
              <c:f>'Pivot Table'!$N$4</c:f>
              <c:strCache>
                <c:ptCount val="1"/>
                <c:pt idx="0">
                  <c:v>No. of Series Watched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Table'!$L$5:$L$10</c:f>
              <c:strCache>
                <c:ptCount val="5"/>
                <c:pt idx="0">
                  <c:v>18-24</c:v>
                </c:pt>
                <c:pt idx="1">
                  <c:v>25-34</c:v>
                </c:pt>
                <c:pt idx="2">
                  <c:v>35-44</c:v>
                </c:pt>
                <c:pt idx="3">
                  <c:v>45-54</c:v>
                </c:pt>
                <c:pt idx="4">
                  <c:v>55+</c:v>
                </c:pt>
              </c:strCache>
            </c:strRef>
          </c:cat>
          <c:val>
            <c:numRef>
              <c:f>'Pivot Table'!$N$5:$N$10</c:f>
              <c:numCache>
                <c:formatCode>0</c:formatCode>
                <c:ptCount val="5"/>
                <c:pt idx="0">
                  <c:v>109.94444444444444</c:v>
                </c:pt>
                <c:pt idx="1">
                  <c:v>93.155000000000001</c:v>
                </c:pt>
                <c:pt idx="2">
                  <c:v>98.80193236714976</c:v>
                </c:pt>
                <c:pt idx="3">
                  <c:v>105.87980769230769</c:v>
                </c:pt>
                <c:pt idx="4">
                  <c:v>91.951219512195124</c:v>
                </c:pt>
              </c:numCache>
            </c:numRef>
          </c:val>
          <c:extLst>
            <c:ext xmlns:c16="http://schemas.microsoft.com/office/drawing/2014/chart" uri="{C3380CC4-5D6E-409C-BE32-E72D297353CC}">
              <c16:uniqueId val="{00000001-FBBF-416E-B2D8-A7B1FC4846B4}"/>
            </c:ext>
          </c:extLst>
        </c:ser>
        <c:dLbls>
          <c:showLegendKey val="0"/>
          <c:showVal val="0"/>
          <c:showCatName val="0"/>
          <c:showSerName val="0"/>
          <c:showPercent val="0"/>
          <c:showBubbleSize val="0"/>
        </c:dLbls>
        <c:gapWidth val="100"/>
        <c:overlap val="100"/>
        <c:axId val="1970257408"/>
        <c:axId val="1970251168"/>
      </c:barChart>
      <c:catAx>
        <c:axId val="19702574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rgbClr val="FFC000"/>
                </a:solidFill>
                <a:latin typeface="+mn-lt"/>
                <a:ea typeface="+mn-ea"/>
                <a:cs typeface="+mn-cs"/>
              </a:defRPr>
            </a:pPr>
            <a:endParaRPr lang="en-US"/>
          </a:p>
        </c:txPr>
        <c:crossAx val="1970251168"/>
        <c:crosses val="autoZero"/>
        <c:auto val="1"/>
        <c:lblAlgn val="ctr"/>
        <c:lblOffset val="100"/>
        <c:noMultiLvlLbl val="0"/>
      </c:catAx>
      <c:valAx>
        <c:axId val="19702511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C000"/>
                </a:solidFill>
                <a:latin typeface="+mn-lt"/>
                <a:ea typeface="+mn-ea"/>
                <a:cs typeface="+mn-cs"/>
              </a:defRPr>
            </a:pPr>
            <a:endParaRPr lang="en-US"/>
          </a:p>
        </c:txPr>
        <c:crossAx val="1970257408"/>
        <c:crosses val="autoZero"/>
        <c:crossBetween val="between"/>
      </c:valAx>
      <c:spPr>
        <a:noFill/>
        <a:ln>
          <a:noFill/>
        </a:ln>
        <a:effectLst/>
      </c:spPr>
    </c:plotArea>
    <c:legend>
      <c:legendPos val="b"/>
      <c:layout>
        <c:manualLayout>
          <c:xMode val="edge"/>
          <c:yMode val="edge"/>
          <c:x val="0.67995385793121998"/>
          <c:y val="1.4872202133531592E-3"/>
          <c:w val="0.31583993707517333"/>
          <c:h val="0.1766975882306557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[Excercise 1.xlsx]Pivot Table!2. User Engagement Metrics: 1.2</c:name>
    <c:fmtId val="3"/>
  </c:pivotSource>
  <c:chart>
    <c:title>
      <c:tx>
        <c:rich>
          <a:bodyPr rot="0" spcFirstLastPara="1" vertOverflow="ellipsis" vert="horz" wrap="square" anchor="ctr" anchorCtr="1"/>
          <a:lstStyle/>
          <a:p>
            <a:pPr>
              <a:defRPr sz="1050" b="1" i="0" u="sng" strike="noStrike" kern="1200" cap="all" spc="100" normalizeH="0" baseline="0">
                <a:solidFill>
                  <a:schemeClr val="bg1">
                    <a:lumMod val="85000"/>
                  </a:schemeClr>
                </a:solidFill>
                <a:latin typeface="+mn-lt"/>
                <a:ea typeface="+mn-ea"/>
                <a:cs typeface="+mn-cs"/>
              </a:defRPr>
            </a:pPr>
            <a:r>
              <a:rPr lang="en-IN" sz="1050" u="sng">
                <a:solidFill>
                  <a:schemeClr val="bg1">
                    <a:lumMod val="85000"/>
                  </a:schemeClr>
                </a:solidFill>
              </a:rPr>
              <a:t>impact of recommendation on engagement</a:t>
            </a:r>
          </a:p>
        </c:rich>
      </c:tx>
      <c:layout>
        <c:manualLayout>
          <c:xMode val="edge"/>
          <c:yMode val="edge"/>
          <c:x val="0.70247382769615452"/>
          <c:y val="9.5365892768227122E-3"/>
        </c:manualLayout>
      </c:layout>
      <c:overlay val="1"/>
      <c:spPr>
        <a:noFill/>
        <a:ln>
          <a:noFill/>
        </a:ln>
        <a:effectLst/>
      </c:spPr>
      <c:txPr>
        <a:bodyPr rot="0" spcFirstLastPara="1" vertOverflow="ellipsis" vert="horz" wrap="square" anchor="ctr" anchorCtr="1"/>
        <a:lstStyle/>
        <a:p>
          <a:pPr>
            <a:defRPr sz="1050" b="1" i="0" u="sng" strike="noStrike" kern="1200" cap="all" spc="100" normalizeH="0" baseline="0">
              <a:solidFill>
                <a:schemeClr val="bg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Table'!$M$24</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Table'!$L$25:$L$30</c:f>
              <c:strCache>
                <c:ptCount val="5"/>
                <c:pt idx="0">
                  <c:v>0-20</c:v>
                </c:pt>
                <c:pt idx="1">
                  <c:v>21-40</c:v>
                </c:pt>
                <c:pt idx="2">
                  <c:v>41-60</c:v>
                </c:pt>
                <c:pt idx="3">
                  <c:v>61-80</c:v>
                </c:pt>
                <c:pt idx="4">
                  <c:v>81-100</c:v>
                </c:pt>
              </c:strCache>
            </c:strRef>
          </c:cat>
          <c:val>
            <c:numRef>
              <c:f>'Pivot Table'!$M$25:$M$30</c:f>
              <c:numCache>
                <c:formatCode>0</c:formatCode>
                <c:ptCount val="5"/>
                <c:pt idx="0">
                  <c:v>260.286432160804</c:v>
                </c:pt>
                <c:pt idx="1">
                  <c:v>254.64772727272728</c:v>
                </c:pt>
                <c:pt idx="2">
                  <c:v>247.54761904761904</c:v>
                </c:pt>
                <c:pt idx="3">
                  <c:v>267.15499999999997</c:v>
                </c:pt>
                <c:pt idx="4">
                  <c:v>244.11627906976744</c:v>
                </c:pt>
              </c:numCache>
            </c:numRef>
          </c:val>
          <c:smooth val="0"/>
          <c:extLst>
            <c:ext xmlns:c16="http://schemas.microsoft.com/office/drawing/2014/chart" uri="{C3380CC4-5D6E-409C-BE32-E72D297353CC}">
              <c16:uniqueId val="{00000000-377F-45D0-AB3C-D3E94830723E}"/>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83051312"/>
        <c:axId val="1883054672"/>
      </c:lineChart>
      <c:catAx>
        <c:axId val="188305131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1" i="0" u="none" strike="noStrike" kern="1200" spc="100" baseline="0">
                <a:solidFill>
                  <a:srgbClr val="FFC000"/>
                </a:solidFill>
                <a:latin typeface="+mn-lt"/>
                <a:ea typeface="+mn-ea"/>
                <a:cs typeface="+mn-cs"/>
              </a:defRPr>
            </a:pPr>
            <a:endParaRPr lang="en-US"/>
          </a:p>
        </c:txPr>
        <c:crossAx val="1883054672"/>
        <c:crosses val="autoZero"/>
        <c:auto val="1"/>
        <c:lblAlgn val="ctr"/>
        <c:lblOffset val="100"/>
        <c:noMultiLvlLbl val="0"/>
      </c:catAx>
      <c:valAx>
        <c:axId val="18830546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C000"/>
                </a:solidFill>
                <a:latin typeface="+mn-lt"/>
                <a:ea typeface="+mn-ea"/>
                <a:cs typeface="+mn-cs"/>
              </a:defRPr>
            </a:pPr>
            <a:endParaRPr lang="en-US"/>
          </a:p>
        </c:txPr>
        <c:crossAx val="188305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[Excercise 1.xlsx]Pivot Table!3. Demographic &amp; Behavioral Insights: 1.2</c:name>
    <c:fmtId val="4"/>
  </c:pivotSource>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IN" sz="1200" u="sng">
                <a:solidFill>
                  <a:schemeClr val="tx1">
                    <a:lumMod val="65000"/>
                    <a:lumOff val="35000"/>
                  </a:schemeClr>
                </a:solidFill>
              </a:rPr>
              <a:t>Peak Watch Time Trends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Table'!$S$22</c:f>
              <c:strCache>
                <c:ptCount val="1"/>
                <c:pt idx="0">
                  <c:v>Users Count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Table'!$R$23:$R$27</c:f>
              <c:strCache>
                <c:ptCount val="4"/>
                <c:pt idx="0">
                  <c:v>Morning</c:v>
                </c:pt>
                <c:pt idx="1">
                  <c:v>Afternoon</c:v>
                </c:pt>
                <c:pt idx="2">
                  <c:v>Evening</c:v>
                </c:pt>
                <c:pt idx="3">
                  <c:v>Late Night</c:v>
                </c:pt>
              </c:strCache>
            </c:strRef>
          </c:cat>
          <c:val>
            <c:numRef>
              <c:f>'Pivot Table'!$S$23:$S$27</c:f>
              <c:numCache>
                <c:formatCode>General</c:formatCode>
                <c:ptCount val="4"/>
                <c:pt idx="0">
                  <c:v>222</c:v>
                </c:pt>
                <c:pt idx="1">
                  <c:v>251</c:v>
                </c:pt>
                <c:pt idx="2">
                  <c:v>256</c:v>
                </c:pt>
                <c:pt idx="3">
                  <c:v>271</c:v>
                </c:pt>
              </c:numCache>
            </c:numRef>
          </c:val>
          <c:extLst>
            <c:ext xmlns:c16="http://schemas.microsoft.com/office/drawing/2014/chart" uri="{C3380CC4-5D6E-409C-BE32-E72D297353CC}">
              <c16:uniqueId val="{00000000-08AB-4094-9423-93D06DE06311}"/>
            </c:ext>
          </c:extLst>
        </c:ser>
        <c:ser>
          <c:idx val="1"/>
          <c:order val="1"/>
          <c:tx>
            <c:strRef>
              <c:f>'Pivot Table'!$T$22</c:f>
              <c:strCache>
                <c:ptCount val="1"/>
                <c:pt idx="0">
                  <c:v>Average of Watch_Hours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Table'!$R$23:$R$27</c:f>
              <c:strCache>
                <c:ptCount val="4"/>
                <c:pt idx="0">
                  <c:v>Morning</c:v>
                </c:pt>
                <c:pt idx="1">
                  <c:v>Afternoon</c:v>
                </c:pt>
                <c:pt idx="2">
                  <c:v>Evening</c:v>
                </c:pt>
                <c:pt idx="3">
                  <c:v>Late Night</c:v>
                </c:pt>
              </c:strCache>
            </c:strRef>
          </c:cat>
          <c:val>
            <c:numRef>
              <c:f>'Pivot Table'!$T$23:$T$27</c:f>
              <c:numCache>
                <c:formatCode>0</c:formatCode>
                <c:ptCount val="4"/>
                <c:pt idx="0">
                  <c:v>272.32882882882882</c:v>
                </c:pt>
                <c:pt idx="1">
                  <c:v>247.07968127490039</c:v>
                </c:pt>
                <c:pt idx="2">
                  <c:v>255.39453125</c:v>
                </c:pt>
                <c:pt idx="3">
                  <c:v>245.98154981549814</c:v>
                </c:pt>
              </c:numCache>
            </c:numRef>
          </c:val>
          <c:extLst>
            <c:ext xmlns:c16="http://schemas.microsoft.com/office/drawing/2014/chart" uri="{C3380CC4-5D6E-409C-BE32-E72D297353CC}">
              <c16:uniqueId val="{00000001-08AB-4094-9423-93D06DE06311}"/>
            </c:ext>
          </c:extLst>
        </c:ser>
        <c:dLbls>
          <c:showLegendKey val="0"/>
          <c:showVal val="0"/>
          <c:showCatName val="0"/>
          <c:showSerName val="0"/>
          <c:showPercent val="0"/>
          <c:showBubbleSize val="0"/>
        </c:dLbls>
        <c:gapWidth val="75"/>
        <c:overlap val="-25"/>
        <c:axId val="1672078064"/>
        <c:axId val="1672080464"/>
      </c:barChart>
      <c:catAx>
        <c:axId val="16720780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tx1">
                    <a:lumMod val="95000"/>
                    <a:lumOff val="5000"/>
                  </a:schemeClr>
                </a:solidFill>
                <a:latin typeface="+mn-lt"/>
                <a:ea typeface="+mn-ea"/>
                <a:cs typeface="+mn-cs"/>
              </a:defRPr>
            </a:pPr>
            <a:endParaRPr lang="en-US"/>
          </a:p>
        </c:txPr>
        <c:crossAx val="1672080464"/>
        <c:crosses val="autoZero"/>
        <c:auto val="1"/>
        <c:lblAlgn val="ctr"/>
        <c:lblOffset val="100"/>
        <c:noMultiLvlLbl val="0"/>
      </c:catAx>
      <c:valAx>
        <c:axId val="1672080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crossAx val="167207806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[Excercise 1.xlsx]Pivot Table!3. Demographic &amp; Behavioral Insights: 1.1</c:name>
    <c:fmtId val="3"/>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IN" sz="1200" u="sng">
                <a:solidFill>
                  <a:schemeClr val="tx1">
                    <a:lumMod val="75000"/>
                    <a:lumOff val="25000"/>
                  </a:schemeClr>
                </a:solidFill>
              </a:rPr>
              <a:t>Device Usage Trends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Table'!$S$13</c:f>
              <c:strCache>
                <c:ptCount val="1"/>
                <c:pt idx="0">
                  <c:v>Users Count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Table'!$R$14:$R$19</c:f>
              <c:strCache>
                <c:ptCount val="5"/>
                <c:pt idx="0">
                  <c:v>Smartphone</c:v>
                </c:pt>
                <c:pt idx="1">
                  <c:v>Tablet</c:v>
                </c:pt>
                <c:pt idx="2">
                  <c:v>Laptop</c:v>
                </c:pt>
                <c:pt idx="3">
                  <c:v>Desktop</c:v>
                </c:pt>
                <c:pt idx="4">
                  <c:v>Smart TV</c:v>
                </c:pt>
              </c:strCache>
            </c:strRef>
          </c:cat>
          <c:val>
            <c:numRef>
              <c:f>'Pivot Table'!$S$14:$S$19</c:f>
              <c:numCache>
                <c:formatCode>General</c:formatCode>
                <c:ptCount val="5"/>
                <c:pt idx="0">
                  <c:v>209</c:v>
                </c:pt>
                <c:pt idx="1">
                  <c:v>215</c:v>
                </c:pt>
                <c:pt idx="2">
                  <c:v>178</c:v>
                </c:pt>
                <c:pt idx="3">
                  <c:v>189</c:v>
                </c:pt>
                <c:pt idx="4">
                  <c:v>209</c:v>
                </c:pt>
              </c:numCache>
            </c:numRef>
          </c:val>
          <c:extLst>
            <c:ext xmlns:c16="http://schemas.microsoft.com/office/drawing/2014/chart" uri="{C3380CC4-5D6E-409C-BE32-E72D297353CC}">
              <c16:uniqueId val="{00000000-6BBC-4050-8D8B-5D24BA341BE8}"/>
            </c:ext>
          </c:extLst>
        </c:ser>
        <c:ser>
          <c:idx val="1"/>
          <c:order val="1"/>
          <c:tx>
            <c:strRef>
              <c:f>'Pivot Table'!$T$13</c:f>
              <c:strCache>
                <c:ptCount val="1"/>
                <c:pt idx="0">
                  <c:v>Count of User_ID2</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Table'!$R$14:$R$19</c:f>
              <c:strCache>
                <c:ptCount val="5"/>
                <c:pt idx="0">
                  <c:v>Smartphone</c:v>
                </c:pt>
                <c:pt idx="1">
                  <c:v>Tablet</c:v>
                </c:pt>
                <c:pt idx="2">
                  <c:v>Laptop</c:v>
                </c:pt>
                <c:pt idx="3">
                  <c:v>Desktop</c:v>
                </c:pt>
                <c:pt idx="4">
                  <c:v>Smart TV</c:v>
                </c:pt>
              </c:strCache>
            </c:strRef>
          </c:cat>
          <c:val>
            <c:numRef>
              <c:f>'Pivot Table'!$T$14:$T$19</c:f>
              <c:numCache>
                <c:formatCode>0%</c:formatCode>
                <c:ptCount val="5"/>
                <c:pt idx="0">
                  <c:v>0.20899999999999999</c:v>
                </c:pt>
                <c:pt idx="1">
                  <c:v>0.215</c:v>
                </c:pt>
                <c:pt idx="2">
                  <c:v>0.17799999999999999</c:v>
                </c:pt>
                <c:pt idx="3">
                  <c:v>0.189</c:v>
                </c:pt>
                <c:pt idx="4">
                  <c:v>0.20899999999999999</c:v>
                </c:pt>
              </c:numCache>
            </c:numRef>
          </c:val>
          <c:extLst>
            <c:ext xmlns:c16="http://schemas.microsoft.com/office/drawing/2014/chart" uri="{C3380CC4-5D6E-409C-BE32-E72D297353CC}">
              <c16:uniqueId val="{00000001-6BBC-4050-8D8B-5D24BA341BE8}"/>
            </c:ext>
          </c:extLst>
        </c:ser>
        <c:dLbls>
          <c:dLblPos val="ctr"/>
          <c:showLegendKey val="0"/>
          <c:showVal val="1"/>
          <c:showCatName val="0"/>
          <c:showSerName val="0"/>
          <c:showPercent val="0"/>
          <c:showBubbleSize val="0"/>
        </c:dLbls>
        <c:gapWidth val="100"/>
        <c:overlap val="100"/>
        <c:axId val="201522384"/>
        <c:axId val="201529104"/>
      </c:barChart>
      <c:catAx>
        <c:axId val="2015223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201529104"/>
        <c:crosses val="autoZero"/>
        <c:auto val="1"/>
        <c:lblAlgn val="ctr"/>
        <c:lblOffset val="100"/>
        <c:noMultiLvlLbl val="0"/>
      </c:catAx>
      <c:valAx>
        <c:axId val="201529104"/>
        <c:scaling>
          <c:orientation val="minMax"/>
        </c:scaling>
        <c:delete val="0"/>
        <c:axPos val="b"/>
        <c:numFmt formatCode="General" sourceLinked="1"/>
        <c:majorTickMark val="out"/>
        <c:minorTickMark val="none"/>
        <c:tickLblPos val="nextTo"/>
        <c:spPr>
          <a:noFill/>
          <a:ln w="19050">
            <a:solidFill>
              <a:schemeClr val="tx1">
                <a:lumMod val="65000"/>
                <a:lumOff val="35000"/>
              </a:schemeClr>
            </a:solid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1522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[Excercise 1.xlsx]Pivot Table!4. Retention &amp; Loyalty: 1.0</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200" u="sng">
                <a:solidFill>
                  <a:schemeClr val="tx1">
                    <a:lumMod val="75000"/>
                    <a:lumOff val="25000"/>
                  </a:schemeClr>
                </a:solidFill>
              </a:rPr>
              <a:t>Membership</a:t>
            </a:r>
            <a:r>
              <a:rPr lang="en-IN" sz="1200" u="sng" baseline="0">
                <a:solidFill>
                  <a:schemeClr val="tx1">
                    <a:lumMod val="75000"/>
                    <a:lumOff val="25000"/>
                  </a:schemeClr>
                </a:solidFill>
              </a:rPr>
              <a:t> Status</a:t>
            </a:r>
            <a:endParaRPr lang="en-IN" sz="1200" u="sng">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spPr>
          <a:solidFill>
            <a:schemeClr val="accent1">
              <a:lumMod val="75000"/>
            </a:schemeClr>
          </a:solidFill>
          <a:ln w="25400">
            <a:solidFill>
              <a:schemeClr val="bg1"/>
            </a:solidFill>
          </a:ln>
          <a:effectLst>
            <a:outerShdw blurRad="50800" dist="38100" algn="l" rotWithShape="0">
              <a:prstClr val="black">
                <a:alpha val="4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lumMod val="75000"/>
            </a:schemeClr>
          </a:solidFill>
          <a:ln w="19050">
            <a:solidFill>
              <a:schemeClr val="bg1"/>
            </a:solidFill>
          </a:ln>
          <a:effectLst>
            <a:outerShdw blurRad="50800" dist="38100" algn="l" rotWithShape="0">
              <a:prstClr val="black">
                <a:alpha val="40000"/>
              </a:prstClr>
            </a:outerShdw>
          </a:effectLst>
        </c:spPr>
      </c:pivotFmt>
    </c:pivotFmts>
    <c:plotArea>
      <c:layout/>
      <c:pieChart>
        <c:varyColors val="1"/>
        <c:ser>
          <c:idx val="0"/>
          <c:order val="0"/>
          <c:tx>
            <c:strRef>
              <c:f>'Pivot Table'!$AC$5</c:f>
              <c:strCache>
                <c:ptCount val="1"/>
                <c:pt idx="0">
                  <c:v>Total</c:v>
                </c:pt>
              </c:strCache>
            </c:strRef>
          </c:tx>
          <c:spPr>
            <a:solidFill>
              <a:schemeClr val="accent1">
                <a:lumMod val="75000"/>
              </a:schemeClr>
            </a:solidFill>
            <a:ln w="25400">
              <a:solidFill>
                <a:schemeClr val="bg1"/>
              </a:solidFill>
            </a:ln>
            <a:effectLst>
              <a:outerShdw blurRad="50800" dist="38100" algn="l" rotWithShape="0">
                <a:prstClr val="black">
                  <a:alpha val="40000"/>
                </a:prstClr>
              </a:outerShdw>
            </a:effectLst>
          </c:spPr>
          <c:dPt>
            <c:idx val="0"/>
            <c:bubble3D val="0"/>
            <c:spPr>
              <a:solidFill>
                <a:schemeClr val="accent1">
                  <a:lumMod val="75000"/>
                </a:schemeClr>
              </a:solidFill>
              <a:ln w="19050">
                <a:solidFill>
                  <a:schemeClr val="bg1"/>
                </a:solidFill>
              </a:ln>
              <a:effectLst>
                <a:outerShdw blurRad="50800" dist="38100" algn="l" rotWithShape="0">
                  <a:prstClr val="black">
                    <a:alpha val="40000"/>
                  </a:prstClr>
                </a:outerShdw>
              </a:effectLst>
            </c:spPr>
            <c:extLst>
              <c:ext xmlns:c16="http://schemas.microsoft.com/office/drawing/2014/chart" uri="{C3380CC4-5D6E-409C-BE32-E72D297353CC}">
                <c16:uniqueId val="{00000001-2CB6-47C7-AF5D-DDF6FE86555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Table'!$AB$6:$AB$7</c:f>
              <c:strCache>
                <c:ptCount val="1"/>
                <c:pt idx="0">
                  <c:v>Active</c:v>
                </c:pt>
              </c:strCache>
            </c:strRef>
          </c:cat>
          <c:val>
            <c:numRef>
              <c:f>'Pivot Table'!$AC$6:$AC$7</c:f>
              <c:numCache>
                <c:formatCode>General</c:formatCode>
                <c:ptCount val="1"/>
                <c:pt idx="0">
                  <c:v>1000</c:v>
                </c:pt>
              </c:numCache>
            </c:numRef>
          </c:val>
          <c:extLst>
            <c:ext xmlns:c16="http://schemas.microsoft.com/office/drawing/2014/chart" uri="{C3380CC4-5D6E-409C-BE32-E72D297353CC}">
              <c16:uniqueId val="{00000002-2CB6-47C7-AF5D-DDF6FE86555E}"/>
            </c:ext>
          </c:extLst>
        </c:ser>
        <c:dLbls>
          <c:dLblPos val="ctr"/>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[Excercise 1.xlsx]Pivot Table!4. Retention &amp; Loyalty: 1.1</c:name>
    <c:fmtId val="4"/>
  </c:pivotSource>
  <c:chart>
    <c:title>
      <c:tx>
        <c:rich>
          <a:bodyPr rot="0" spcFirstLastPara="1" vertOverflow="ellipsis" vert="horz" wrap="square" anchor="ctr" anchorCtr="1"/>
          <a:lstStyle/>
          <a:p>
            <a:pPr>
              <a:defRPr b="0" i="0" u="none" strike="noStrike" kern="1200" baseline="0">
                <a:solidFill>
                  <a:schemeClr val="tx1">
                    <a:lumMod val="75000"/>
                    <a:lumOff val="25000"/>
                  </a:schemeClr>
                </a:solidFill>
                <a:effectLst/>
                <a:latin typeface="+mn-lt"/>
                <a:ea typeface="+mn-ea"/>
                <a:cs typeface="+mn-cs"/>
              </a:defRPr>
            </a:pPr>
            <a:r>
              <a:rPr lang="en-IN" sz="1200" b="1" u="sng">
                <a:solidFill>
                  <a:schemeClr val="tx1">
                    <a:lumMod val="75000"/>
                    <a:lumOff val="25000"/>
                  </a:schemeClr>
                </a:solidFill>
              </a:rPr>
              <a:t>Loyalty Points Distribution</a:t>
            </a:r>
          </a:p>
        </c:rich>
      </c:tx>
      <c:layout>
        <c:manualLayout>
          <c:xMode val="edge"/>
          <c:yMode val="edge"/>
          <c:x val="0.61198600174978113"/>
          <c:y val="2.3148148148148147E-2"/>
        </c:manualLayout>
      </c:layout>
      <c:overlay val="1"/>
      <c:spPr>
        <a:noFill/>
        <a:ln>
          <a:noFill/>
        </a:ln>
        <a:effectLst/>
      </c:spPr>
      <c:txPr>
        <a:bodyPr rot="0" spcFirstLastPara="1" vertOverflow="ellipsis" vert="horz" wrap="square" anchor="ctr" anchorCtr="1"/>
        <a:lstStyle/>
        <a:p>
          <a:pPr>
            <a:defRPr b="0" i="0" u="none" strike="noStrike" kern="1200" baseline="0">
              <a:solidFill>
                <a:schemeClr val="tx1">
                  <a:lumMod val="75000"/>
                  <a:lumOff val="2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w="19050">
            <a:solidFill>
              <a:schemeClr val="bg1"/>
            </a:solid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w="19050">
            <a:solidFill>
              <a:schemeClr val="bg1"/>
            </a:solidFill>
          </a:ln>
          <a:effectLst>
            <a:outerShdw blurRad="76200" dir="18900000" sy="23000" kx="-1200000" algn="bl" rotWithShape="0">
              <a:prstClr val="black">
                <a:alpha val="20000"/>
              </a:prstClr>
            </a:outerShdw>
          </a:effectLst>
        </c:spPr>
      </c:pivotFmt>
      <c:pivotFmt>
        <c:idx val="4"/>
        <c:spPr>
          <a:solidFill>
            <a:schemeClr val="accent1">
              <a:lumMod val="60000"/>
              <a:lumOff val="40000"/>
            </a:schemeClr>
          </a:solidFill>
          <a:ln w="19050">
            <a:solidFill>
              <a:schemeClr val="bg1"/>
            </a:solidFill>
          </a:ln>
          <a:effectLst>
            <a:outerShdw blurRad="76200" dir="18900000" sy="23000" kx="-1200000" algn="bl" rotWithShape="0">
              <a:prstClr val="black">
                <a:alpha val="20000"/>
              </a:prstClr>
            </a:outerShdw>
          </a:effectLst>
        </c:spPr>
      </c:pivotFmt>
      <c:pivotFmt>
        <c:idx val="5"/>
        <c:spPr>
          <a:solidFill>
            <a:schemeClr val="accent1">
              <a:lumMod val="40000"/>
              <a:lumOff val="60000"/>
            </a:schemeClr>
          </a:solidFill>
          <a:ln w="19050">
            <a:solidFill>
              <a:schemeClr val="bg1"/>
            </a:solidFill>
          </a:ln>
          <a:effectLst>
            <a:outerShdw blurRad="76200" dir="18900000" sy="23000" kx="-1200000" algn="bl" rotWithShape="0">
              <a:prstClr val="black">
                <a:alpha val="20000"/>
              </a:prstClr>
            </a:outerShdw>
          </a:effectLst>
        </c:spPr>
      </c:pivotFmt>
      <c:pivotFmt>
        <c:idx val="6"/>
        <c:spPr>
          <a:solidFill>
            <a:schemeClr val="accent1">
              <a:lumMod val="40000"/>
              <a:lumOff val="60000"/>
            </a:schemeClr>
          </a:solidFill>
          <a:ln w="19050">
            <a:solidFill>
              <a:schemeClr val="bg1"/>
            </a:solidFill>
          </a:ln>
          <a:effectLst>
            <a:outerShdw blurRad="76200" dir="18900000" sy="23000" kx="-1200000" algn="bl" rotWithShape="0">
              <a:prstClr val="black">
                <a:alpha val="20000"/>
              </a:prstClr>
            </a:outerShdw>
          </a:effectLst>
        </c:spPr>
      </c:pivotFmt>
      <c:pivotFmt>
        <c:idx val="7"/>
        <c:spPr>
          <a:solidFill>
            <a:schemeClr val="accent1">
              <a:lumMod val="50000"/>
            </a:schemeClr>
          </a:solidFill>
          <a:ln w="19050">
            <a:solidFill>
              <a:schemeClr val="bg1"/>
            </a:solidFill>
          </a:ln>
          <a:effectLst>
            <a:outerShdw blurRad="76200" dir="18900000" sy="23000" kx="-1200000" algn="bl" rotWithShape="0">
              <a:prstClr val="black">
                <a:alpha val="20000"/>
              </a:prstClr>
            </a:outerShdw>
          </a:effectLst>
        </c:spPr>
      </c:pivotFmt>
    </c:pivotFmts>
    <c:plotArea>
      <c:layout/>
      <c:barChart>
        <c:barDir val="col"/>
        <c:grouping val="clustered"/>
        <c:varyColors val="0"/>
        <c:ser>
          <c:idx val="0"/>
          <c:order val="0"/>
          <c:tx>
            <c:strRef>
              <c:f>'Pivot Table'!$AC$10</c:f>
              <c:strCache>
                <c:ptCount val="1"/>
                <c:pt idx="0">
                  <c:v>Total</c:v>
                </c:pt>
              </c:strCache>
            </c:strRef>
          </c:tx>
          <c:spPr>
            <a:solidFill>
              <a:schemeClr val="accent1">
                <a:lumMod val="75000"/>
              </a:schemeClr>
            </a:solidFill>
            <a:ln w="19050">
              <a:solidFill>
                <a:schemeClr val="bg1"/>
              </a:solidFill>
            </a:ln>
            <a:effectLst>
              <a:outerShdw blurRad="76200" dir="18900000" sy="23000" kx="-1200000" algn="bl" rotWithShape="0">
                <a:prstClr val="black">
                  <a:alpha val="20000"/>
                </a:prstClr>
              </a:outerShdw>
            </a:effectLst>
          </c:spPr>
          <c:invertIfNegative val="0"/>
          <c:dPt>
            <c:idx val="1"/>
            <c:invertIfNegative val="0"/>
            <c:bubble3D val="0"/>
            <c:spPr>
              <a:solidFill>
                <a:schemeClr val="accent1">
                  <a:lumMod val="50000"/>
                </a:schemeClr>
              </a:solidFill>
              <a:ln w="19050">
                <a:solidFill>
                  <a:schemeClr val="bg1"/>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7-34A2-4D72-8BC1-523A39F86821}"/>
              </c:ext>
            </c:extLst>
          </c:dPt>
          <c:dPt>
            <c:idx val="2"/>
            <c:invertIfNegative val="0"/>
            <c:bubble3D val="0"/>
            <c:spPr>
              <a:solidFill>
                <a:schemeClr val="accent1">
                  <a:lumMod val="60000"/>
                  <a:lumOff val="40000"/>
                </a:schemeClr>
              </a:solidFill>
              <a:ln w="19050">
                <a:solidFill>
                  <a:schemeClr val="bg1"/>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4-34A2-4D72-8BC1-523A39F86821}"/>
              </c:ext>
            </c:extLst>
          </c:dPt>
          <c:dPt>
            <c:idx val="3"/>
            <c:invertIfNegative val="0"/>
            <c:bubble3D val="0"/>
            <c:spPr>
              <a:solidFill>
                <a:schemeClr val="accent1">
                  <a:lumMod val="40000"/>
                  <a:lumOff val="60000"/>
                </a:schemeClr>
              </a:solidFill>
              <a:ln w="19050">
                <a:solidFill>
                  <a:schemeClr val="bg1"/>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5-34A2-4D72-8BC1-523A39F86821}"/>
              </c:ext>
            </c:extLst>
          </c:dPt>
          <c:dPt>
            <c:idx val="4"/>
            <c:invertIfNegative val="0"/>
            <c:bubble3D val="0"/>
            <c:spPr>
              <a:solidFill>
                <a:schemeClr val="accent1">
                  <a:lumMod val="40000"/>
                  <a:lumOff val="60000"/>
                </a:schemeClr>
              </a:solidFill>
              <a:ln w="19050">
                <a:solidFill>
                  <a:schemeClr val="bg1"/>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6-34A2-4D72-8BC1-523A39F8682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Table'!$AB$11:$AB$16</c:f>
              <c:strCache>
                <c:ptCount val="5"/>
                <c:pt idx="0">
                  <c:v>0-1000</c:v>
                </c:pt>
                <c:pt idx="1">
                  <c:v>1001-2000</c:v>
                </c:pt>
                <c:pt idx="2">
                  <c:v>2001-3000</c:v>
                </c:pt>
                <c:pt idx="3">
                  <c:v>3001-4000</c:v>
                </c:pt>
                <c:pt idx="4">
                  <c:v>4001-5000</c:v>
                </c:pt>
              </c:strCache>
            </c:strRef>
          </c:cat>
          <c:val>
            <c:numRef>
              <c:f>'Pivot Table'!$AC$11:$AC$16</c:f>
              <c:numCache>
                <c:formatCode>General</c:formatCode>
                <c:ptCount val="5"/>
                <c:pt idx="0">
                  <c:v>207</c:v>
                </c:pt>
                <c:pt idx="1">
                  <c:v>215</c:v>
                </c:pt>
                <c:pt idx="2">
                  <c:v>196</c:v>
                </c:pt>
                <c:pt idx="3">
                  <c:v>191</c:v>
                </c:pt>
                <c:pt idx="4">
                  <c:v>191</c:v>
                </c:pt>
              </c:numCache>
            </c:numRef>
          </c:val>
          <c:extLst>
            <c:ext xmlns:c16="http://schemas.microsoft.com/office/drawing/2014/chart" uri="{C3380CC4-5D6E-409C-BE32-E72D297353CC}">
              <c16:uniqueId val="{00000000-34A2-4D72-8BC1-523A39F86821}"/>
            </c:ext>
          </c:extLst>
        </c:ser>
        <c:dLbls>
          <c:dLblPos val="inEnd"/>
          <c:showLegendKey val="0"/>
          <c:showVal val="1"/>
          <c:showCatName val="0"/>
          <c:showSerName val="0"/>
          <c:showPercent val="0"/>
          <c:showBubbleSize val="0"/>
        </c:dLbls>
        <c:gapWidth val="20"/>
        <c:axId val="201528144"/>
        <c:axId val="201519504"/>
      </c:barChart>
      <c:catAx>
        <c:axId val="201528144"/>
        <c:scaling>
          <c:orientation val="minMax"/>
        </c:scaling>
        <c:delete val="0"/>
        <c:axPos val="b"/>
        <c:numFmt formatCode="General" sourceLinked="1"/>
        <c:majorTickMark val="none"/>
        <c:minorTickMark val="none"/>
        <c:tickLblPos val="nextTo"/>
        <c:spPr>
          <a:noFill/>
          <a:ln w="9525">
            <a:solidFill>
              <a:schemeClr val="tx1"/>
            </a:solidFill>
          </a:ln>
          <a:effectLst/>
        </c:spPr>
        <c:txPr>
          <a:bodyPr rot="-60000000" spcFirstLastPara="1" vertOverflow="ellipsis" vert="horz" wrap="square" anchor="ctr" anchorCtr="1"/>
          <a:lstStyle/>
          <a:p>
            <a:pPr>
              <a:defRPr sz="900" b="1" i="0" u="none" strike="noStrike" kern="1200" baseline="0">
                <a:solidFill>
                  <a:sysClr val="windowText" lastClr="000000"/>
                </a:solidFill>
                <a:effectLst/>
                <a:latin typeface="+mn-lt"/>
                <a:ea typeface="+mn-ea"/>
                <a:cs typeface="+mn-cs"/>
              </a:defRPr>
            </a:pPr>
            <a:endParaRPr lang="en-US"/>
          </a:p>
        </c:txPr>
        <c:crossAx val="201519504"/>
        <c:crosses val="autoZero"/>
        <c:auto val="1"/>
        <c:lblAlgn val="ctr"/>
        <c:lblOffset val="100"/>
        <c:noMultiLvlLbl val="0"/>
      </c:catAx>
      <c:valAx>
        <c:axId val="201519504"/>
        <c:scaling>
          <c:orientation val="minMax"/>
        </c:scaling>
        <c:delete val="0"/>
        <c:axPos val="l"/>
        <c:numFmt formatCode="General" sourceLinked="1"/>
        <c:majorTickMark val="out"/>
        <c:minorTickMark val="none"/>
        <c:tickLblPos val="nextTo"/>
        <c:spPr>
          <a:noFill/>
          <a:ln w="9525">
            <a:solidFill>
              <a:schemeClr val="tx1"/>
            </a:solid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152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[Excercise 1.xlsx]Pivot Table!4. Retention &amp; Loyalty:1.4</c:name>
    <c:fmtId val="3"/>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sz="1100" b="1" u="sng">
                <a:solidFill>
                  <a:schemeClr val="tx1">
                    <a:lumMod val="75000"/>
                    <a:lumOff val="25000"/>
                  </a:schemeClr>
                </a:solidFill>
              </a:rPr>
              <a:t>Frequency of logins and content downloads</a:t>
            </a:r>
          </a:p>
        </c:rich>
      </c:tx>
      <c:layout>
        <c:manualLayout>
          <c:xMode val="edge"/>
          <c:yMode val="edge"/>
          <c:x val="0.37228846153846151"/>
          <c:y val="1.620906729900632E-2"/>
        </c:manualLayout>
      </c:layout>
      <c:overlay val="1"/>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spPr>
          <a:solidFill>
            <a:schemeClr val="accent1">
              <a:lumMod val="7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wrap="square" lIns="38100" tIns="36000" rIns="36000" bIns="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2">
              <a:lumMod val="75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Table'!$AF$11:$AF$12</c:f>
              <c:strCache>
                <c:ptCount val="1"/>
                <c:pt idx="0">
                  <c:v>Not Downloaded</c:v>
                </c:pt>
              </c:strCache>
            </c:strRef>
          </c:tx>
          <c:spPr>
            <a:solidFill>
              <a:schemeClr val="accent1">
                <a:lumMod val="7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wrap="square" lIns="38100" tIns="36000" rIns="36000" bIns="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lt1">
                          <a:lumMod val="50000"/>
                        </a:schemeClr>
                      </a:solidFill>
                      <a:round/>
                    </a:ln>
                    <a:effectLst/>
                  </c:spPr>
                </c15:leaderLines>
              </c:ext>
            </c:extLst>
          </c:dLbls>
          <c:cat>
            <c:strRef>
              <c:f>'Pivot Table'!$AE$13:$AE$16</c:f>
              <c:strCache>
                <c:ptCount val="3"/>
                <c:pt idx="0">
                  <c:v>Casual (0-5 Hours)</c:v>
                </c:pt>
                <c:pt idx="1">
                  <c:v>Power (15+ Hours)</c:v>
                </c:pt>
                <c:pt idx="2">
                  <c:v>Regular (6-15 Hours)</c:v>
                </c:pt>
              </c:strCache>
            </c:strRef>
          </c:cat>
          <c:val>
            <c:numRef>
              <c:f>'Pivot Table'!$AF$13:$AF$16</c:f>
              <c:numCache>
                <c:formatCode>General</c:formatCode>
                <c:ptCount val="3"/>
                <c:pt idx="0">
                  <c:v>258</c:v>
                </c:pt>
                <c:pt idx="1">
                  <c:v>80</c:v>
                </c:pt>
                <c:pt idx="2">
                  <c:v>163</c:v>
                </c:pt>
              </c:numCache>
            </c:numRef>
          </c:val>
          <c:extLst>
            <c:ext xmlns:c16="http://schemas.microsoft.com/office/drawing/2014/chart" uri="{C3380CC4-5D6E-409C-BE32-E72D297353CC}">
              <c16:uniqueId val="{00000000-8C87-423B-A4D8-EA8440D42CF8}"/>
            </c:ext>
          </c:extLst>
        </c:ser>
        <c:ser>
          <c:idx val="1"/>
          <c:order val="1"/>
          <c:tx>
            <c:strRef>
              <c:f>'Pivot Table'!$AG$11:$AG$12</c:f>
              <c:strCache>
                <c:ptCount val="1"/>
                <c:pt idx="0">
                  <c:v>Downloaded </c:v>
                </c:pt>
              </c:strCache>
            </c:strRef>
          </c:tx>
          <c:spPr>
            <a:solidFill>
              <a:schemeClr val="accent2">
                <a:lumMod val="75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Table'!$AE$13:$AE$16</c:f>
              <c:strCache>
                <c:ptCount val="3"/>
                <c:pt idx="0">
                  <c:v>Casual (0-5 Hours)</c:v>
                </c:pt>
                <c:pt idx="1">
                  <c:v>Power (15+ Hours)</c:v>
                </c:pt>
                <c:pt idx="2">
                  <c:v>Regular (6-15 Hours)</c:v>
                </c:pt>
              </c:strCache>
            </c:strRef>
          </c:cat>
          <c:val>
            <c:numRef>
              <c:f>'Pivot Table'!$AG$13:$AG$16</c:f>
              <c:numCache>
                <c:formatCode>General</c:formatCode>
                <c:ptCount val="3"/>
                <c:pt idx="0">
                  <c:v>221</c:v>
                </c:pt>
                <c:pt idx="1">
                  <c:v>99</c:v>
                </c:pt>
                <c:pt idx="2">
                  <c:v>179</c:v>
                </c:pt>
              </c:numCache>
            </c:numRef>
          </c:val>
          <c:extLst>
            <c:ext xmlns:c16="http://schemas.microsoft.com/office/drawing/2014/chart" uri="{C3380CC4-5D6E-409C-BE32-E72D297353CC}">
              <c16:uniqueId val="{00000001-8C87-423B-A4D8-EA8440D42CF8}"/>
            </c:ext>
          </c:extLst>
        </c:ser>
        <c:dLbls>
          <c:showLegendKey val="0"/>
          <c:showVal val="1"/>
          <c:showCatName val="0"/>
          <c:showSerName val="0"/>
          <c:showPercent val="0"/>
          <c:showBubbleSize val="0"/>
        </c:dLbls>
        <c:gapWidth val="84"/>
        <c:gapDepth val="53"/>
        <c:shape val="box"/>
        <c:axId val="201518544"/>
        <c:axId val="201523824"/>
        <c:axId val="0"/>
      </c:bar3DChart>
      <c:catAx>
        <c:axId val="201518544"/>
        <c:scaling>
          <c:orientation val="minMax"/>
        </c:scaling>
        <c:delete val="0"/>
        <c:axPos val="b"/>
        <c:numFmt formatCode="General" sourceLinked="1"/>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201523824"/>
        <c:crosses val="autoZero"/>
        <c:auto val="1"/>
        <c:lblAlgn val="ctr"/>
        <c:lblOffset val="100"/>
        <c:noMultiLvlLbl val="0"/>
      </c:catAx>
      <c:valAx>
        <c:axId val="201523824"/>
        <c:scaling>
          <c:orientation val="minMax"/>
        </c:scaling>
        <c:delete val="0"/>
        <c:axPos val="l"/>
        <c:numFmt formatCode="General" sourceLinked="1"/>
        <c:majorTickMark val="out"/>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201518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[Excercise 1.xlsx]Pivot Table!4. Retention &amp; Loyalty:1.3</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200" u="sng"/>
              <a:t>Downlaod Feature Adoption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accent2">
              <a:lumMod val="75000"/>
            </a:schemeClr>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2">
              <a:lumMod val="75000"/>
            </a:schemeClr>
          </a:solidFill>
          <a:ln>
            <a:noFill/>
          </a:ln>
          <a:effectLst>
            <a:outerShdw blurRad="254000" sx="102000" sy="102000" algn="ctr" rotWithShape="0">
              <a:prstClr val="black">
                <a:alpha val="20000"/>
              </a:prstClr>
            </a:outerShdw>
          </a:effectLst>
        </c:spPr>
        <c:dLbl>
          <c:idx val="0"/>
          <c:spPr>
            <a:solidFill>
              <a:schemeClr val="tx1">
                <a:lumMod val="85000"/>
                <a:lumOff val="1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900" b="1" i="0" u="none" strike="noStrike" kern="1200" baseline="0">
                  <a:solidFill>
                    <a:srgbClr val="FFFF00"/>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layout>
                <c:manualLayout>
                  <c:w val="0.25076483273985656"/>
                  <c:h val="0.10510981209316049"/>
                </c:manualLayout>
              </c15:layout>
            </c:ext>
          </c:extLst>
        </c:dLbl>
      </c:pivotFmt>
      <c:pivotFmt>
        <c:idx val="10"/>
        <c:spPr>
          <a:solidFill>
            <a:schemeClr val="accent1">
              <a:lumMod val="75000"/>
            </a:schemeClr>
          </a:solidFill>
          <a:ln>
            <a:noFill/>
          </a:ln>
          <a:effectLst>
            <a:outerShdw blurRad="254000" sx="102000" sy="102000" algn="ctr" rotWithShape="0">
              <a:prstClr val="black">
                <a:alpha val="20000"/>
              </a:prstClr>
            </a:outerShdw>
          </a:effectLst>
        </c:spPr>
        <c:dLbl>
          <c:idx val="0"/>
          <c:spPr>
            <a:solidFill>
              <a:schemeClr val="tx1">
                <a:lumMod val="85000"/>
                <a:lumOff val="1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900" b="1" i="0" u="none" strike="noStrike" kern="1200" baseline="0">
                  <a:solidFill>
                    <a:srgbClr val="FFFF00"/>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layout>
                <c:manualLayout>
                  <c:w val="0.25030091779928781"/>
                  <c:h val="0.10521092650303958"/>
                </c:manualLayout>
              </c15:layout>
            </c:ext>
          </c:extLst>
        </c:dLbl>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Table'!$AF$5</c:f>
              <c:strCache>
                <c:ptCount val="1"/>
                <c:pt idx="0">
                  <c:v>Count of User_ID</c:v>
                </c:pt>
              </c:strCache>
            </c:strRef>
          </c:tx>
          <c:spPr>
            <a:solidFill>
              <a:schemeClr val="accent2">
                <a:lumMod val="75000"/>
              </a:schemeClr>
            </a:solidFill>
          </c:spPr>
          <c:dPt>
            <c:idx val="0"/>
            <c:bubble3D val="0"/>
            <c:spPr>
              <a:solidFill>
                <a:schemeClr val="accent2">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B48-4295-B221-1DA8A7E53717}"/>
              </c:ext>
            </c:extLst>
          </c:dPt>
          <c:dPt>
            <c:idx val="1"/>
            <c:bubble3D val="0"/>
            <c:spPr>
              <a:solidFill>
                <a:schemeClr val="accent1">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B48-4295-B221-1DA8A7E53717}"/>
              </c:ext>
            </c:extLst>
          </c:dPt>
          <c:dLbls>
            <c:dLbl>
              <c:idx val="0"/>
              <c:spPr>
                <a:solidFill>
                  <a:schemeClr val="tx1">
                    <a:lumMod val="85000"/>
                    <a:lumOff val="1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900" b="1" i="0" u="none" strike="noStrike" kern="1200" baseline="0">
                      <a:solidFill>
                        <a:srgbClr val="FFFF00"/>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layout>
                    <c:manualLayout>
                      <c:w val="0.25076483273985656"/>
                      <c:h val="0.10510981209316049"/>
                    </c:manualLayout>
                  </c15:layout>
                </c:ext>
                <c:ext xmlns:c16="http://schemas.microsoft.com/office/drawing/2014/chart" uri="{C3380CC4-5D6E-409C-BE32-E72D297353CC}">
                  <c16:uniqueId val="{00000001-5B48-4295-B221-1DA8A7E53717}"/>
                </c:ext>
              </c:extLst>
            </c:dLbl>
            <c:dLbl>
              <c:idx val="1"/>
              <c:spPr>
                <a:solidFill>
                  <a:schemeClr val="tx1">
                    <a:lumMod val="85000"/>
                    <a:lumOff val="1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900" b="1" i="0" u="none" strike="noStrike" kern="1200" baseline="0">
                      <a:solidFill>
                        <a:srgbClr val="FFFF00"/>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layout>
                    <c:manualLayout>
                      <c:w val="0.25030091779928781"/>
                      <c:h val="0.10521092650303958"/>
                    </c:manualLayout>
                  </c15:layout>
                </c:ext>
                <c:ext xmlns:c16="http://schemas.microsoft.com/office/drawing/2014/chart" uri="{C3380CC4-5D6E-409C-BE32-E72D297353CC}">
                  <c16:uniqueId val="{00000003-5B48-4295-B221-1DA8A7E53717}"/>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Table'!$AE$6:$AE$8</c:f>
              <c:strCache>
                <c:ptCount val="2"/>
                <c:pt idx="0">
                  <c:v>Downloaded</c:v>
                </c:pt>
                <c:pt idx="1">
                  <c:v>Not Downloaded</c:v>
                </c:pt>
              </c:strCache>
            </c:strRef>
          </c:cat>
          <c:val>
            <c:numRef>
              <c:f>'Pivot Table'!$AF$6:$AF$8</c:f>
              <c:numCache>
                <c:formatCode>General</c:formatCode>
                <c:ptCount val="2"/>
                <c:pt idx="0">
                  <c:v>499</c:v>
                </c:pt>
                <c:pt idx="1">
                  <c:v>501</c:v>
                </c:pt>
              </c:numCache>
            </c:numRef>
          </c:val>
          <c:extLst>
            <c:ext xmlns:c16="http://schemas.microsoft.com/office/drawing/2014/chart" uri="{C3380CC4-5D6E-409C-BE32-E72D297353CC}">
              <c16:uniqueId val="{00000004-5B48-4295-B221-1DA8A7E53717}"/>
            </c:ext>
          </c:extLst>
        </c:ser>
        <c:ser>
          <c:idx val="1"/>
          <c:order val="1"/>
          <c:tx>
            <c:strRef>
              <c:f>'Pivot Table'!$AG$5</c:f>
              <c:strCache>
                <c:ptCount val="1"/>
                <c:pt idx="0">
                  <c:v>Average of Watch_Hours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5B48-4295-B221-1DA8A7E5371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5B48-4295-B221-1DA8A7E5371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Table'!$AE$6:$AE$8</c:f>
              <c:strCache>
                <c:ptCount val="2"/>
                <c:pt idx="0">
                  <c:v>Downloaded</c:v>
                </c:pt>
                <c:pt idx="1">
                  <c:v>Not Downloaded</c:v>
                </c:pt>
              </c:strCache>
            </c:strRef>
          </c:cat>
          <c:val>
            <c:numRef>
              <c:f>'Pivot Table'!$AG$6:$AG$8</c:f>
              <c:numCache>
                <c:formatCode>0</c:formatCode>
                <c:ptCount val="2"/>
                <c:pt idx="0">
                  <c:v>257.42484969939881</c:v>
                </c:pt>
                <c:pt idx="1">
                  <c:v>251.61876247504989</c:v>
                </c:pt>
              </c:numCache>
            </c:numRef>
          </c:val>
          <c:extLst>
            <c:ext xmlns:c16="http://schemas.microsoft.com/office/drawing/2014/chart" uri="{C3380CC4-5D6E-409C-BE32-E72D297353CC}">
              <c16:uniqueId val="{00000009-5B48-4295-B221-1DA8A7E53717}"/>
            </c:ext>
          </c:extLst>
        </c:ser>
        <c:dLbls>
          <c:dLblPos val="ctr"/>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[Excercise 1.xlsx]Pivot Table!5. Payment Preferences &amp; Regional Trends 1.0</c:name>
    <c:fmtId val="3"/>
  </c:pivotSource>
  <c:chart>
    <c:title>
      <c:tx>
        <c:rich>
          <a:bodyPr rot="0" spcFirstLastPara="1" vertOverflow="ellipsis" vert="horz" wrap="square" anchor="ctr" anchorCtr="1"/>
          <a:lstStyle/>
          <a:p>
            <a:pPr>
              <a:defRPr sz="1600" b="1" i="0" u="none" strike="noStrike" kern="1200" baseline="0">
                <a:solidFill>
                  <a:schemeClr val="tx1">
                    <a:lumMod val="85000"/>
                    <a:lumOff val="15000"/>
                  </a:schemeClr>
                </a:solidFill>
                <a:latin typeface="+mn-lt"/>
                <a:ea typeface="+mn-ea"/>
                <a:cs typeface="+mn-cs"/>
              </a:defRPr>
            </a:pPr>
            <a:r>
              <a:rPr lang="en-IN" sz="1200" u="sng">
                <a:solidFill>
                  <a:schemeClr val="tx1">
                    <a:lumMod val="85000"/>
                    <a:lumOff val="15000"/>
                  </a:schemeClr>
                </a:solidFill>
              </a:rPr>
              <a:t>Regional</a:t>
            </a:r>
            <a:r>
              <a:rPr lang="en-IN" sz="1200" u="sng" baseline="0">
                <a:solidFill>
                  <a:schemeClr val="tx1">
                    <a:lumMod val="85000"/>
                    <a:lumOff val="15000"/>
                  </a:schemeClr>
                </a:solidFill>
              </a:rPr>
              <a:t> Payment Preference</a:t>
            </a:r>
            <a:endParaRPr lang="en-IN" sz="1200" u="sng">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85000"/>
                  <a:lumOff val="1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Table'!$AK$6:$AK$7</c:f>
              <c:strCache>
                <c:ptCount val="1"/>
                <c:pt idx="0">
                  <c:v>Credit Card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Table'!$AJ$8:$AJ$15</c:f>
              <c:strCache>
                <c:ptCount val="7"/>
                <c:pt idx="0">
                  <c:v>Australia</c:v>
                </c:pt>
                <c:pt idx="1">
                  <c:v>Canada</c:v>
                </c:pt>
                <c:pt idx="2">
                  <c:v>France</c:v>
                </c:pt>
                <c:pt idx="3">
                  <c:v>Germany</c:v>
                </c:pt>
                <c:pt idx="4">
                  <c:v>India</c:v>
                </c:pt>
                <c:pt idx="5">
                  <c:v>UK</c:v>
                </c:pt>
                <c:pt idx="6">
                  <c:v>USA</c:v>
                </c:pt>
              </c:strCache>
            </c:strRef>
          </c:cat>
          <c:val>
            <c:numRef>
              <c:f>'Pivot Table'!$AK$8:$AK$15</c:f>
              <c:numCache>
                <c:formatCode>General</c:formatCode>
                <c:ptCount val="7"/>
                <c:pt idx="0">
                  <c:v>22</c:v>
                </c:pt>
                <c:pt idx="1">
                  <c:v>34</c:v>
                </c:pt>
                <c:pt idx="2">
                  <c:v>39</c:v>
                </c:pt>
                <c:pt idx="3">
                  <c:v>31</c:v>
                </c:pt>
                <c:pt idx="4">
                  <c:v>25</c:v>
                </c:pt>
                <c:pt idx="5">
                  <c:v>33</c:v>
                </c:pt>
                <c:pt idx="6">
                  <c:v>44</c:v>
                </c:pt>
              </c:numCache>
            </c:numRef>
          </c:val>
          <c:extLst>
            <c:ext xmlns:c16="http://schemas.microsoft.com/office/drawing/2014/chart" uri="{C3380CC4-5D6E-409C-BE32-E72D297353CC}">
              <c16:uniqueId val="{00000000-4DE2-4731-8B26-D343E415FE62}"/>
            </c:ext>
          </c:extLst>
        </c:ser>
        <c:ser>
          <c:idx val="1"/>
          <c:order val="1"/>
          <c:tx>
            <c:strRef>
              <c:f>'Pivot Table'!$AL$6:$AL$7</c:f>
              <c:strCache>
                <c:ptCount val="1"/>
                <c:pt idx="0">
                  <c:v>Cryptocurrency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Table'!$AJ$8:$AJ$15</c:f>
              <c:strCache>
                <c:ptCount val="7"/>
                <c:pt idx="0">
                  <c:v>Australia</c:v>
                </c:pt>
                <c:pt idx="1">
                  <c:v>Canada</c:v>
                </c:pt>
                <c:pt idx="2">
                  <c:v>France</c:v>
                </c:pt>
                <c:pt idx="3">
                  <c:v>Germany</c:v>
                </c:pt>
                <c:pt idx="4">
                  <c:v>India</c:v>
                </c:pt>
                <c:pt idx="5">
                  <c:v>UK</c:v>
                </c:pt>
                <c:pt idx="6">
                  <c:v>USA</c:v>
                </c:pt>
              </c:strCache>
            </c:strRef>
          </c:cat>
          <c:val>
            <c:numRef>
              <c:f>'Pivot Table'!$AL$8:$AL$15</c:f>
              <c:numCache>
                <c:formatCode>General</c:formatCode>
                <c:ptCount val="7"/>
                <c:pt idx="0">
                  <c:v>44</c:v>
                </c:pt>
                <c:pt idx="1">
                  <c:v>27</c:v>
                </c:pt>
                <c:pt idx="2">
                  <c:v>41</c:v>
                </c:pt>
                <c:pt idx="3">
                  <c:v>35</c:v>
                </c:pt>
                <c:pt idx="4">
                  <c:v>29</c:v>
                </c:pt>
                <c:pt idx="5">
                  <c:v>38</c:v>
                </c:pt>
                <c:pt idx="6">
                  <c:v>40</c:v>
                </c:pt>
              </c:numCache>
            </c:numRef>
          </c:val>
          <c:extLst>
            <c:ext xmlns:c16="http://schemas.microsoft.com/office/drawing/2014/chart" uri="{C3380CC4-5D6E-409C-BE32-E72D297353CC}">
              <c16:uniqueId val="{00000001-4DE2-4731-8B26-D343E415FE62}"/>
            </c:ext>
          </c:extLst>
        </c:ser>
        <c:ser>
          <c:idx val="2"/>
          <c:order val="2"/>
          <c:tx>
            <c:strRef>
              <c:f>'Pivot Table'!$AM$6:$AM$7</c:f>
              <c:strCache>
                <c:ptCount val="1"/>
                <c:pt idx="0">
                  <c:v>Debit Card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Table'!$AJ$8:$AJ$15</c:f>
              <c:strCache>
                <c:ptCount val="7"/>
                <c:pt idx="0">
                  <c:v>Australia</c:v>
                </c:pt>
                <c:pt idx="1">
                  <c:v>Canada</c:v>
                </c:pt>
                <c:pt idx="2">
                  <c:v>France</c:v>
                </c:pt>
                <c:pt idx="3">
                  <c:v>Germany</c:v>
                </c:pt>
                <c:pt idx="4">
                  <c:v>India</c:v>
                </c:pt>
                <c:pt idx="5">
                  <c:v>UK</c:v>
                </c:pt>
                <c:pt idx="6">
                  <c:v>USA</c:v>
                </c:pt>
              </c:strCache>
            </c:strRef>
          </c:cat>
          <c:val>
            <c:numRef>
              <c:f>'Pivot Table'!$AM$8:$AM$15</c:f>
              <c:numCache>
                <c:formatCode>General</c:formatCode>
                <c:ptCount val="7"/>
                <c:pt idx="0">
                  <c:v>38</c:v>
                </c:pt>
                <c:pt idx="1">
                  <c:v>36</c:v>
                </c:pt>
                <c:pt idx="2">
                  <c:v>31</c:v>
                </c:pt>
                <c:pt idx="3">
                  <c:v>43</c:v>
                </c:pt>
                <c:pt idx="4">
                  <c:v>39</c:v>
                </c:pt>
                <c:pt idx="5">
                  <c:v>31</c:v>
                </c:pt>
                <c:pt idx="6">
                  <c:v>31</c:v>
                </c:pt>
              </c:numCache>
            </c:numRef>
          </c:val>
          <c:extLst>
            <c:ext xmlns:c16="http://schemas.microsoft.com/office/drawing/2014/chart" uri="{C3380CC4-5D6E-409C-BE32-E72D297353CC}">
              <c16:uniqueId val="{00000002-4DE2-4731-8B26-D343E415FE62}"/>
            </c:ext>
          </c:extLst>
        </c:ser>
        <c:ser>
          <c:idx val="3"/>
          <c:order val="3"/>
          <c:tx>
            <c:strRef>
              <c:f>'Pivot Table'!$AN$6:$AN$7</c:f>
              <c:strCache>
                <c:ptCount val="1"/>
                <c:pt idx="0">
                  <c:v>PayPal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Table'!$AJ$8:$AJ$15</c:f>
              <c:strCache>
                <c:ptCount val="7"/>
                <c:pt idx="0">
                  <c:v>Australia</c:v>
                </c:pt>
                <c:pt idx="1">
                  <c:v>Canada</c:v>
                </c:pt>
                <c:pt idx="2">
                  <c:v>France</c:v>
                </c:pt>
                <c:pt idx="3">
                  <c:v>Germany</c:v>
                </c:pt>
                <c:pt idx="4">
                  <c:v>India</c:v>
                </c:pt>
                <c:pt idx="5">
                  <c:v>UK</c:v>
                </c:pt>
                <c:pt idx="6">
                  <c:v>USA</c:v>
                </c:pt>
              </c:strCache>
            </c:strRef>
          </c:cat>
          <c:val>
            <c:numRef>
              <c:f>'Pivot Table'!$AN$8:$AN$15</c:f>
              <c:numCache>
                <c:formatCode>General</c:formatCode>
                <c:ptCount val="7"/>
                <c:pt idx="0">
                  <c:v>36</c:v>
                </c:pt>
                <c:pt idx="1">
                  <c:v>42</c:v>
                </c:pt>
                <c:pt idx="2">
                  <c:v>40</c:v>
                </c:pt>
                <c:pt idx="3">
                  <c:v>37</c:v>
                </c:pt>
                <c:pt idx="4">
                  <c:v>23</c:v>
                </c:pt>
                <c:pt idx="5">
                  <c:v>48</c:v>
                </c:pt>
                <c:pt idx="6">
                  <c:v>43</c:v>
                </c:pt>
              </c:numCache>
            </c:numRef>
          </c:val>
          <c:extLst>
            <c:ext xmlns:c16="http://schemas.microsoft.com/office/drawing/2014/chart" uri="{C3380CC4-5D6E-409C-BE32-E72D297353CC}">
              <c16:uniqueId val="{00000003-4DE2-4731-8B26-D343E415FE62}"/>
            </c:ext>
          </c:extLst>
        </c:ser>
        <c:dLbls>
          <c:showLegendKey val="0"/>
          <c:showVal val="0"/>
          <c:showCatName val="0"/>
          <c:showSerName val="0"/>
          <c:showPercent val="0"/>
          <c:showBubbleSize val="0"/>
        </c:dLbls>
        <c:gapWidth val="100"/>
        <c:overlap val="100"/>
        <c:axId val="179161312"/>
        <c:axId val="179156992"/>
      </c:barChart>
      <c:catAx>
        <c:axId val="179161312"/>
        <c:scaling>
          <c:orientation val="minMax"/>
        </c:scaling>
        <c:delete val="0"/>
        <c:axPos val="b"/>
        <c:numFmt formatCode="General" sourceLinked="1"/>
        <c:majorTickMark val="none"/>
        <c:minorTickMark val="none"/>
        <c:tickLblPos val="nextTo"/>
        <c:spPr>
          <a:noFill/>
          <a:ln w="12700" cap="flat" cmpd="sng" algn="ctr">
            <a:solidFill>
              <a:schemeClr val="bg1">
                <a:lumMod val="65000"/>
              </a:schemeClr>
            </a:solidFill>
            <a:round/>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179156992"/>
        <c:crosses val="autoZero"/>
        <c:auto val="1"/>
        <c:lblAlgn val="ctr"/>
        <c:lblOffset val="100"/>
        <c:noMultiLvlLbl val="0"/>
      </c:catAx>
      <c:valAx>
        <c:axId val="179156992"/>
        <c:scaling>
          <c:orientation val="minMax"/>
        </c:scaling>
        <c:delete val="0"/>
        <c:axPos val="l"/>
        <c:majorGridlines>
          <c:spPr>
            <a:ln w="6350" cap="flat" cmpd="sng" algn="ctr">
              <a:solidFill>
                <a:schemeClr val="bg1"/>
              </a:solidFill>
              <a:prstDash val="solid"/>
              <a:miter lim="800000"/>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179161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[Excercise 1.xlsx]Pivot Table!5. Payment Preferences &amp; Regional Trends 1.2</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200" u="sng">
                <a:solidFill>
                  <a:schemeClr val="tx1">
                    <a:lumMod val="75000"/>
                    <a:lumOff val="25000"/>
                  </a:schemeClr>
                </a:solidFill>
              </a:rPr>
              <a:t>rEGIONAL</a:t>
            </a:r>
            <a:r>
              <a:rPr lang="en-IN" sz="1200" u="sng" baseline="0">
                <a:solidFill>
                  <a:schemeClr val="tx1">
                    <a:lumMod val="75000"/>
                    <a:lumOff val="25000"/>
                  </a:schemeClr>
                </a:solidFill>
              </a:rPr>
              <a:t> SUBSCRIPTIONS TIER DISTRIBUTION</a:t>
            </a:r>
            <a:endParaRPr lang="en-IN" sz="1200" u="sng">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Table'!$AK$18:$AK$19</c:f>
              <c:strCache>
                <c:ptCount val="1"/>
                <c:pt idx="0">
                  <c:v>BASIC</c:v>
                </c:pt>
              </c:strCache>
            </c:strRef>
          </c:tx>
          <c:spPr>
            <a:solidFill>
              <a:schemeClr val="accent1">
                <a:lumMod val="75000"/>
              </a:schemeClr>
            </a:solidFill>
            <a:ln>
              <a:noFill/>
            </a:ln>
            <a:effectLst>
              <a:outerShdw blurRad="50800" dist="38100" algn="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Table'!$AJ$20:$AJ$27</c:f>
              <c:strCache>
                <c:ptCount val="7"/>
                <c:pt idx="0">
                  <c:v>Australia</c:v>
                </c:pt>
                <c:pt idx="1">
                  <c:v>Canada</c:v>
                </c:pt>
                <c:pt idx="2">
                  <c:v>France</c:v>
                </c:pt>
                <c:pt idx="3">
                  <c:v>Germany</c:v>
                </c:pt>
                <c:pt idx="4">
                  <c:v>India</c:v>
                </c:pt>
                <c:pt idx="5">
                  <c:v>UK</c:v>
                </c:pt>
                <c:pt idx="6">
                  <c:v>USA</c:v>
                </c:pt>
              </c:strCache>
            </c:strRef>
          </c:cat>
          <c:val>
            <c:numRef>
              <c:f>'Pivot Table'!$AK$20:$AK$27</c:f>
              <c:numCache>
                <c:formatCode>General</c:formatCode>
                <c:ptCount val="7"/>
                <c:pt idx="0">
                  <c:v>39</c:v>
                </c:pt>
                <c:pt idx="1">
                  <c:v>46</c:v>
                </c:pt>
                <c:pt idx="2">
                  <c:v>54</c:v>
                </c:pt>
                <c:pt idx="3">
                  <c:v>49</c:v>
                </c:pt>
                <c:pt idx="4">
                  <c:v>34</c:v>
                </c:pt>
                <c:pt idx="5">
                  <c:v>48</c:v>
                </c:pt>
                <c:pt idx="6">
                  <c:v>53</c:v>
                </c:pt>
              </c:numCache>
            </c:numRef>
          </c:val>
          <c:extLst>
            <c:ext xmlns:c16="http://schemas.microsoft.com/office/drawing/2014/chart" uri="{C3380CC4-5D6E-409C-BE32-E72D297353CC}">
              <c16:uniqueId val="{00000000-0626-4D5F-9E74-DDD1AE76B408}"/>
            </c:ext>
          </c:extLst>
        </c:ser>
        <c:ser>
          <c:idx val="1"/>
          <c:order val="1"/>
          <c:tx>
            <c:strRef>
              <c:f>'Pivot Table'!$AL$18:$AL$19</c:f>
              <c:strCache>
                <c:ptCount val="1"/>
                <c:pt idx="0">
                  <c:v>STANDARD</c:v>
                </c:pt>
              </c:strCache>
            </c:strRef>
          </c:tx>
          <c:spPr>
            <a:solidFill>
              <a:schemeClr val="accent6">
                <a:lumMod val="75000"/>
              </a:schemeClr>
            </a:solidFill>
            <a:ln>
              <a:noFill/>
            </a:ln>
            <a:effectLst>
              <a:outerShdw blurRad="50800" dist="38100" algn="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Table'!$AJ$20:$AJ$27</c:f>
              <c:strCache>
                <c:ptCount val="7"/>
                <c:pt idx="0">
                  <c:v>Australia</c:v>
                </c:pt>
                <c:pt idx="1">
                  <c:v>Canada</c:v>
                </c:pt>
                <c:pt idx="2">
                  <c:v>France</c:v>
                </c:pt>
                <c:pt idx="3">
                  <c:v>Germany</c:v>
                </c:pt>
                <c:pt idx="4">
                  <c:v>India</c:v>
                </c:pt>
                <c:pt idx="5">
                  <c:v>UK</c:v>
                </c:pt>
                <c:pt idx="6">
                  <c:v>USA</c:v>
                </c:pt>
              </c:strCache>
            </c:strRef>
          </c:cat>
          <c:val>
            <c:numRef>
              <c:f>'Pivot Table'!$AL$20:$AL$27</c:f>
              <c:numCache>
                <c:formatCode>General</c:formatCode>
                <c:ptCount val="7"/>
                <c:pt idx="0">
                  <c:v>50</c:v>
                </c:pt>
                <c:pt idx="1">
                  <c:v>44</c:v>
                </c:pt>
                <c:pt idx="2">
                  <c:v>50</c:v>
                </c:pt>
                <c:pt idx="3">
                  <c:v>51</c:v>
                </c:pt>
                <c:pt idx="4">
                  <c:v>45</c:v>
                </c:pt>
                <c:pt idx="5">
                  <c:v>52</c:v>
                </c:pt>
                <c:pt idx="6">
                  <c:v>53</c:v>
                </c:pt>
              </c:numCache>
            </c:numRef>
          </c:val>
          <c:extLst>
            <c:ext xmlns:c16="http://schemas.microsoft.com/office/drawing/2014/chart" uri="{C3380CC4-5D6E-409C-BE32-E72D297353CC}">
              <c16:uniqueId val="{00000001-0626-4D5F-9E74-DDD1AE76B408}"/>
            </c:ext>
          </c:extLst>
        </c:ser>
        <c:ser>
          <c:idx val="2"/>
          <c:order val="2"/>
          <c:tx>
            <c:strRef>
              <c:f>'Pivot Table'!$AM$18:$AM$19</c:f>
              <c:strCache>
                <c:ptCount val="1"/>
                <c:pt idx="0">
                  <c:v>PREMIUM</c:v>
                </c:pt>
              </c:strCache>
            </c:strRef>
          </c:tx>
          <c:spPr>
            <a:solidFill>
              <a:schemeClr val="accent4"/>
            </a:solidFill>
            <a:ln>
              <a:noFill/>
            </a:ln>
            <a:effectLst>
              <a:outerShdw blurRad="50800" dist="38100" algn="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Table'!$AJ$20:$AJ$27</c:f>
              <c:strCache>
                <c:ptCount val="7"/>
                <c:pt idx="0">
                  <c:v>Australia</c:v>
                </c:pt>
                <c:pt idx="1">
                  <c:v>Canada</c:v>
                </c:pt>
                <c:pt idx="2">
                  <c:v>France</c:v>
                </c:pt>
                <c:pt idx="3">
                  <c:v>Germany</c:v>
                </c:pt>
                <c:pt idx="4">
                  <c:v>India</c:v>
                </c:pt>
                <c:pt idx="5">
                  <c:v>UK</c:v>
                </c:pt>
                <c:pt idx="6">
                  <c:v>USA</c:v>
                </c:pt>
              </c:strCache>
            </c:strRef>
          </c:cat>
          <c:val>
            <c:numRef>
              <c:f>'Pivot Table'!$AM$20:$AM$27</c:f>
              <c:numCache>
                <c:formatCode>General</c:formatCode>
                <c:ptCount val="7"/>
                <c:pt idx="0">
                  <c:v>51</c:v>
                </c:pt>
                <c:pt idx="1">
                  <c:v>49</c:v>
                </c:pt>
                <c:pt idx="2">
                  <c:v>47</c:v>
                </c:pt>
                <c:pt idx="3">
                  <c:v>46</c:v>
                </c:pt>
                <c:pt idx="4">
                  <c:v>37</c:v>
                </c:pt>
                <c:pt idx="5">
                  <c:v>50</c:v>
                </c:pt>
                <c:pt idx="6">
                  <c:v>52</c:v>
                </c:pt>
              </c:numCache>
            </c:numRef>
          </c:val>
          <c:extLst>
            <c:ext xmlns:c16="http://schemas.microsoft.com/office/drawing/2014/chart" uri="{C3380CC4-5D6E-409C-BE32-E72D297353CC}">
              <c16:uniqueId val="{00000002-0626-4D5F-9E74-DDD1AE76B408}"/>
            </c:ext>
          </c:extLst>
        </c:ser>
        <c:dLbls>
          <c:showLegendKey val="0"/>
          <c:showVal val="1"/>
          <c:showCatName val="0"/>
          <c:showSerName val="0"/>
          <c:showPercent val="0"/>
          <c:showBubbleSize val="0"/>
        </c:dLbls>
        <c:gapWidth val="50"/>
        <c:overlap val="100"/>
        <c:axId val="310083120"/>
        <c:axId val="310081680"/>
      </c:barChart>
      <c:catAx>
        <c:axId val="310083120"/>
        <c:scaling>
          <c:orientation val="minMax"/>
        </c:scaling>
        <c:delete val="0"/>
        <c:axPos val="b"/>
        <c:numFmt formatCode="General" sourceLinked="1"/>
        <c:majorTickMark val="none"/>
        <c:minorTickMark val="none"/>
        <c:tickLblPos val="nextTo"/>
        <c:spPr>
          <a:noFill/>
          <a:ln w="12700" cap="flat" cmpd="sng" algn="ctr">
            <a:solidFill>
              <a:schemeClr val="bg1">
                <a:lumMod val="6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310081680"/>
        <c:crosses val="autoZero"/>
        <c:auto val="1"/>
        <c:lblAlgn val="ctr"/>
        <c:lblOffset val="100"/>
        <c:noMultiLvlLbl val="0"/>
      </c:catAx>
      <c:valAx>
        <c:axId val="310081680"/>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310083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[Excercise 1.xlsx]Pivot Table!5. Payment Preferences &amp; Regional Trends 1.3</c:name>
    <c:fmtId val="6"/>
  </c:pivotSource>
  <c:chart>
    <c:title>
      <c:tx>
        <c:rich>
          <a:bodyPr rot="0" spcFirstLastPara="1" vertOverflow="ellipsis" vert="horz" wrap="square" anchor="ctr" anchorCtr="1"/>
          <a:lstStyle/>
          <a:p>
            <a:pPr>
              <a:defRPr sz="1200" b="1" i="0" u="none" strike="noStrike" kern="1200" spc="100" baseline="0">
                <a:solidFill>
                  <a:schemeClr val="bg1">
                    <a:lumMod val="95000"/>
                  </a:schemeClr>
                </a:solidFill>
                <a:effectLst>
                  <a:outerShdw blurRad="50800" dist="38100" dir="5400000" algn="t" rotWithShape="0">
                    <a:prstClr val="black">
                      <a:alpha val="40000"/>
                    </a:prstClr>
                  </a:outerShdw>
                </a:effectLst>
                <a:latin typeface="+mn-lt"/>
                <a:ea typeface="+mn-ea"/>
                <a:cs typeface="+mn-cs"/>
              </a:defRPr>
            </a:pPr>
            <a:r>
              <a:rPr lang="en-IN" sz="1200" u="sng">
                <a:solidFill>
                  <a:schemeClr val="bg1">
                    <a:lumMod val="95000"/>
                  </a:schemeClr>
                </a:solidFill>
              </a:rPr>
              <a:t>User</a:t>
            </a:r>
            <a:r>
              <a:rPr lang="en-IN" sz="1200" u="sng" baseline="0">
                <a:solidFill>
                  <a:schemeClr val="bg1">
                    <a:lumMod val="95000"/>
                  </a:schemeClr>
                </a:solidFill>
              </a:rPr>
              <a:t> Engagement &amp; Watch Time Engagement By Language</a:t>
            </a:r>
            <a:endParaRPr lang="en-IN" sz="1200" u="sng">
              <a:solidFill>
                <a:schemeClr val="bg1">
                  <a:lumMod val="95000"/>
                </a:schemeClr>
              </a:solidFill>
            </a:endParaRP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bg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a:solidFill>
              <a:schemeClr val="bg1">
                <a:lumMod val="7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a:solidFill>
              <a:schemeClr val="bg1">
                <a:lumMod val="7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Table'!$AK$30</c:f>
              <c:strCache>
                <c:ptCount val="1"/>
                <c:pt idx="0">
                  <c:v>Users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a:solidFill>
                <a:schemeClr val="bg1">
                  <a:lumMod val="75000"/>
                </a:schemeClr>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Table'!$AJ$31:$AJ$37</c:f>
              <c:strCache>
                <c:ptCount val="6"/>
                <c:pt idx="0">
                  <c:v>English</c:v>
                </c:pt>
                <c:pt idx="1">
                  <c:v>French</c:v>
                </c:pt>
                <c:pt idx="2">
                  <c:v>German</c:v>
                </c:pt>
                <c:pt idx="3">
                  <c:v>Hindi</c:v>
                </c:pt>
                <c:pt idx="4">
                  <c:v>Mandarin</c:v>
                </c:pt>
                <c:pt idx="5">
                  <c:v>Spanish</c:v>
                </c:pt>
              </c:strCache>
            </c:strRef>
          </c:cat>
          <c:val>
            <c:numRef>
              <c:f>'Pivot Table'!$AK$31:$AK$37</c:f>
              <c:numCache>
                <c:formatCode>General</c:formatCode>
                <c:ptCount val="6"/>
                <c:pt idx="0">
                  <c:v>168</c:v>
                </c:pt>
                <c:pt idx="1">
                  <c:v>171</c:v>
                </c:pt>
                <c:pt idx="2">
                  <c:v>167</c:v>
                </c:pt>
                <c:pt idx="3">
                  <c:v>162</c:v>
                </c:pt>
                <c:pt idx="4">
                  <c:v>179</c:v>
                </c:pt>
                <c:pt idx="5">
                  <c:v>153</c:v>
                </c:pt>
              </c:numCache>
            </c:numRef>
          </c:val>
          <c:extLst>
            <c:ext xmlns:c16="http://schemas.microsoft.com/office/drawing/2014/chart" uri="{C3380CC4-5D6E-409C-BE32-E72D297353CC}">
              <c16:uniqueId val="{00000000-DA2F-4102-A5D4-76A3950823C7}"/>
            </c:ext>
          </c:extLst>
        </c:ser>
        <c:ser>
          <c:idx val="1"/>
          <c:order val="1"/>
          <c:tx>
            <c:strRef>
              <c:f>'Pivot Table'!$AL$30</c:f>
              <c:strCache>
                <c:ptCount val="1"/>
                <c:pt idx="0">
                  <c:v>Avg Watch Hours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a:solidFill>
                <a:schemeClr val="bg1">
                  <a:lumMod val="75000"/>
                </a:schemeClr>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Table'!$AJ$31:$AJ$37</c:f>
              <c:strCache>
                <c:ptCount val="6"/>
                <c:pt idx="0">
                  <c:v>English</c:v>
                </c:pt>
                <c:pt idx="1">
                  <c:v>French</c:v>
                </c:pt>
                <c:pt idx="2">
                  <c:v>German</c:v>
                </c:pt>
                <c:pt idx="3">
                  <c:v>Hindi</c:v>
                </c:pt>
                <c:pt idx="4">
                  <c:v>Mandarin</c:v>
                </c:pt>
                <c:pt idx="5">
                  <c:v>Spanish</c:v>
                </c:pt>
              </c:strCache>
            </c:strRef>
          </c:cat>
          <c:val>
            <c:numRef>
              <c:f>'Pivot Table'!$AL$31:$AL$37</c:f>
              <c:numCache>
                <c:formatCode>0</c:formatCode>
                <c:ptCount val="6"/>
                <c:pt idx="0">
                  <c:v>248.38095238095238</c:v>
                </c:pt>
                <c:pt idx="1">
                  <c:v>273.46198830409355</c:v>
                </c:pt>
                <c:pt idx="2">
                  <c:v>244.79640718562874</c:v>
                </c:pt>
                <c:pt idx="3">
                  <c:v>253.35802469135803</c:v>
                </c:pt>
                <c:pt idx="4">
                  <c:v>243.33519553072625</c:v>
                </c:pt>
                <c:pt idx="5">
                  <c:v>264.99346405228761</c:v>
                </c:pt>
              </c:numCache>
            </c:numRef>
          </c:val>
          <c:extLst>
            <c:ext xmlns:c16="http://schemas.microsoft.com/office/drawing/2014/chart" uri="{C3380CC4-5D6E-409C-BE32-E72D297353CC}">
              <c16:uniqueId val="{00000001-DA2F-4102-A5D4-76A3950823C7}"/>
            </c:ext>
          </c:extLst>
        </c:ser>
        <c:dLbls>
          <c:showLegendKey val="0"/>
          <c:showVal val="1"/>
          <c:showCatName val="0"/>
          <c:showSerName val="0"/>
          <c:showPercent val="0"/>
          <c:showBubbleSize val="0"/>
        </c:dLbls>
        <c:gapWidth val="100"/>
        <c:axId val="578322864"/>
        <c:axId val="578317104"/>
      </c:barChart>
      <c:catAx>
        <c:axId val="5783228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rgbClr val="FFC000"/>
                </a:solidFill>
                <a:latin typeface="+mn-lt"/>
                <a:ea typeface="+mn-ea"/>
                <a:cs typeface="+mn-cs"/>
              </a:defRPr>
            </a:pPr>
            <a:endParaRPr lang="en-US"/>
          </a:p>
        </c:txPr>
        <c:crossAx val="578317104"/>
        <c:crosses val="autoZero"/>
        <c:auto val="1"/>
        <c:lblAlgn val="ctr"/>
        <c:lblOffset val="100"/>
        <c:noMultiLvlLbl val="0"/>
      </c:catAx>
      <c:valAx>
        <c:axId val="5783171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FFC000"/>
                </a:solidFill>
                <a:latin typeface="+mn-lt"/>
                <a:ea typeface="+mn-ea"/>
                <a:cs typeface="+mn-cs"/>
              </a:defRPr>
            </a:pPr>
            <a:endParaRPr lang="en-US"/>
          </a:p>
        </c:txPr>
        <c:crossAx val="578322864"/>
        <c:crosses val="autoZero"/>
        <c:crossBetween val="between"/>
      </c:valAx>
      <c:spPr>
        <a:noFill/>
        <a:ln>
          <a:noFill/>
        </a:ln>
        <a:effectLst/>
      </c:spPr>
    </c:plotArea>
    <c:legend>
      <c:legendPos val="b"/>
      <c:overlay val="0"/>
      <c:spPr>
        <a:solidFill>
          <a:schemeClr val="tx1">
            <a:lumMod val="65000"/>
            <a:lumOff val="35000"/>
          </a:schemeClr>
        </a:solid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2.xml"/><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chart" Target="../charts/chart1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chart" Target="../charts/chart10.xml"/><Relationship Id="rId5" Type="http://schemas.openxmlformats.org/officeDocument/2006/relationships/chart" Target="../charts/chart5.xml"/><Relationship Id="rId15" Type="http://schemas.openxmlformats.org/officeDocument/2006/relationships/chart" Target="../charts/chart14.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 Id="rId1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4</xdr:col>
      <xdr:colOff>8466</xdr:colOff>
      <xdr:row>13</xdr:row>
      <xdr:rowOff>753531</xdr:rowOff>
    </xdr:from>
    <xdr:to>
      <xdr:col>7</xdr:col>
      <xdr:colOff>812800</xdr:colOff>
      <xdr:row>15</xdr:row>
      <xdr:rowOff>33866</xdr:rowOff>
    </xdr:to>
    <xdr:pic>
      <xdr:nvPicPr>
        <xdr:cNvPr id="2" name="Picture 1">
          <a:extLst>
            <a:ext uri="{FF2B5EF4-FFF2-40B4-BE49-F238E27FC236}">
              <a16:creationId xmlns:a16="http://schemas.microsoft.com/office/drawing/2014/main" id="{4FCC42D5-4B17-0428-BF52-42456AB97600}"/>
            </a:ext>
          </a:extLst>
        </xdr:cNvPr>
        <xdr:cNvPicPr>
          <a:picLocks noChangeAspect="1"/>
        </xdr:cNvPicPr>
      </xdr:nvPicPr>
      <xdr:blipFill>
        <a:blip xmlns:r="http://schemas.openxmlformats.org/officeDocument/2006/relationships" r:embed="rId1"/>
        <a:stretch>
          <a:fillRect/>
        </a:stretch>
      </xdr:blipFill>
      <xdr:spPr>
        <a:xfrm>
          <a:off x="4639733" y="7509931"/>
          <a:ext cx="3649134" cy="1109135"/>
        </a:xfrm>
        <a:prstGeom prst="rect">
          <a:avLst/>
        </a:prstGeom>
      </xdr:spPr>
    </xdr:pic>
    <xdr:clientData/>
  </xdr:twoCellAnchor>
  <xdr:twoCellAnchor>
    <xdr:from>
      <xdr:col>3</xdr:col>
      <xdr:colOff>143933</xdr:colOff>
      <xdr:row>14</xdr:row>
      <xdr:rowOff>237067</xdr:rowOff>
    </xdr:from>
    <xdr:to>
      <xdr:col>3</xdr:col>
      <xdr:colOff>965200</xdr:colOff>
      <xdr:row>14</xdr:row>
      <xdr:rowOff>694267</xdr:rowOff>
    </xdr:to>
    <xdr:sp macro="" textlink="">
      <xdr:nvSpPr>
        <xdr:cNvPr id="3" name="Arrow: Right 2">
          <a:extLst>
            <a:ext uri="{FF2B5EF4-FFF2-40B4-BE49-F238E27FC236}">
              <a16:creationId xmlns:a16="http://schemas.microsoft.com/office/drawing/2014/main" id="{06AC4715-C12D-67F2-8382-0D2A6FA37B82}"/>
            </a:ext>
          </a:extLst>
        </xdr:cNvPr>
        <xdr:cNvSpPr/>
      </xdr:nvSpPr>
      <xdr:spPr>
        <a:xfrm>
          <a:off x="3742266" y="7857067"/>
          <a:ext cx="821267" cy="457200"/>
        </a:xfrm>
        <a:prstGeom prst="rightArrow">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137160</xdr:colOff>
      <xdr:row>9</xdr:row>
      <xdr:rowOff>99060</xdr:rowOff>
    </xdr:from>
    <xdr:to>
      <xdr:col>8</xdr:col>
      <xdr:colOff>266700</xdr:colOff>
      <xdr:row>30</xdr:row>
      <xdr:rowOff>15240</xdr:rowOff>
    </xdr:to>
    <xdr:graphicFrame macro="">
      <xdr:nvGraphicFramePr>
        <xdr:cNvPr id="4" name="Chart 3">
          <a:extLst>
            <a:ext uri="{FF2B5EF4-FFF2-40B4-BE49-F238E27FC236}">
              <a16:creationId xmlns:a16="http://schemas.microsoft.com/office/drawing/2014/main" id="{9B8DF9B4-A5C7-4861-BDE1-8B900AB8F1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137160</xdr:colOff>
      <xdr:row>30</xdr:row>
      <xdr:rowOff>152400</xdr:rowOff>
    </xdr:from>
    <xdr:to>
      <xdr:col>4</xdr:col>
      <xdr:colOff>1280160</xdr:colOff>
      <xdr:row>48</xdr:row>
      <xdr:rowOff>137160</xdr:rowOff>
    </xdr:to>
    <xdr:graphicFrame macro="">
      <xdr:nvGraphicFramePr>
        <xdr:cNvPr id="5" name="Chart 4">
          <a:extLst>
            <a:ext uri="{FF2B5EF4-FFF2-40B4-BE49-F238E27FC236}">
              <a16:creationId xmlns:a16="http://schemas.microsoft.com/office/drawing/2014/main" id="{4B7C77B5-37E6-4A71-B503-6EAD76D62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998220</xdr:colOff>
      <xdr:row>44</xdr:row>
      <xdr:rowOff>22860</xdr:rowOff>
    </xdr:from>
    <xdr:to>
      <xdr:col>4</xdr:col>
      <xdr:colOff>1219200</xdr:colOff>
      <xdr:row>48</xdr:row>
      <xdr:rowOff>53340</xdr:rowOff>
    </xdr:to>
    <xdr:sp macro="" textlink="">
      <xdr:nvSpPr>
        <xdr:cNvPr id="2" name="Rectangle 1">
          <a:extLst>
            <a:ext uri="{FF2B5EF4-FFF2-40B4-BE49-F238E27FC236}">
              <a16:creationId xmlns:a16="http://schemas.microsoft.com/office/drawing/2014/main" id="{02B5EFD0-09BE-F8A8-8714-ADD6EDEE943D}"/>
            </a:ext>
          </a:extLst>
        </xdr:cNvPr>
        <xdr:cNvSpPr/>
      </xdr:nvSpPr>
      <xdr:spPr>
        <a:xfrm>
          <a:off x="4640580" y="7216140"/>
          <a:ext cx="1645920" cy="762000"/>
        </a:xfrm>
        <a:prstGeom prst="rect">
          <a:avLst/>
        </a:prstGeom>
        <a:solidFill>
          <a:schemeClr val="bg1">
            <a:lumMod val="75000"/>
          </a:schemeClr>
        </a:solidFill>
      </xdr:spPr>
      <xdr:style>
        <a:lnRef idx="0">
          <a:schemeClr val="dk1"/>
        </a:lnRef>
        <a:fillRef idx="3">
          <a:schemeClr val="dk1"/>
        </a:fillRef>
        <a:effectRef idx="3">
          <a:schemeClr val="dk1"/>
        </a:effectRef>
        <a:fontRef idx="minor">
          <a:schemeClr val="lt1"/>
        </a:fontRef>
      </xdr:style>
      <xdr:txBody>
        <a:bodyPr vertOverflow="clip" horzOverflow="clip" rtlCol="0" anchor="ctr"/>
        <a:lstStyle/>
        <a:p>
          <a:pPr algn="ctr"/>
          <a:r>
            <a:rPr lang="en-IN" sz="1000" b="1">
              <a:solidFill>
                <a:schemeClr val="tx1">
                  <a:lumMod val="95000"/>
                  <a:lumOff val="5000"/>
                </a:schemeClr>
              </a:solidFill>
            </a:rPr>
            <a:t>Upper Values = Total Revenue (</a:t>
          </a:r>
          <a:r>
            <a:rPr lang="en-US" sz="1100" b="1">
              <a:solidFill>
                <a:schemeClr val="tx1">
                  <a:lumMod val="95000"/>
                  <a:lumOff val="5000"/>
                </a:schemeClr>
              </a:solidFill>
              <a:effectLst/>
              <a:latin typeface="+mn-lt"/>
              <a:ea typeface="+mn-ea"/>
              <a:cs typeface="+mn-cs"/>
            </a:rPr>
            <a:t>₹</a:t>
          </a:r>
          <a:r>
            <a:rPr lang="en-IN" sz="1000" b="1">
              <a:solidFill>
                <a:schemeClr val="tx1">
                  <a:lumMod val="95000"/>
                  <a:lumOff val="5000"/>
                </a:schemeClr>
              </a:solidFill>
            </a:rPr>
            <a:t>) </a:t>
          </a:r>
          <a:br>
            <a:rPr lang="en-IN" sz="1000" b="1">
              <a:solidFill>
                <a:schemeClr val="tx1">
                  <a:lumMod val="95000"/>
                  <a:lumOff val="5000"/>
                </a:schemeClr>
              </a:solidFill>
            </a:rPr>
          </a:br>
          <a:r>
            <a:rPr lang="en-IN" sz="1000" b="1">
              <a:solidFill>
                <a:schemeClr val="tx1">
                  <a:lumMod val="95000"/>
                  <a:lumOff val="5000"/>
                </a:schemeClr>
              </a:solidFill>
            </a:rPr>
            <a:t>Below % = Share of Total Users</a:t>
          </a:r>
        </a:p>
      </xdr:txBody>
    </xdr:sp>
    <xdr:clientData/>
  </xdr:twoCellAnchor>
  <xdr:twoCellAnchor>
    <xdr:from>
      <xdr:col>1</xdr:col>
      <xdr:colOff>30480</xdr:colOff>
      <xdr:row>52</xdr:row>
      <xdr:rowOff>0</xdr:rowOff>
    </xdr:from>
    <xdr:to>
      <xdr:col>4</xdr:col>
      <xdr:colOff>903660</xdr:colOff>
      <xdr:row>71</xdr:row>
      <xdr:rowOff>68580</xdr:rowOff>
    </xdr:to>
    <xdr:graphicFrame macro="">
      <xdr:nvGraphicFramePr>
        <xdr:cNvPr id="3" name="Chart 2">
          <a:extLst>
            <a:ext uri="{FF2B5EF4-FFF2-40B4-BE49-F238E27FC236}">
              <a16:creationId xmlns:a16="http://schemas.microsoft.com/office/drawing/2014/main" id="{4731E9DB-8628-40C4-B288-B4887695E3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975360</xdr:colOff>
      <xdr:row>52</xdr:row>
      <xdr:rowOff>7620</xdr:rowOff>
    </xdr:from>
    <xdr:to>
      <xdr:col>9</xdr:col>
      <xdr:colOff>27360</xdr:colOff>
      <xdr:row>71</xdr:row>
      <xdr:rowOff>75300</xdr:rowOff>
    </xdr:to>
    <xdr:graphicFrame macro="">
      <xdr:nvGraphicFramePr>
        <xdr:cNvPr id="6" name="Chart 5">
          <a:extLst>
            <a:ext uri="{FF2B5EF4-FFF2-40B4-BE49-F238E27FC236}">
              <a16:creationId xmlns:a16="http://schemas.microsoft.com/office/drawing/2014/main" id="{6FBDDB41-D0F5-4599-A1EC-B3706778D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72</xdr:row>
      <xdr:rowOff>0</xdr:rowOff>
    </xdr:from>
    <xdr:to>
      <xdr:col>9</xdr:col>
      <xdr:colOff>22860</xdr:colOff>
      <xdr:row>84</xdr:row>
      <xdr:rowOff>175260</xdr:rowOff>
    </xdr:to>
    <xdr:graphicFrame macro="">
      <xdr:nvGraphicFramePr>
        <xdr:cNvPr id="7" name="Chart 6">
          <a:extLst>
            <a:ext uri="{FF2B5EF4-FFF2-40B4-BE49-F238E27FC236}">
              <a16:creationId xmlns:a16="http://schemas.microsoft.com/office/drawing/2014/main" id="{22E60990-0639-4726-B36C-28480DF9EA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251460</xdr:colOff>
      <xdr:row>87</xdr:row>
      <xdr:rowOff>464820</xdr:rowOff>
    </xdr:from>
    <xdr:to>
      <xdr:col>9</xdr:col>
      <xdr:colOff>571500</xdr:colOff>
      <xdr:row>93</xdr:row>
      <xdr:rowOff>22859</xdr:rowOff>
    </xdr:to>
    <xdr:pic>
      <xdr:nvPicPr>
        <xdr:cNvPr id="9" name="Picture 8">
          <a:extLst>
            <a:ext uri="{FF2B5EF4-FFF2-40B4-BE49-F238E27FC236}">
              <a16:creationId xmlns:a16="http://schemas.microsoft.com/office/drawing/2014/main" id="{0E6B0910-76B7-8496-8E6C-25A314CD45D1}"/>
            </a:ext>
          </a:extLst>
        </xdr:cNvPr>
        <xdr:cNvPicPr>
          <a:picLocks noChangeAspect="1"/>
        </xdr:cNvPicPr>
      </xdr:nvPicPr>
      <xdr:blipFill>
        <a:blip xmlns:r="http://schemas.openxmlformats.org/officeDocument/2006/relationships" r:embed="rId6"/>
        <a:stretch>
          <a:fillRect/>
        </a:stretch>
      </xdr:blipFill>
      <xdr:spPr>
        <a:xfrm>
          <a:off x="12443460" y="16786860"/>
          <a:ext cx="320040" cy="2575559"/>
        </a:xfrm>
        <a:prstGeom prst="rect">
          <a:avLst/>
        </a:prstGeom>
        <a:ln>
          <a:solidFill>
            <a:sysClr val="windowText" lastClr="000000"/>
          </a:solidFill>
        </a:ln>
      </xdr:spPr>
    </xdr:pic>
    <xdr:clientData/>
  </xdr:twoCellAnchor>
  <xdr:twoCellAnchor>
    <xdr:from>
      <xdr:col>9</xdr:col>
      <xdr:colOff>617220</xdr:colOff>
      <xdr:row>88</xdr:row>
      <xdr:rowOff>7620</xdr:rowOff>
    </xdr:from>
    <xdr:to>
      <xdr:col>9</xdr:col>
      <xdr:colOff>937260</xdr:colOff>
      <xdr:row>92</xdr:row>
      <xdr:rowOff>472440</xdr:rowOff>
    </xdr:to>
    <xdr:sp macro="" textlink="">
      <xdr:nvSpPr>
        <xdr:cNvPr id="10" name="Rectangle 9">
          <a:extLst>
            <a:ext uri="{FF2B5EF4-FFF2-40B4-BE49-F238E27FC236}">
              <a16:creationId xmlns:a16="http://schemas.microsoft.com/office/drawing/2014/main" id="{79FD95F6-3A04-9053-656D-CC174C795699}"/>
            </a:ext>
          </a:extLst>
        </xdr:cNvPr>
        <xdr:cNvSpPr/>
      </xdr:nvSpPr>
      <xdr:spPr>
        <a:xfrm>
          <a:off x="12809220" y="16832580"/>
          <a:ext cx="320040" cy="24765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1"/>
        </a:p>
        <a:p>
          <a:pPr algn="l"/>
          <a:r>
            <a:rPr lang="en-IN" sz="1100" b="1"/>
            <a:t>U</a:t>
          </a:r>
        </a:p>
        <a:p>
          <a:pPr algn="l"/>
          <a:r>
            <a:rPr lang="en-IN" sz="1100" b="1"/>
            <a:t>S</a:t>
          </a:r>
        </a:p>
        <a:p>
          <a:pPr algn="l"/>
          <a:r>
            <a:rPr lang="en-IN" sz="1100" b="1"/>
            <a:t>E</a:t>
          </a:r>
        </a:p>
        <a:p>
          <a:pPr algn="l"/>
          <a:r>
            <a:rPr lang="en-IN" sz="1100" b="1"/>
            <a:t>R</a:t>
          </a:r>
        </a:p>
        <a:p>
          <a:pPr algn="l"/>
          <a:r>
            <a:rPr lang="en-IN" sz="1100" b="1"/>
            <a:t>S</a:t>
          </a:r>
        </a:p>
        <a:p>
          <a:pPr algn="l"/>
          <a:endParaRPr lang="en-IN" sz="1100" b="1"/>
        </a:p>
        <a:p>
          <a:pPr algn="l"/>
          <a:r>
            <a:rPr lang="en-IN" sz="1100" b="1"/>
            <a:t>C</a:t>
          </a:r>
        </a:p>
        <a:p>
          <a:pPr algn="l"/>
          <a:r>
            <a:rPr lang="en-IN" sz="1100" b="1"/>
            <a:t>O</a:t>
          </a:r>
        </a:p>
        <a:p>
          <a:pPr algn="l"/>
          <a:r>
            <a:rPr lang="en-IN" sz="1100" b="1"/>
            <a:t>U</a:t>
          </a:r>
        </a:p>
        <a:p>
          <a:pPr algn="l"/>
          <a:r>
            <a:rPr lang="en-IN" sz="1100" b="1"/>
            <a:t>N</a:t>
          </a:r>
        </a:p>
        <a:p>
          <a:pPr algn="l"/>
          <a:r>
            <a:rPr lang="en-IN" sz="1100" b="1"/>
            <a:t>T</a:t>
          </a:r>
        </a:p>
      </xdr:txBody>
    </xdr:sp>
    <xdr:clientData/>
  </xdr:twoCellAnchor>
  <xdr:twoCellAnchor>
    <xdr:from>
      <xdr:col>1</xdr:col>
      <xdr:colOff>7620</xdr:colOff>
      <xdr:row>95</xdr:row>
      <xdr:rowOff>15240</xdr:rowOff>
    </xdr:from>
    <xdr:to>
      <xdr:col>4</xdr:col>
      <xdr:colOff>880800</xdr:colOff>
      <xdr:row>114</xdr:row>
      <xdr:rowOff>82920</xdr:rowOff>
    </xdr:to>
    <xdr:graphicFrame macro="">
      <xdr:nvGraphicFramePr>
        <xdr:cNvPr id="12" name="Chart 11">
          <a:extLst>
            <a:ext uri="{FF2B5EF4-FFF2-40B4-BE49-F238E27FC236}">
              <a16:creationId xmlns:a16="http://schemas.microsoft.com/office/drawing/2014/main" id="{F045D519-55B0-41F2-B6A4-B3C3BC390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990600</xdr:colOff>
      <xdr:row>95</xdr:row>
      <xdr:rowOff>0</xdr:rowOff>
    </xdr:from>
    <xdr:to>
      <xdr:col>8</xdr:col>
      <xdr:colOff>438840</xdr:colOff>
      <xdr:row>114</xdr:row>
      <xdr:rowOff>67680</xdr:rowOff>
    </xdr:to>
    <xdr:graphicFrame macro="">
      <xdr:nvGraphicFramePr>
        <xdr:cNvPr id="13" name="Chart 12">
          <a:extLst>
            <a:ext uri="{FF2B5EF4-FFF2-40B4-BE49-F238E27FC236}">
              <a16:creationId xmlns:a16="http://schemas.microsoft.com/office/drawing/2014/main" id="{19812C62-292E-4970-83D2-E767151598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22860</xdr:colOff>
      <xdr:row>118</xdr:row>
      <xdr:rowOff>7620</xdr:rowOff>
    </xdr:from>
    <xdr:to>
      <xdr:col>4</xdr:col>
      <xdr:colOff>896040</xdr:colOff>
      <xdr:row>137</xdr:row>
      <xdr:rowOff>75300</xdr:rowOff>
    </xdr:to>
    <xdr:graphicFrame macro="">
      <xdr:nvGraphicFramePr>
        <xdr:cNvPr id="14" name="Chart 13">
          <a:extLst>
            <a:ext uri="{FF2B5EF4-FFF2-40B4-BE49-F238E27FC236}">
              <a16:creationId xmlns:a16="http://schemas.microsoft.com/office/drawing/2014/main" id="{CA5915EE-EB5C-4F17-9338-37F5EA54B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1013460</xdr:colOff>
      <xdr:row>118</xdr:row>
      <xdr:rowOff>22860</xdr:rowOff>
    </xdr:from>
    <xdr:to>
      <xdr:col>8</xdr:col>
      <xdr:colOff>461700</xdr:colOff>
      <xdr:row>137</xdr:row>
      <xdr:rowOff>90540</xdr:rowOff>
    </xdr:to>
    <xdr:graphicFrame macro="">
      <xdr:nvGraphicFramePr>
        <xdr:cNvPr id="16" name="Chart 15">
          <a:extLst>
            <a:ext uri="{FF2B5EF4-FFF2-40B4-BE49-F238E27FC236}">
              <a16:creationId xmlns:a16="http://schemas.microsoft.com/office/drawing/2014/main" id="{D655B637-B759-47EC-814A-C2B4E48C5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1043940</xdr:colOff>
      <xdr:row>139</xdr:row>
      <xdr:rowOff>7620</xdr:rowOff>
    </xdr:from>
    <xdr:to>
      <xdr:col>8</xdr:col>
      <xdr:colOff>492180</xdr:colOff>
      <xdr:row>156</xdr:row>
      <xdr:rowOff>37200</xdr:rowOff>
    </xdr:to>
    <xdr:graphicFrame macro="">
      <xdr:nvGraphicFramePr>
        <xdr:cNvPr id="17" name="Chart 16">
          <a:extLst>
            <a:ext uri="{FF2B5EF4-FFF2-40B4-BE49-F238E27FC236}">
              <a16:creationId xmlns:a16="http://schemas.microsoft.com/office/drawing/2014/main" id="{328F1BCD-6EF3-401E-9CC9-A248BD1AD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45720</xdr:colOff>
      <xdr:row>139</xdr:row>
      <xdr:rowOff>7620</xdr:rowOff>
    </xdr:from>
    <xdr:to>
      <xdr:col>4</xdr:col>
      <xdr:colOff>918900</xdr:colOff>
      <xdr:row>156</xdr:row>
      <xdr:rowOff>37200</xdr:rowOff>
    </xdr:to>
    <xdr:graphicFrame macro="">
      <xdr:nvGraphicFramePr>
        <xdr:cNvPr id="19" name="Chart 18">
          <a:extLst>
            <a:ext uri="{FF2B5EF4-FFF2-40B4-BE49-F238E27FC236}">
              <a16:creationId xmlns:a16="http://schemas.microsoft.com/office/drawing/2014/main" id="{D332B362-5E91-4124-9A9D-13BD17D9D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38100</xdr:colOff>
      <xdr:row>158</xdr:row>
      <xdr:rowOff>167640</xdr:rowOff>
    </xdr:from>
    <xdr:to>
      <xdr:col>4</xdr:col>
      <xdr:colOff>911280</xdr:colOff>
      <xdr:row>178</xdr:row>
      <xdr:rowOff>52440</xdr:rowOff>
    </xdr:to>
    <xdr:graphicFrame macro="">
      <xdr:nvGraphicFramePr>
        <xdr:cNvPr id="20" name="Chart 19">
          <a:extLst>
            <a:ext uri="{FF2B5EF4-FFF2-40B4-BE49-F238E27FC236}">
              <a16:creationId xmlns:a16="http://schemas.microsoft.com/office/drawing/2014/main" id="{B442ABB1-B6D2-4AE4-8915-7C82D49BA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1043940</xdr:colOff>
      <xdr:row>158</xdr:row>
      <xdr:rowOff>152400</xdr:rowOff>
    </xdr:from>
    <xdr:to>
      <xdr:col>8</xdr:col>
      <xdr:colOff>492180</xdr:colOff>
      <xdr:row>178</xdr:row>
      <xdr:rowOff>37200</xdr:rowOff>
    </xdr:to>
    <xdr:graphicFrame macro="">
      <xdr:nvGraphicFramePr>
        <xdr:cNvPr id="22" name="Chart 21">
          <a:extLst>
            <a:ext uri="{FF2B5EF4-FFF2-40B4-BE49-F238E27FC236}">
              <a16:creationId xmlns:a16="http://schemas.microsoft.com/office/drawing/2014/main" id="{5487F4D9-89B7-40B7-99F7-E524CC5BC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30480</xdr:colOff>
      <xdr:row>178</xdr:row>
      <xdr:rowOff>121920</xdr:rowOff>
    </xdr:from>
    <xdr:to>
      <xdr:col>8</xdr:col>
      <xdr:colOff>533400</xdr:colOff>
      <xdr:row>196</xdr:row>
      <xdr:rowOff>30480</xdr:rowOff>
    </xdr:to>
    <xdr:graphicFrame macro="">
      <xdr:nvGraphicFramePr>
        <xdr:cNvPr id="23" name="Chart 22">
          <a:extLst>
            <a:ext uri="{FF2B5EF4-FFF2-40B4-BE49-F238E27FC236}">
              <a16:creationId xmlns:a16="http://schemas.microsoft.com/office/drawing/2014/main" id="{79DBC6B7-8841-4003-BB8E-7EF90D490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7620</xdr:colOff>
      <xdr:row>87</xdr:row>
      <xdr:rowOff>213360</xdr:rowOff>
    </xdr:from>
    <xdr:to>
      <xdr:col>9</xdr:col>
      <xdr:colOff>7620</xdr:colOff>
      <xdr:row>87</xdr:row>
      <xdr:rowOff>480060</xdr:rowOff>
    </xdr:to>
    <xdr:sp macro="" textlink="">
      <xdr:nvSpPr>
        <xdr:cNvPr id="24" name="Rectangle 23">
          <a:extLst>
            <a:ext uri="{FF2B5EF4-FFF2-40B4-BE49-F238E27FC236}">
              <a16:creationId xmlns:a16="http://schemas.microsoft.com/office/drawing/2014/main" id="{972F525B-36AD-8E98-55D8-BB2DD4C92A83}"/>
            </a:ext>
          </a:extLst>
        </xdr:cNvPr>
        <xdr:cNvSpPr/>
      </xdr:nvSpPr>
      <xdr:spPr>
        <a:xfrm>
          <a:off x="2225040" y="16535400"/>
          <a:ext cx="9974580" cy="266700"/>
        </a:xfrm>
        <a:prstGeom prst="rect">
          <a:avLst/>
        </a:prstGeom>
        <a:solidFill>
          <a:schemeClr val="accent5">
            <a:lumMod val="20000"/>
            <a:lumOff val="80000"/>
          </a:schemeClr>
        </a:solidFill>
        <a:ln>
          <a:solidFill>
            <a:sysClr val="windowText" lastClr="000000"/>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1100" b="1"/>
            <a:t>Favourite</a:t>
          </a:r>
          <a:r>
            <a:rPr lang="en-IN" sz="1100" b="1" baseline="0"/>
            <a:t> Genres By The Age Group (The HeatMap) </a:t>
          </a:r>
          <a:endParaRPr lang="en-IN" sz="1100" b="1"/>
        </a:p>
      </xdr:txBody>
    </xdr:sp>
    <xdr:clientData/>
  </xdr:twoCellAnchor>
  <xdr:twoCellAnchor editAs="oneCell">
    <xdr:from>
      <xdr:col>5</xdr:col>
      <xdr:colOff>7620</xdr:colOff>
      <xdr:row>30</xdr:row>
      <xdr:rowOff>167641</xdr:rowOff>
    </xdr:from>
    <xdr:to>
      <xdr:col>8</xdr:col>
      <xdr:colOff>236220</xdr:colOff>
      <xdr:row>35</xdr:row>
      <xdr:rowOff>144780</xdr:rowOff>
    </xdr:to>
    <mc:AlternateContent xmlns:mc="http://schemas.openxmlformats.org/markup-compatibility/2006" xmlns:a14="http://schemas.microsoft.com/office/drawing/2010/main">
      <mc:Choice Requires="a14">
        <xdr:graphicFrame macro="">
          <xdr:nvGraphicFramePr>
            <xdr:cNvPr id="25" name="Country">
              <a:extLst>
                <a:ext uri="{FF2B5EF4-FFF2-40B4-BE49-F238E27FC236}">
                  <a16:creationId xmlns:a16="http://schemas.microsoft.com/office/drawing/2014/main" id="{A04C6029-7ED6-452E-B976-5C7CBA235D2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316980" y="5905501"/>
              <a:ext cx="4503420" cy="891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1417320</xdr:colOff>
      <xdr:row>36</xdr:row>
      <xdr:rowOff>38101</xdr:rowOff>
    </xdr:from>
    <xdr:to>
      <xdr:col>8</xdr:col>
      <xdr:colOff>221160</xdr:colOff>
      <xdr:row>40</xdr:row>
      <xdr:rowOff>30480</xdr:rowOff>
    </xdr:to>
    <mc:AlternateContent xmlns:mc="http://schemas.openxmlformats.org/markup-compatibility/2006" xmlns:a14="http://schemas.microsoft.com/office/drawing/2010/main">
      <mc:Choice Requires="a14">
        <xdr:graphicFrame macro="">
          <xdr:nvGraphicFramePr>
            <xdr:cNvPr id="26" name="Age_Group">
              <a:extLst>
                <a:ext uri="{FF2B5EF4-FFF2-40B4-BE49-F238E27FC236}">
                  <a16:creationId xmlns:a16="http://schemas.microsoft.com/office/drawing/2014/main" id="{2DF8AF05-7E81-4A4C-8E53-C509D669369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6301740" y="6873241"/>
              <a:ext cx="4503600" cy="723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53340</xdr:colOff>
      <xdr:row>40</xdr:row>
      <xdr:rowOff>91440</xdr:rowOff>
    </xdr:from>
    <xdr:to>
      <xdr:col>6</xdr:col>
      <xdr:colOff>784800</xdr:colOff>
      <xdr:row>49</xdr:row>
      <xdr:rowOff>7620</xdr:rowOff>
    </xdr:to>
    <mc:AlternateContent xmlns:mc="http://schemas.openxmlformats.org/markup-compatibility/2006" xmlns:a14="http://schemas.microsoft.com/office/drawing/2010/main">
      <mc:Choice Requires="a14">
        <xdr:graphicFrame macro="">
          <xdr:nvGraphicFramePr>
            <xdr:cNvPr id="28" name="Favorite_Genre">
              <a:extLst>
                <a:ext uri="{FF2B5EF4-FFF2-40B4-BE49-F238E27FC236}">
                  <a16:creationId xmlns:a16="http://schemas.microsoft.com/office/drawing/2014/main" id="{54C08845-E20B-4EF4-AF2C-543A9980F7D3}"/>
                </a:ext>
              </a:extLst>
            </xdr:cNvPr>
            <xdr:cNvGraphicFramePr/>
          </xdr:nvGraphicFramePr>
          <xdr:xfrm>
            <a:off x="0" y="0"/>
            <a:ext cx="0" cy="0"/>
          </xdr:xfrm>
          <a:graphic>
            <a:graphicData uri="http://schemas.microsoft.com/office/drawing/2010/slicer">
              <sle:slicer xmlns:sle="http://schemas.microsoft.com/office/drawing/2010/slicer" name="Favorite_Genre"/>
            </a:graphicData>
          </a:graphic>
        </xdr:graphicFrame>
      </mc:Choice>
      <mc:Fallback xmlns="">
        <xdr:sp macro="" textlink="">
          <xdr:nvSpPr>
            <xdr:cNvPr id="0" name=""/>
            <xdr:cNvSpPr>
              <a:spLocks noTextEdit="1"/>
            </xdr:cNvSpPr>
          </xdr:nvSpPr>
          <xdr:spPr>
            <a:xfrm>
              <a:off x="6362700" y="7658100"/>
              <a:ext cx="215640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883920</xdr:colOff>
      <xdr:row>40</xdr:row>
      <xdr:rowOff>91440</xdr:rowOff>
    </xdr:from>
    <xdr:to>
      <xdr:col>8</xdr:col>
      <xdr:colOff>190500</xdr:colOff>
      <xdr:row>49</xdr:row>
      <xdr:rowOff>7920</xdr:rowOff>
    </xdr:to>
    <mc:AlternateContent xmlns:mc="http://schemas.openxmlformats.org/markup-compatibility/2006" xmlns:a14="http://schemas.microsoft.com/office/drawing/2010/main">
      <mc:Choice Requires="a14">
        <xdr:graphicFrame macro="">
          <xdr:nvGraphicFramePr>
            <xdr:cNvPr id="29" name="Price Tier ">
              <a:extLst>
                <a:ext uri="{FF2B5EF4-FFF2-40B4-BE49-F238E27FC236}">
                  <a16:creationId xmlns:a16="http://schemas.microsoft.com/office/drawing/2014/main" id="{3CDE028C-E6E5-422B-BF43-98C61F6E6F9C}"/>
                </a:ext>
              </a:extLst>
            </xdr:cNvPr>
            <xdr:cNvGraphicFramePr/>
          </xdr:nvGraphicFramePr>
          <xdr:xfrm>
            <a:off x="0" y="0"/>
            <a:ext cx="0" cy="0"/>
          </xdr:xfrm>
          <a:graphic>
            <a:graphicData uri="http://schemas.microsoft.com/office/drawing/2010/slicer">
              <sle:slicer xmlns:sle="http://schemas.microsoft.com/office/drawing/2010/slicer" name="Price Tier "/>
            </a:graphicData>
          </a:graphic>
        </xdr:graphicFrame>
      </mc:Choice>
      <mc:Fallback xmlns="">
        <xdr:sp macro="" textlink="">
          <xdr:nvSpPr>
            <xdr:cNvPr id="0" name=""/>
            <xdr:cNvSpPr>
              <a:spLocks noTextEdit="1"/>
            </xdr:cNvSpPr>
          </xdr:nvSpPr>
          <xdr:spPr>
            <a:xfrm>
              <a:off x="8618220" y="7658100"/>
              <a:ext cx="2156460" cy="1562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xdr:colOff>
      <xdr:row>1</xdr:row>
      <xdr:rowOff>30480</xdr:rowOff>
    </xdr:from>
    <xdr:to>
      <xdr:col>9</xdr:col>
      <xdr:colOff>0</xdr:colOff>
      <xdr:row>7</xdr:row>
      <xdr:rowOff>99060</xdr:rowOff>
    </xdr:to>
    <mc:AlternateContent xmlns:mc="http://schemas.openxmlformats.org/markup-compatibility/2006" xmlns:tsle="http://schemas.microsoft.com/office/drawing/2012/timeslicer">
      <mc:Choice Requires="tsle">
        <xdr:graphicFrame macro="">
          <xdr:nvGraphicFramePr>
            <xdr:cNvPr id="30" name="Join_Date">
              <a:extLst>
                <a:ext uri="{FF2B5EF4-FFF2-40B4-BE49-F238E27FC236}">
                  <a16:creationId xmlns:a16="http://schemas.microsoft.com/office/drawing/2014/main" id="{FF05AE21-96F0-4BCE-8906-21A35D413691}"/>
                </a:ext>
              </a:extLst>
            </xdr:cNvPr>
            <xdr:cNvGraphicFramePr/>
          </xdr:nvGraphicFramePr>
          <xdr:xfrm>
            <a:off x="0" y="0"/>
            <a:ext cx="0" cy="0"/>
          </xdr:xfrm>
          <a:graphic>
            <a:graphicData uri="http://schemas.microsoft.com/office/drawing/2012/timeslicer">
              <tsle:timeslicer name="Join_Date"/>
            </a:graphicData>
          </a:graphic>
        </xdr:graphicFrame>
      </mc:Choice>
      <mc:Fallback xmlns="">
        <xdr:sp macro="" textlink="">
          <xdr:nvSpPr>
            <xdr:cNvPr id="0" name=""/>
            <xdr:cNvSpPr>
              <a:spLocks noTextEdit="1"/>
            </xdr:cNvSpPr>
          </xdr:nvSpPr>
          <xdr:spPr>
            <a:xfrm>
              <a:off x="617220" y="213360"/>
              <a:ext cx="11391900" cy="11658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mal" refreshedDate="46026.45846840278" createdVersion="8" refreshedVersion="8" minRefreshableVersion="3" recordCount="1000" xr:uid="{05CF6348-5586-4916-8389-4DA263D0456F}">
  <cacheSource type="worksheet">
    <worksheetSource name="Table1"/>
  </cacheSource>
  <cacheFields count="34">
    <cacheField name="User_ID" numFmtId="1">
      <sharedItems containsSemiMixedTypes="0" containsString="0" containsNumber="1" containsInteger="1" minValue="1003" maxValue="9996"/>
    </cacheField>
    <cacheField name="User_Name" numFmtId="49">
      <sharedItems/>
    </cacheField>
    <cacheField name="Join_Date" numFmtId="14">
      <sharedItems containsSemiMixedTypes="0" containsNonDate="0" containsDate="1" containsString="0" minDate="2022-12-19T00:00:00" maxDate="2024-12-12T00:00:00" count="537">
        <d v="2023-05-15T00:00:00"/>
        <d v="2023-04-03T00:00:00"/>
        <d v="2023-08-02T00:00:00"/>
        <d v="2023-01-31T00:00:00"/>
        <d v="2023-06-06T00:00:00"/>
        <d v="2023-09-17T00:00:00"/>
        <d v="2024-08-25T00:00:00"/>
        <d v="2024-05-31T00:00:00"/>
        <d v="2023-06-17T00:00:00"/>
        <d v="2023-12-02T00:00:00"/>
        <d v="2023-03-28T00:00:00"/>
        <d v="2024-03-02T00:00:00"/>
        <d v="2023-03-27T00:00:00"/>
        <d v="2024-09-15T00:00:00"/>
        <d v="2023-06-07T00:00:00"/>
        <d v="2024-05-18T00:00:00"/>
        <d v="2023-02-14T00:00:00"/>
        <d v="2023-06-02T00:00:00"/>
        <d v="2023-09-20T00:00:00"/>
        <d v="2023-07-03T00:00:00"/>
        <d v="2023-07-15T00:00:00"/>
        <d v="2024-06-13T00:00:00"/>
        <d v="2023-11-19T00:00:00"/>
        <d v="2023-09-22T00:00:00"/>
        <d v="2024-05-15T00:00:00"/>
        <d v="2023-06-19T00:00:00"/>
        <d v="2024-05-22T00:00:00"/>
        <d v="2024-01-30T00:00:00"/>
        <d v="2024-03-28T00:00:00"/>
        <d v="2024-07-02T00:00:00"/>
        <d v="2024-12-02T00:00:00"/>
        <d v="2023-06-22T00:00:00"/>
        <d v="2023-11-28T00:00:00"/>
        <d v="2024-01-10T00:00:00"/>
        <d v="2024-10-03T00:00:00"/>
        <d v="2023-09-15T00:00:00"/>
        <d v="2024-10-01T00:00:00"/>
        <d v="2023-08-18T00:00:00"/>
        <d v="2024-02-16T00:00:00"/>
        <d v="2024-08-07T00:00:00"/>
        <d v="2024-09-17T00:00:00"/>
        <d v="2023-07-18T00:00:00"/>
        <d v="2023-04-04T00:00:00"/>
        <d v="2024-04-11T00:00:00"/>
        <d v="2023-04-26T00:00:00"/>
        <d v="2023-03-25T00:00:00"/>
        <d v="2023-09-01T00:00:00"/>
        <d v="2023-03-26T00:00:00"/>
        <d v="2024-06-18T00:00:00"/>
        <d v="2023-07-27T00:00:00"/>
        <d v="2024-10-31T00:00:00"/>
        <d v="2022-12-26T00:00:00"/>
        <d v="2024-04-06T00:00:00"/>
        <d v="2022-12-31T00:00:00"/>
        <d v="2022-12-24T00:00:00"/>
        <d v="2024-09-08T00:00:00"/>
        <d v="2023-12-19T00:00:00"/>
        <d v="2023-10-12T00:00:00"/>
        <d v="2023-02-03T00:00:00"/>
        <d v="2024-11-24T00:00:00"/>
        <d v="2023-06-24T00:00:00"/>
        <d v="2023-12-29T00:00:00"/>
        <d v="2023-03-01T00:00:00"/>
        <d v="2024-03-15T00:00:00"/>
        <d v="2023-04-13T00:00:00"/>
        <d v="2023-02-19T00:00:00"/>
        <d v="2023-11-26T00:00:00"/>
        <d v="2023-10-13T00:00:00"/>
        <d v="2023-07-31T00:00:00"/>
        <d v="2023-09-06T00:00:00"/>
        <d v="2024-07-08T00:00:00"/>
        <d v="2024-07-20T00:00:00"/>
        <d v="2023-12-06T00:00:00"/>
        <d v="2023-10-25T00:00:00"/>
        <d v="2023-12-31T00:00:00"/>
        <d v="2023-08-20T00:00:00"/>
        <d v="2024-10-20T00:00:00"/>
        <d v="2024-07-22T00:00:00"/>
        <d v="2024-08-21T00:00:00"/>
        <d v="2024-08-31T00:00:00"/>
        <d v="2023-04-30T00:00:00"/>
        <d v="2023-12-18T00:00:00"/>
        <d v="2023-10-22T00:00:00"/>
        <d v="2024-02-29T00:00:00"/>
        <d v="2023-09-11T00:00:00"/>
        <d v="2024-06-24T00:00:00"/>
        <d v="2023-02-05T00:00:00"/>
        <d v="2023-10-21T00:00:00"/>
        <d v="2023-08-03T00:00:00"/>
        <d v="2023-10-28T00:00:00"/>
        <d v="2023-04-15T00:00:00"/>
        <d v="2022-12-19T00:00:00"/>
        <d v="2024-02-14T00:00:00"/>
        <d v="2024-06-01T00:00:00"/>
        <d v="2023-07-23T00:00:00"/>
        <d v="2024-10-30T00:00:00"/>
        <d v="2023-12-08T00:00:00"/>
        <d v="2024-07-06T00:00:00"/>
        <d v="2023-06-20T00:00:00"/>
        <d v="2024-03-19T00:00:00"/>
        <d v="2023-02-17T00:00:00"/>
        <d v="2023-08-06T00:00:00"/>
        <d v="2022-12-21T00:00:00"/>
        <d v="2024-03-03T00:00:00"/>
        <d v="2024-02-11T00:00:00"/>
        <d v="2024-09-26T00:00:00"/>
        <d v="2023-10-01T00:00:00"/>
        <d v="2024-12-09T00:00:00"/>
        <d v="2023-04-02T00:00:00"/>
        <d v="2024-07-11T00:00:00"/>
        <d v="2024-01-20T00:00:00"/>
        <d v="2024-11-18T00:00:00"/>
        <d v="2023-03-07T00:00:00"/>
        <d v="2023-10-03T00:00:00"/>
        <d v="2024-11-23T00:00:00"/>
        <d v="2024-11-14T00:00:00"/>
        <d v="2023-02-08T00:00:00"/>
        <d v="2024-10-15T00:00:00"/>
        <d v="2024-05-30T00:00:00"/>
        <d v="2023-01-23T00:00:00"/>
        <d v="2023-11-24T00:00:00"/>
        <d v="2024-02-02T00:00:00"/>
        <d v="2024-11-21T00:00:00"/>
        <d v="2023-03-19T00:00:00"/>
        <d v="2023-05-03T00:00:00"/>
        <d v="2024-11-22T00:00:00"/>
        <d v="2024-01-12T00:00:00"/>
        <d v="2022-12-25T00:00:00"/>
        <d v="2023-02-20T00:00:00"/>
        <d v="2024-12-01T00:00:00"/>
        <d v="2023-05-12T00:00:00"/>
        <d v="2023-02-23T00:00:00"/>
        <d v="2023-05-05T00:00:00"/>
        <d v="2023-09-05T00:00:00"/>
        <d v="2024-10-17T00:00:00"/>
        <d v="2024-08-11T00:00:00"/>
        <d v="2024-09-30T00:00:00"/>
        <d v="2022-12-30T00:00:00"/>
        <d v="2024-04-04T00:00:00"/>
        <d v="2023-03-06T00:00:00"/>
        <d v="2023-10-18T00:00:00"/>
        <d v="2024-06-17T00:00:00"/>
        <d v="2024-01-14T00:00:00"/>
        <d v="2023-11-03T00:00:00"/>
        <d v="2024-02-01T00:00:00"/>
        <d v="2024-04-28T00:00:00"/>
        <d v="2024-09-21T00:00:00"/>
        <d v="2023-02-07T00:00:00"/>
        <d v="2023-06-10T00:00:00"/>
        <d v="2024-05-19T00:00:00"/>
        <d v="2024-02-20T00:00:00"/>
        <d v="2023-03-13T00:00:00"/>
        <d v="2023-02-25T00:00:00"/>
        <d v="2023-10-17T00:00:00"/>
        <d v="2023-04-19T00:00:00"/>
        <d v="2024-02-23T00:00:00"/>
        <d v="2023-06-18T00:00:00"/>
        <d v="2024-03-26T00:00:00"/>
        <d v="2024-12-10T00:00:00"/>
        <d v="2024-11-16T00:00:00"/>
        <d v="2024-10-21T00:00:00"/>
        <d v="2024-01-26T00:00:00"/>
        <d v="2023-09-24T00:00:00"/>
        <d v="2024-02-07T00:00:00"/>
        <d v="2023-07-06T00:00:00"/>
        <d v="2024-07-17T00:00:00"/>
        <d v="2024-10-27T00:00:00"/>
        <d v="2024-07-04T00:00:00"/>
        <d v="2024-08-13T00:00:00"/>
        <d v="2024-05-05T00:00:00"/>
        <d v="2023-12-04T00:00:00"/>
        <d v="2024-02-22T00:00:00"/>
        <d v="2023-05-14T00:00:00"/>
        <d v="2023-06-08T00:00:00"/>
        <d v="2024-08-08T00:00:00"/>
        <d v="2023-06-11T00:00:00"/>
        <d v="2023-01-19T00:00:00"/>
        <d v="2023-05-10T00:00:00"/>
        <d v="2023-06-01T00:00:00"/>
        <d v="2024-05-03T00:00:00"/>
        <d v="2024-03-25T00:00:00"/>
        <d v="2023-05-22T00:00:00"/>
        <d v="2024-06-14T00:00:00"/>
        <d v="2023-08-17T00:00:00"/>
        <d v="2023-12-10T00:00:00"/>
        <d v="2024-02-27T00:00:00"/>
        <d v="2024-09-01T00:00:00"/>
        <d v="2024-08-16T00:00:00"/>
        <d v="2024-12-05T00:00:00"/>
        <d v="2023-08-12T00:00:00"/>
        <d v="2023-05-16T00:00:00"/>
        <d v="2024-09-19T00:00:00"/>
        <d v="2024-10-12T00:00:00"/>
        <d v="2024-09-12T00:00:00"/>
        <d v="2023-05-23T00:00:00"/>
        <d v="2023-11-12T00:00:00"/>
        <d v="2023-11-18T00:00:00"/>
        <d v="2023-09-08T00:00:00"/>
        <d v="2024-02-26T00:00:00"/>
        <d v="2023-07-11T00:00:00"/>
        <d v="2023-02-02T00:00:00"/>
        <d v="2023-01-01T00:00:00"/>
        <d v="2024-03-23T00:00:00"/>
        <d v="2024-01-09T00:00:00"/>
        <d v="2023-03-04T00:00:00"/>
        <d v="2024-01-04T00:00:00"/>
        <d v="2023-09-03T00:00:00"/>
        <d v="2024-09-23T00:00:00"/>
        <d v="2023-08-29T00:00:00"/>
        <d v="2023-12-26T00:00:00"/>
        <d v="2024-04-25T00:00:00"/>
        <d v="2023-04-24T00:00:00"/>
        <d v="2023-11-11T00:00:00"/>
        <d v="2023-08-30T00:00:00"/>
        <d v="2024-06-03T00:00:00"/>
        <d v="2024-01-29T00:00:00"/>
        <d v="2024-09-05T00:00:00"/>
        <d v="2023-02-24T00:00:00"/>
        <d v="2023-01-03T00:00:00"/>
        <d v="2024-03-09T00:00:00"/>
        <d v="2023-06-26T00:00:00"/>
        <d v="2024-06-02T00:00:00"/>
        <d v="2023-01-18T00:00:00"/>
        <d v="2023-10-15T00:00:00"/>
        <d v="2023-02-09T00:00:00"/>
        <d v="2024-11-17T00:00:00"/>
        <d v="2024-06-21T00:00:00"/>
        <d v="2024-09-24T00:00:00"/>
        <d v="2023-01-05T00:00:00"/>
        <d v="2023-07-26T00:00:00"/>
        <d v="2023-05-29T00:00:00"/>
        <d v="2023-10-23T00:00:00"/>
        <d v="2023-04-22T00:00:00"/>
        <d v="2023-02-21T00:00:00"/>
        <d v="2024-10-28T00:00:00"/>
        <d v="2024-05-10T00:00:00"/>
        <d v="2023-08-05T00:00:00"/>
        <d v="2024-07-28T00:00:00"/>
        <d v="2024-07-10T00:00:00"/>
        <d v="2023-07-28T00:00:00"/>
        <d v="2024-10-10T00:00:00"/>
        <d v="2023-04-17T00:00:00"/>
        <d v="2023-02-15T00:00:00"/>
        <d v="2024-01-19T00:00:00"/>
        <d v="2023-07-21T00:00:00"/>
        <d v="2024-10-29T00:00:00"/>
        <d v="2024-02-03T00:00:00"/>
        <d v="2023-08-08T00:00:00"/>
        <d v="2024-01-13T00:00:00"/>
        <d v="2024-09-27T00:00:00"/>
        <d v="2023-08-04T00:00:00"/>
        <d v="2023-01-28T00:00:00"/>
        <d v="2024-03-14T00:00:00"/>
        <d v="2023-03-08T00:00:00"/>
        <d v="2024-05-17T00:00:00"/>
        <d v="2023-01-24T00:00:00"/>
        <d v="2024-05-09T00:00:00"/>
        <d v="2023-05-31T00:00:00"/>
        <d v="2024-08-10T00:00:00"/>
        <d v="2024-09-25T00:00:00"/>
        <d v="2023-08-11T00:00:00"/>
        <d v="2024-01-05T00:00:00"/>
        <d v="2023-12-22T00:00:00"/>
        <d v="2023-12-28T00:00:00"/>
        <d v="2023-03-18T00:00:00"/>
        <d v="2024-11-05T00:00:00"/>
        <d v="2023-05-26T00:00:00"/>
        <d v="2024-10-14T00:00:00"/>
        <d v="2024-08-19T00:00:00"/>
        <d v="2023-03-20T00:00:00"/>
        <d v="2023-01-25T00:00:00"/>
        <d v="2023-09-29T00:00:00"/>
        <d v="2024-04-13T00:00:00"/>
        <d v="2023-07-09T00:00:00"/>
        <d v="2022-12-27T00:00:00"/>
        <d v="2023-04-12T00:00:00"/>
        <d v="2024-09-02T00:00:00"/>
        <d v="2024-07-21T00:00:00"/>
        <d v="2024-09-11T00:00:00"/>
        <d v="2024-09-16T00:00:00"/>
        <d v="2024-01-16T00:00:00"/>
        <d v="2023-01-26T00:00:00"/>
        <d v="2023-05-21T00:00:00"/>
        <d v="2024-04-21T00:00:00"/>
        <d v="2024-08-29T00:00:00"/>
        <d v="2023-11-30T00:00:00"/>
        <d v="2024-01-02T00:00:00"/>
        <d v="2024-01-18T00:00:00"/>
        <d v="2023-09-04T00:00:00"/>
        <d v="2024-07-27T00:00:00"/>
        <d v="2024-04-17T00:00:00"/>
        <d v="2024-07-23T00:00:00"/>
        <d v="2024-04-19T00:00:00"/>
        <d v="2023-09-19T00:00:00"/>
        <d v="2023-07-10T00:00:00"/>
        <d v="2024-07-30T00:00:00"/>
        <d v="2023-08-28T00:00:00"/>
        <d v="2024-06-30T00:00:00"/>
        <d v="2023-11-07T00:00:00"/>
        <d v="2024-06-20T00:00:00"/>
        <d v="2024-04-22T00:00:00"/>
        <d v="2024-08-28T00:00:00"/>
        <d v="2022-12-20T00:00:00"/>
        <d v="2024-01-25T00:00:00"/>
        <d v="2024-08-22T00:00:00"/>
        <d v="2023-10-27T00:00:00"/>
        <d v="2023-04-21T00:00:00"/>
        <d v="2023-12-30T00:00:00"/>
        <d v="2024-11-20T00:00:00"/>
        <d v="2024-02-19T00:00:00"/>
        <d v="2024-05-08T00:00:00"/>
        <d v="2024-10-13T00:00:00"/>
        <d v="2024-10-02T00:00:00"/>
        <d v="2024-11-29T00:00:00"/>
        <d v="2024-09-18T00:00:00"/>
        <d v="2023-05-17T00:00:00"/>
        <d v="2024-09-13T00:00:00"/>
        <d v="2024-01-21T00:00:00"/>
        <d v="2023-05-25T00:00:00"/>
        <d v="2024-10-05T00:00:00"/>
        <d v="2023-12-13T00:00:00"/>
        <d v="2024-02-06T00:00:00"/>
        <d v="2024-11-03T00:00:00"/>
        <d v="2024-09-07T00:00:00"/>
        <d v="2023-05-08T00:00:00"/>
        <d v="2024-07-13T00:00:00"/>
        <d v="2023-11-09T00:00:00"/>
        <d v="2023-12-07T00:00:00"/>
        <d v="2024-03-21T00:00:00"/>
        <d v="2023-12-11T00:00:00"/>
        <d v="2023-08-26T00:00:00"/>
        <d v="2024-10-07T00:00:00"/>
        <d v="2023-09-28T00:00:00"/>
        <d v="2023-01-15T00:00:00"/>
        <d v="2023-04-07T00:00:00"/>
        <d v="2023-08-25T00:00:00"/>
        <d v="2023-04-20T00:00:00"/>
        <d v="2023-09-10T00:00:00"/>
        <d v="2024-06-22T00:00:00"/>
        <d v="2023-06-15T00:00:00"/>
        <d v="2023-10-31T00:00:00"/>
        <d v="2023-11-06T00:00:00"/>
        <d v="2023-12-14T00:00:00"/>
        <d v="2024-04-23T00:00:00"/>
        <d v="2023-01-29T00:00:00"/>
        <d v="2024-06-06T00:00:00"/>
        <d v="2023-10-02T00:00:00"/>
        <d v="2023-11-13T00:00:00"/>
        <d v="2024-02-24T00:00:00"/>
        <d v="2024-08-02T00:00:00"/>
        <d v="2024-05-04T00:00:00"/>
        <d v="2023-06-04T00:00:00"/>
        <d v="2024-05-29T00:00:00"/>
        <d v="2023-03-21T00:00:00"/>
        <d v="2024-03-06T00:00:00"/>
        <d v="2024-03-20T00:00:00"/>
        <d v="2024-06-04T00:00:00"/>
        <d v="2024-01-01T00:00:00"/>
        <d v="2024-03-22T00:00:00"/>
        <d v="2023-02-10T00:00:00"/>
        <d v="2024-10-22T00:00:00"/>
        <d v="2023-03-29T00:00:00"/>
        <d v="2024-08-01T00:00:00"/>
        <d v="2024-05-12T00:00:00"/>
        <d v="2023-03-05T00:00:00"/>
        <d v="2024-06-16T00:00:00"/>
        <d v="2023-05-18T00:00:00"/>
        <d v="2023-04-08T00:00:00"/>
        <d v="2023-01-17T00:00:00"/>
        <d v="2023-05-27T00:00:00"/>
        <d v="2024-04-14T00:00:00"/>
        <d v="2023-12-12T00:00:00"/>
        <d v="2023-02-26T00:00:00"/>
        <d v="2023-07-08T00:00:00"/>
        <d v="2023-01-08T00:00:00"/>
        <d v="2024-03-05T00:00:00"/>
        <d v="2024-05-11T00:00:00"/>
        <d v="2023-12-15T00:00:00"/>
        <d v="2023-03-17T00:00:00"/>
        <d v="2024-03-31T00:00:00"/>
        <d v="2024-07-12T00:00:00"/>
        <d v="2023-09-18T00:00:00"/>
        <d v="2024-11-27T00:00:00"/>
        <d v="2023-09-13T00:00:00"/>
        <d v="2024-04-24T00:00:00"/>
        <d v="2024-10-24T00:00:00"/>
        <d v="2024-06-07T00:00:00"/>
        <d v="2024-02-28T00:00:00"/>
        <d v="2023-11-20T00:00:00"/>
        <d v="2024-07-15T00:00:00"/>
        <d v="2024-10-18T00:00:00"/>
        <d v="2023-06-23T00:00:00"/>
        <d v="2023-05-19T00:00:00"/>
        <d v="2023-03-03T00:00:00"/>
        <d v="2024-01-17T00:00:00"/>
        <d v="2023-07-29T00:00:00"/>
        <d v="2024-05-14T00:00:00"/>
        <d v="2023-03-02T00:00:00"/>
        <d v="2023-08-23T00:00:00"/>
        <d v="2023-08-31T00:00:00"/>
        <d v="2023-05-07T00:00:00"/>
        <d v="2024-04-29T00:00:00"/>
        <d v="2023-07-07T00:00:00"/>
        <d v="2024-05-02T00:00:00"/>
        <d v="2024-07-19T00:00:00"/>
        <d v="2023-06-14T00:00:00"/>
        <d v="2023-12-21T00:00:00"/>
        <d v="2024-11-02T00:00:00"/>
        <d v="2023-04-05T00:00:00"/>
        <d v="2023-09-09T00:00:00"/>
        <d v="2023-04-14T00:00:00"/>
        <d v="2024-06-26T00:00:00"/>
        <d v="2024-04-08T00:00:00"/>
        <d v="2023-04-25T00:00:00"/>
        <d v="2024-01-07T00:00:00"/>
        <d v="2024-02-12T00:00:00"/>
        <d v="2024-09-22T00:00:00"/>
        <d v="2023-01-02T00:00:00"/>
        <d v="2023-12-20T00:00:00"/>
        <d v="2024-02-15T00:00:00"/>
        <d v="2024-04-12T00:00:00"/>
        <d v="2024-10-11T00:00:00"/>
        <d v="2023-10-06T00:00:00"/>
        <d v="2023-09-26T00:00:00"/>
        <d v="2022-12-23T00:00:00"/>
        <d v="2023-09-23T00:00:00"/>
        <d v="2024-03-01T00:00:00"/>
        <d v="2023-05-01T00:00:00"/>
        <d v="2023-04-06T00:00:00"/>
        <d v="2024-06-11T00:00:00"/>
        <d v="2024-11-30T00:00:00"/>
        <d v="2023-10-30T00:00:00"/>
        <d v="2024-03-11T00:00:00"/>
        <d v="2024-09-03T00:00:00"/>
        <d v="2023-06-27T00:00:00"/>
        <d v="2024-11-28T00:00:00"/>
        <d v="2023-08-07T00:00:00"/>
        <d v="2023-10-05T00:00:00"/>
        <d v="2024-02-17T00:00:00"/>
        <d v="2024-05-07T00:00:00"/>
        <d v="2023-02-13T00:00:00"/>
        <d v="2024-06-10T00:00:00"/>
        <d v="2023-09-16T00:00:00"/>
        <d v="2024-01-06T00:00:00"/>
        <d v="2024-04-01T00:00:00"/>
        <d v="2024-04-02T00:00:00"/>
        <d v="2024-07-24T00:00:00"/>
        <d v="2024-07-09T00:00:00"/>
        <d v="2024-06-08T00:00:00"/>
        <d v="2024-10-19T00:00:00"/>
        <d v="2024-04-07T00:00:00"/>
        <d v="2024-11-13T00:00:00"/>
        <d v="2023-12-16T00:00:00"/>
        <d v="2023-03-22T00:00:00"/>
        <d v="2023-06-30T00:00:00"/>
        <d v="2024-07-25T00:00:00"/>
        <d v="2023-11-04T00:00:00"/>
        <d v="2023-09-07T00:00:00"/>
        <d v="2024-05-25T00:00:00"/>
        <d v="2023-04-10T00:00:00"/>
        <d v="2024-10-25T00:00:00"/>
        <d v="2023-05-28T00:00:00"/>
        <d v="2023-11-15T00:00:00"/>
        <d v="2023-01-16T00:00:00"/>
        <d v="2024-11-06T00:00:00"/>
        <d v="2024-05-23T00:00:00"/>
        <d v="2024-07-14T00:00:00"/>
        <d v="2023-09-21T00:00:00"/>
        <d v="2023-07-25T00:00:00"/>
        <d v="2023-06-03T00:00:00"/>
        <d v="2023-01-12T00:00:00"/>
        <d v="2023-02-16T00:00:00"/>
        <d v="2023-11-05T00:00:00"/>
        <d v="2024-02-21T00:00:00"/>
        <d v="2024-08-23T00:00:00"/>
        <d v="2023-03-10T00:00:00"/>
        <d v="2023-07-19T00:00:00"/>
        <d v="2023-10-04T00:00:00"/>
        <d v="2023-02-11T00:00:00"/>
        <d v="2024-11-09T00:00:00"/>
        <d v="2023-05-11T00:00:00"/>
        <d v="2024-06-25T00:00:00"/>
        <d v="2023-08-24T00:00:00"/>
        <d v="2024-08-20T00:00:00"/>
        <d v="2023-01-10T00:00:00"/>
        <d v="2024-12-08T00:00:00"/>
        <d v="2023-09-12T00:00:00"/>
        <d v="2024-11-11T00:00:00"/>
        <d v="2024-06-28T00:00:00"/>
        <d v="2024-01-27T00:00:00"/>
        <d v="2024-05-28T00:00:00"/>
        <d v="2023-04-28T00:00:00"/>
        <d v="2023-12-03T00:00:00"/>
        <d v="2024-08-14T00:00:00"/>
        <d v="2023-04-29T00:00:00"/>
        <d v="2024-03-07T00:00:00"/>
        <d v="2024-10-16T00:00:00"/>
        <d v="2023-01-30T00:00:00"/>
        <d v="2024-03-10T00:00:00"/>
        <d v="2024-09-04T00:00:00"/>
        <d v="2024-06-19T00:00:00"/>
        <d v="2023-10-26T00:00:00"/>
        <d v="2024-06-12T00:00:00"/>
        <d v="2024-10-06T00:00:00"/>
        <d v="2023-02-04T00:00:00"/>
        <d v="2023-04-16T00:00:00"/>
        <d v="2023-06-25T00:00:00"/>
        <d v="2023-02-18T00:00:00"/>
        <d v="2024-08-09T00:00:00"/>
        <d v="2023-06-16T00:00:00"/>
        <d v="2023-07-22T00:00:00"/>
        <d v="2023-08-27T00:00:00"/>
        <d v="2024-05-06T00:00:00"/>
        <d v="2023-01-13T00:00:00"/>
        <d v="2023-01-11T00:00:00"/>
        <d v="2023-08-13T00:00:00"/>
        <d v="2024-09-28T00:00:00"/>
        <d v="2023-11-29T00:00:00"/>
        <d v="2023-03-12T00:00:00"/>
        <d v="2023-06-21T00:00:00"/>
        <d v="2024-05-27T00:00:00"/>
        <d v="2024-06-05T00:00:00"/>
        <d v="2023-12-23T00:00:00"/>
        <d v="2024-04-30T00:00:00"/>
        <d v="2023-01-09T00:00:00"/>
        <d v="2024-02-10T00:00:00"/>
        <d v="2024-04-16T00:00:00"/>
        <d v="2023-12-17T00:00:00"/>
        <d v="2024-08-03T00:00:00"/>
        <d v="2023-11-08T00:00:00"/>
        <d v="2024-12-11T00:00:00"/>
        <d v="2024-03-12T00:00:00"/>
        <d v="2023-05-30T00:00:00"/>
        <d v="2024-04-05T00:00:00"/>
        <d v="2023-11-22T00:00:00"/>
        <d v="2024-04-26T00:00:00"/>
        <d v="2023-11-25T00:00:00"/>
      </sharedItems>
      <fieldGroup par="31"/>
    </cacheField>
    <cacheField name="Last_Login" numFmtId="14">
      <sharedItems containsSemiMixedTypes="0" containsNonDate="0" containsDate="1" containsString="0" minDate="2024-11-19T00:00:00" maxDate="2024-12-25T00:00:00"/>
    </cacheField>
    <cacheField name="Monthly_Price" numFmtId="165">
      <sharedItems containsSemiMixedTypes="0" containsString="0" containsNumber="1" minValue="7.99" maxValue="15.99"/>
    </cacheField>
    <cacheField name="Watch_Hours" numFmtId="1">
      <sharedItems containsSemiMixedTypes="0" containsString="0" containsNumber="1" containsInteger="1" minValue="10" maxValue="500"/>
    </cacheField>
    <cacheField name="Favorite_Genre" numFmtId="49">
      <sharedItems count="7">
        <s v="Action"/>
        <s v="Drama"/>
        <s v="Sci-Fi"/>
        <s v="Documentary"/>
        <s v="Horror"/>
        <s v="Comedy"/>
        <s v="Romance"/>
      </sharedItems>
    </cacheField>
    <cacheField name="Active_Devices" numFmtId="1">
      <sharedItems containsSemiMixedTypes="0" containsString="0" containsNumber="1" containsInteger="1" minValue="1" maxValue="5"/>
    </cacheField>
    <cacheField name="Profile_Count" numFmtId="1">
      <sharedItems containsSemiMixedTypes="0" containsString="0" containsNumber="1" containsInteger="1" minValue="1" maxValue="6"/>
    </cacheField>
    <cacheField name="Parental_Controls" numFmtId="49">
      <sharedItems/>
    </cacheField>
    <cacheField name="Total_Movies_Watched" numFmtId="1">
      <sharedItems containsSemiMixedTypes="0" containsString="0" containsNumber="1" containsInteger="1" minValue="12" maxValue="1000"/>
    </cacheField>
    <cacheField name="Total_Series_Watched" numFmtId="1">
      <sharedItems containsSemiMixedTypes="0" containsString="0" containsNumber="1" containsInteger="1" minValue="1" maxValue="200"/>
    </cacheField>
    <cacheField name="Country" numFmtId="49">
      <sharedItems count="7">
        <s v="USA"/>
        <s v="Canada"/>
        <s v="UK"/>
        <s v="India"/>
        <s v="Australia"/>
        <s v="Germany"/>
        <s v="France"/>
      </sharedItems>
    </cacheField>
    <cacheField name="Payment_Method" numFmtId="49">
      <sharedItems count="4">
        <s v="PayPal"/>
        <s v="Debit Card"/>
        <s v="Credit Card"/>
        <s v="Cryptocurrency"/>
      </sharedItems>
    </cacheField>
    <cacheField name="Language_Preference" numFmtId="49">
      <sharedItems count="6">
        <s v="Hindi"/>
        <s v="German"/>
        <s v="Mandarin"/>
        <s v="Spanish"/>
        <s v="English"/>
        <s v="French"/>
      </sharedItems>
    </cacheField>
    <cacheField name="Recommended_Content_Count" numFmtId="1">
      <sharedItems containsSemiMixedTypes="0" containsString="0" containsNumber="1" containsInteger="1" minValue="0" maxValue="100" count="101">
        <n v="84"/>
        <n v="69"/>
        <n v="56"/>
        <n v="47"/>
        <n v="39"/>
        <n v="71"/>
        <n v="1"/>
        <n v="32"/>
        <n v="26"/>
        <n v="90"/>
        <n v="57"/>
        <n v="38"/>
        <n v="62"/>
        <n v="0"/>
        <n v="25"/>
        <n v="65"/>
        <n v="50"/>
        <n v="11"/>
        <n v="78"/>
        <n v="42"/>
        <n v="3"/>
        <n v="27"/>
        <n v="60"/>
        <n v="91"/>
        <n v="76"/>
        <n v="98"/>
        <n v="85"/>
        <n v="58"/>
        <n v="97"/>
        <n v="66"/>
        <n v="45"/>
        <n v="14"/>
        <n v="12"/>
        <n v="99"/>
        <n v="7"/>
        <n v="72"/>
        <n v="33"/>
        <n v="79"/>
        <n v="55"/>
        <n v="8"/>
        <n v="63"/>
        <n v="96"/>
        <n v="40"/>
        <n v="94"/>
        <n v="13"/>
        <n v="82"/>
        <n v="22"/>
        <n v="61"/>
        <n v="15"/>
        <n v="95"/>
        <n v="24"/>
        <n v="88"/>
        <n v="44"/>
        <n v="68"/>
        <n v="80"/>
        <n v="30"/>
        <n v="53"/>
        <n v="18"/>
        <n v="36"/>
        <n v="73"/>
        <n v="48"/>
        <n v="64"/>
        <n v="87"/>
        <n v="46"/>
        <n v="52"/>
        <n v="6"/>
        <n v="20"/>
        <n v="93"/>
        <n v="21"/>
        <n v="4"/>
        <n v="77"/>
        <n v="17"/>
        <n v="28"/>
        <n v="23"/>
        <n v="81"/>
        <n v="83"/>
        <n v="59"/>
        <n v="49"/>
        <n v="5"/>
        <n v="67"/>
        <n v="43"/>
        <n v="41"/>
        <n v="51"/>
        <n v="89"/>
        <n v="54"/>
        <n v="70"/>
        <n v="37"/>
        <n v="9"/>
        <n v="16"/>
        <n v="86"/>
        <n v="100"/>
        <n v="34"/>
        <n v="92"/>
        <n v="35"/>
        <n v="29"/>
        <n v="10"/>
        <n v="19"/>
        <n v="31"/>
        <n v="74"/>
        <n v="2"/>
        <n v="75"/>
      </sharedItems>
      <fieldGroup par="32"/>
    </cacheField>
    <cacheField name="Average_Rating_Given" numFmtId="164">
      <sharedItems containsSemiMixedTypes="0" containsString="0" containsNumber="1" minValue="3" maxValue="5"/>
    </cacheField>
    <cacheField name="Has_Downloaded_Content" numFmtId="49">
      <sharedItems count="2">
        <b v="0"/>
        <b v="1"/>
      </sharedItems>
    </cacheField>
    <cacheField name="Membership_Status" numFmtId="49">
      <sharedItems count="1">
        <s v="Active"/>
      </sharedItems>
    </cacheField>
    <cacheField name="Loyalty_Points" numFmtId="1">
      <sharedItems containsSemiMixedTypes="0" containsString="0" containsNumber="1" containsInteger="1" minValue="3" maxValue="4990" count="924">
        <n v="2878"/>
        <n v="2291"/>
        <n v="1692"/>
        <n v="952"/>
        <n v="1823"/>
        <n v="33"/>
        <n v="755"/>
        <n v="2866"/>
        <n v="336"/>
        <n v="3898"/>
        <n v="650"/>
        <n v="185"/>
        <n v="1547"/>
        <n v="3788"/>
        <n v="1051"/>
        <n v="633"/>
        <n v="4133"/>
        <n v="1159"/>
        <n v="4673"/>
        <n v="4200"/>
        <n v="3607"/>
        <n v="4602"/>
        <n v="256"/>
        <n v="2406"/>
        <n v="1394"/>
        <n v="1856"/>
        <n v="1665"/>
        <n v="2759"/>
        <n v="3433"/>
        <n v="3966"/>
        <n v="4185"/>
        <n v="784"/>
        <n v="3428"/>
        <n v="4245"/>
        <n v="2580"/>
        <n v="2779"/>
        <n v="2318"/>
        <n v="827"/>
        <n v="2670"/>
        <n v="2409"/>
        <n v="1577"/>
        <n v="4072"/>
        <n v="3432"/>
        <n v="4511"/>
        <n v="583"/>
        <n v="3626"/>
        <n v="476"/>
        <n v="4114"/>
        <n v="1581"/>
        <n v="1293"/>
        <n v="1744"/>
        <n v="448"/>
        <n v="3398"/>
        <n v="4691"/>
        <n v="4674"/>
        <n v="3641"/>
        <n v="1765"/>
        <n v="3462"/>
        <n v="790"/>
        <n v="4732"/>
        <n v="4599"/>
        <n v="965"/>
        <n v="1155"/>
        <n v="1110"/>
        <n v="1911"/>
        <n v="1721"/>
        <n v="353"/>
        <n v="423"/>
        <n v="344"/>
        <n v="4117"/>
        <n v="3983"/>
        <n v="3941"/>
        <n v="3085"/>
        <n v="48"/>
        <n v="1520"/>
        <n v="935"/>
        <n v="4641"/>
        <n v="2941"/>
        <n v="1325"/>
        <n v="4465"/>
        <n v="3517"/>
        <n v="1672"/>
        <n v="2164"/>
        <n v="3663"/>
        <n v="2845"/>
        <n v="2390"/>
        <n v="234"/>
        <n v="3975"/>
        <n v="561"/>
        <n v="4647"/>
        <n v="581"/>
        <n v="1250"/>
        <n v="3441"/>
        <n v="3211"/>
        <n v="647"/>
        <n v="3751"/>
        <n v="2925"/>
        <n v="4646"/>
        <n v="2867"/>
        <n v="4131"/>
        <n v="2927"/>
        <n v="3314"/>
        <n v="1782"/>
        <n v="1938"/>
        <n v="3935"/>
        <n v="3206"/>
        <n v="2523"/>
        <n v="2727"/>
        <n v="2864"/>
        <n v="3698"/>
        <n v="1531"/>
        <n v="4884"/>
        <n v="3633"/>
        <n v="4719"/>
        <n v="3161"/>
        <n v="944"/>
        <n v="2757"/>
        <n v="727"/>
        <n v="3496"/>
        <n v="4293"/>
        <n v="1357"/>
        <n v="3596"/>
        <n v="613"/>
        <n v="2381"/>
        <n v="2159"/>
        <n v="119"/>
        <n v="2798"/>
        <n v="496"/>
        <n v="3599"/>
        <n v="1752"/>
        <n v="3568"/>
        <n v="4361"/>
        <n v="1176"/>
        <n v="1849"/>
        <n v="3953"/>
        <n v="3277"/>
        <n v="1572"/>
        <n v="2676"/>
        <n v="3053"/>
        <n v="2620"/>
        <n v="4068"/>
        <n v="172"/>
        <n v="1040"/>
        <n v="3574"/>
        <n v="3659"/>
        <n v="1991"/>
        <n v="2043"/>
        <n v="882"/>
        <n v="4243"/>
        <n v="2218"/>
        <n v="97"/>
        <n v="4928"/>
        <n v="1982"/>
        <n v="510"/>
        <n v="2508"/>
        <n v="4004"/>
        <n v="494"/>
        <n v="460"/>
        <n v="1416"/>
        <n v="4798"/>
        <n v="732"/>
        <n v="4008"/>
        <n v="4868"/>
        <n v="2600"/>
        <n v="3247"/>
        <n v="941"/>
        <n v="1934"/>
        <n v="4650"/>
        <n v="4450"/>
        <n v="2395"/>
        <n v="4504"/>
        <n v="3015"/>
        <n v="4971"/>
        <n v="2377"/>
        <n v="212"/>
        <n v="188"/>
        <n v="4435"/>
        <n v="1454"/>
        <n v="2841"/>
        <n v="1626"/>
        <n v="111"/>
        <n v="450"/>
        <n v="3325"/>
        <n v="3059"/>
        <n v="1065"/>
        <n v="2575"/>
        <n v="1690"/>
        <n v="1382"/>
        <n v="1050"/>
        <n v="2328"/>
        <n v="4414"/>
        <n v="3980"/>
        <n v="1150"/>
        <n v="1858"/>
        <n v="1926"/>
        <n v="2933"/>
        <n v="2397"/>
        <n v="1946"/>
        <n v="2576"/>
        <n v="2259"/>
        <n v="1068"/>
        <n v="2928"/>
        <n v="3674"/>
        <n v="130"/>
        <n v="4873"/>
        <n v="96"/>
        <n v="110"/>
        <n v="225"/>
        <n v="4083"/>
        <n v="2714"/>
        <n v="674"/>
        <n v="948"/>
        <n v="933"/>
        <n v="2914"/>
        <n v="3928"/>
        <n v="2559"/>
        <n v="2571"/>
        <n v="3834"/>
        <n v="4714"/>
        <n v="4800"/>
        <n v="1610"/>
        <n v="2780"/>
        <n v="639"/>
        <n v="1960"/>
        <n v="1764"/>
        <n v="967"/>
        <n v="2086"/>
        <n v="3288"/>
        <n v="1486"/>
        <n v="223"/>
        <n v="2394"/>
        <n v="4329"/>
        <n v="2193"/>
        <n v="3730"/>
        <n v="2234"/>
        <n v="718"/>
        <n v="1594"/>
        <n v="681"/>
        <n v="428"/>
        <n v="2542"/>
        <n v="4763"/>
        <n v="486"/>
        <n v="4327"/>
        <n v="2938"/>
        <n v="1429"/>
        <n v="2897"/>
        <n v="274"/>
        <n v="3910"/>
        <n v="2557"/>
        <n v="3823"/>
        <n v="4048"/>
        <n v="3173"/>
        <n v="3289"/>
        <n v="4377"/>
        <n v="995"/>
        <n v="2299"/>
        <n v="4644"/>
        <n v="746"/>
        <n v="2835"/>
        <n v="1000"/>
        <n v="368"/>
        <n v="2229"/>
        <n v="2643"/>
        <n v="2647"/>
        <n v="4497"/>
        <n v="1121"/>
        <n v="1525"/>
        <n v="3488"/>
        <n v="3009"/>
        <n v="15"/>
        <n v="3007"/>
        <n v="4588"/>
        <n v="73"/>
        <n v="4635"/>
        <n v="1882"/>
        <n v="2572"/>
        <n v="3865"/>
        <n v="380"/>
        <n v="3566"/>
        <n v="1835"/>
        <n v="525"/>
        <n v="1025"/>
        <n v="1546"/>
        <n v="1955"/>
        <n v="4889"/>
        <n v="1185"/>
        <n v="3040"/>
        <n v="4729"/>
        <n v="4193"/>
        <n v="4626"/>
        <n v="60"/>
        <n v="2597"/>
        <n v="260"/>
        <n v="1544"/>
        <n v="4528"/>
        <n v="1127"/>
        <n v="4542"/>
        <n v="1436"/>
        <n v="4438"/>
        <n v="3130"/>
        <n v="3379"/>
        <n v="3696"/>
        <n v="2416"/>
        <n v="2856"/>
        <n v="4177"/>
        <n v="1912"/>
        <n v="2388"/>
        <n v="4216"/>
        <n v="599"/>
        <n v="804"/>
        <n v="4565"/>
        <n v="1095"/>
        <n v="1512"/>
        <n v="1422"/>
        <n v="147"/>
        <n v="4317"/>
        <n v="3197"/>
        <n v="1413"/>
        <n v="747"/>
        <n v="1099"/>
        <n v="585"/>
        <n v="615"/>
        <n v="2634"/>
        <n v="136"/>
        <n v="4566"/>
        <n v="3281"/>
        <n v="1559"/>
        <n v="3113"/>
        <n v="3836"/>
        <n v="1522"/>
        <n v="1756"/>
        <n v="1542"/>
        <n v="77"/>
        <n v="4356"/>
        <n v="1989"/>
        <n v="906"/>
        <n v="4108"/>
        <n v="333"/>
        <n v="3847"/>
        <n v="1423"/>
        <n v="595"/>
        <n v="4445"/>
        <n v="144"/>
        <n v="4919"/>
        <n v="4905"/>
        <n v="1634"/>
        <n v="4085"/>
        <n v="2790"/>
        <n v="2440"/>
        <n v="2741"/>
        <n v="4338"/>
        <n v="2039"/>
        <n v="2097"/>
        <n v="2384"/>
        <n v="4159"/>
        <n v="2002"/>
        <n v="782"/>
        <n v="4056"/>
        <n v="1341"/>
        <n v="3028"/>
        <n v="4799"/>
        <n v="4556"/>
        <n v="2965"/>
        <n v="3556"/>
        <n v="2901"/>
        <n v="3520"/>
        <n v="4632"/>
        <n v="314"/>
        <n v="4012"/>
        <n v="2356"/>
        <n v="1824"/>
        <n v="4236"/>
        <n v="2102"/>
        <n v="1876"/>
        <n v="242"/>
        <n v="4531"/>
        <n v="959"/>
        <n v="2156"/>
        <n v="1442"/>
        <n v="4586"/>
        <n v="4170"/>
        <n v="1294"/>
        <n v="2460"/>
        <n v="3276"/>
        <n v="4062"/>
        <n v="4322"/>
        <n v="1456"/>
        <n v="1281"/>
        <n v="1368"/>
        <n v="571"/>
        <n v="3807"/>
        <n v="3424"/>
        <n v="1428"/>
        <n v="2387"/>
        <n v="218"/>
        <n v="68"/>
        <n v="2749"/>
        <n v="4942"/>
        <n v="1813"/>
        <n v="318"/>
        <n v="3003"/>
        <n v="342"/>
        <n v="2124"/>
        <n v="1016"/>
        <n v="1925"/>
        <n v="3773"/>
        <n v="1231"/>
        <n v="62"/>
        <n v="1580"/>
        <n v="74"/>
        <n v="3452"/>
        <n v="4792"/>
        <n v="4378"/>
        <n v="1713"/>
        <n v="1201"/>
        <n v="416"/>
        <n v="17"/>
        <n v="4820"/>
        <n v="1758"/>
        <n v="2568"/>
        <n v="4235"/>
        <n v="3775"/>
        <n v="92"/>
        <n v="72"/>
        <n v="2488"/>
        <n v="2666"/>
        <n v="4221"/>
        <n v="4569"/>
        <n v="2695"/>
        <n v="1526"/>
        <n v="4934"/>
        <n v="628"/>
        <n v="167"/>
        <n v="1309"/>
        <n v="710"/>
        <n v="106"/>
        <n v="2652"/>
        <n v="4879"/>
        <n v="1426"/>
        <n v="1504"/>
        <n v="1518"/>
        <n v="708"/>
        <n v="4651"/>
        <n v="4397"/>
        <n v="1360"/>
        <n v="4155"/>
        <n v="1289"/>
        <n v="2922"/>
        <n v="28"/>
        <n v="3083"/>
        <n v="547"/>
        <n v="239"/>
        <n v="3516"/>
        <n v="4031"/>
        <n v="3408"/>
        <n v="3849"/>
        <n v="2084"/>
        <n v="749"/>
        <n v="3157"/>
        <n v="173"/>
        <n v="3182"/>
        <n v="2432"/>
        <n v="414"/>
        <n v="888"/>
        <n v="1058"/>
        <n v="2067"/>
        <n v="3763"/>
        <n v="957"/>
        <n v="354"/>
        <n v="4922"/>
        <n v="2083"/>
        <n v="2098"/>
        <n v="2022"/>
        <n v="3791"/>
        <n v="728"/>
        <n v="3448"/>
        <n v="3930"/>
        <n v="3702"/>
        <n v="2400"/>
        <n v="548"/>
        <n v="4702"/>
        <n v="2821"/>
        <n v="484"/>
        <n v="2871"/>
        <n v="4783"/>
        <n v="2725"/>
        <n v="4400"/>
        <n v="4552"/>
        <n v="4125"/>
        <n v="424"/>
        <n v="2418"/>
        <n v="756"/>
        <n v="754"/>
        <n v="3476"/>
        <n v="290"/>
        <n v="987"/>
        <n v="4972"/>
        <n v="1628"/>
        <n v="1285"/>
        <n v="771"/>
        <n v="1785"/>
        <n v="2760"/>
        <n v="388"/>
        <n v="2385"/>
        <n v="3714"/>
        <n v="2015"/>
        <n v="3201"/>
        <n v="3426"/>
        <n v="3366"/>
        <n v="125"/>
        <n v="4037"/>
        <n v="4348"/>
        <n v="546"/>
        <n v="2785"/>
        <n v="3308"/>
        <n v="527"/>
        <n v="837"/>
        <n v="371"/>
        <n v="877"/>
        <n v="4194"/>
        <n v="3118"/>
        <n v="2088"/>
        <n v="3468"/>
        <n v="3183"/>
        <n v="4070"/>
        <n v="4147"/>
        <n v="255"/>
        <n v="3278"/>
        <n v="213"/>
        <n v="2886"/>
        <n v="1901"/>
        <n v="4456"/>
        <n v="237"/>
        <n v="4659"/>
        <n v="4906"/>
        <n v="1674"/>
        <n v="2407"/>
        <n v="2636"/>
        <n v="4020"/>
        <n v="4127"/>
        <n v="4503"/>
        <n v="1080"/>
        <n v="1535"/>
        <n v="3840"/>
        <n v="1108"/>
        <n v="4510"/>
        <n v="1042"/>
        <n v="2175"/>
        <n v="1311"/>
        <n v="4201"/>
        <n v="513"/>
        <n v="1330"/>
        <n v="3689"/>
        <n v="670"/>
        <n v="544"/>
        <n v="1392"/>
        <n v="3199"/>
        <n v="4204"/>
        <n v="1461"/>
        <n v="658"/>
        <n v="2824"/>
        <n v="2657"/>
        <n v="2213"/>
        <n v="3455"/>
        <n v="3334"/>
        <n v="105"/>
        <n v="1404"/>
        <n v="1017"/>
        <n v="2812"/>
        <n v="1870"/>
        <n v="2984"/>
        <n v="4990"/>
        <n v="2554"/>
        <n v="4307"/>
        <n v="3124"/>
        <n v="1261"/>
        <n v="1290"/>
        <n v="874"/>
        <n v="1734"/>
        <n v="2444"/>
        <n v="1529"/>
        <n v="1976"/>
        <n v="2610"/>
        <n v="3152"/>
        <n v="4963"/>
        <n v="3290"/>
        <n v="2596"/>
        <n v="745"/>
        <n v="668"/>
        <n v="3282"/>
        <n v="1510"/>
        <n v="1206"/>
        <n v="168"/>
        <n v="1303"/>
        <n v="1365"/>
        <n v="1563"/>
        <n v="1172"/>
        <n v="1704"/>
        <n v="4421"/>
        <n v="2964"/>
        <n v="1094"/>
        <n v="296"/>
        <n v="4164"/>
        <n v="3349"/>
        <n v="2830"/>
        <n v="2872"/>
        <n v="1364"/>
        <n v="473"/>
        <n v="4883"/>
        <n v="99"/>
        <n v="2284"/>
        <n v="3505"/>
        <n v="412"/>
        <n v="4867"/>
        <n v="2560"/>
        <n v="4269"/>
        <n v="1317"/>
        <n v="2936"/>
        <n v="905"/>
        <n v="4513"/>
        <n v="1153"/>
        <n v="1506"/>
        <n v="3817"/>
        <n v="4662"/>
        <n v="3708"/>
        <n v="1256"/>
        <n v="1792"/>
        <n v="402"/>
        <n v="1271"/>
        <n v="4537"/>
        <n v="4815"/>
        <n v="3510"/>
        <n v="4789"/>
        <n v="863"/>
        <n v="1584"/>
        <n v="3178"/>
        <n v="2562"/>
        <n v="3499"/>
        <n v="3645"/>
        <n v="2989"/>
        <n v="55"/>
        <n v="1850"/>
        <n v="4672"/>
        <n v="2615"/>
        <n v="4927"/>
        <n v="3069"/>
        <n v="1906"/>
        <n v="4"/>
        <n v="1651"/>
        <n v="1828"/>
        <n v="396"/>
        <n v="809"/>
        <n v="1431"/>
        <n v="4685"/>
        <n v="4332"/>
        <n v="851"/>
        <n v="2261"/>
        <n v="1500"/>
        <n v="2130"/>
        <n v="4308"/>
        <n v="421"/>
        <n v="2163"/>
        <n v="3354"/>
        <n v="3758"/>
        <n v="3942"/>
        <n v="2242"/>
        <n v="2561"/>
        <n v="2465"/>
        <n v="4116"/>
        <n v="4219"/>
        <n v="4311"/>
        <n v="1972"/>
        <n v="2132"/>
        <n v="2370"/>
        <n v="1312"/>
        <n v="4920"/>
        <n v="1275"/>
        <n v="340"/>
        <n v="444"/>
        <n v="292"/>
        <n v="53"/>
        <n v="1638"/>
        <n v="3542"/>
        <n v="4935"/>
        <n v="1216"/>
        <n v="4409"/>
        <n v="2853"/>
        <n v="1252"/>
        <n v="3027"/>
        <n v="1228"/>
        <n v="3616"/>
        <n v="3913"/>
        <n v="775"/>
        <n v="2536"/>
        <n v="2331"/>
        <n v="2953"/>
        <n v="868"/>
        <n v="4808"/>
        <n v="564"/>
        <n v="1702"/>
        <n v="249"/>
        <n v="30"/>
        <n v="3842"/>
        <n v="1299"/>
        <n v="2346"/>
        <n v="215"/>
        <n v="3062"/>
        <n v="2978"/>
        <n v="1984"/>
        <n v="945"/>
        <n v="4134"/>
        <n v="3741"/>
        <n v="1408"/>
        <n v="1917"/>
        <n v="1986"/>
        <n v="3254"/>
        <n v="3648"/>
        <n v="3552"/>
        <n v="150"/>
        <n v="786"/>
        <n v="1808"/>
        <n v="3091"/>
        <n v="3697"/>
        <n v="4835"/>
        <n v="2023"/>
        <n v="1005"/>
        <n v="876"/>
        <n v="2089"/>
        <n v="772"/>
        <n v="373"/>
        <n v="3425"/>
        <n v="4422"/>
        <n v="4980"/>
        <n v="1367"/>
        <n v="2728"/>
        <n v="1556"/>
        <n v="2969"/>
        <n v="3421"/>
        <n v="2535"/>
        <n v="947"/>
        <n v="2138"/>
        <n v="3151"/>
        <n v="3037"/>
        <n v="3712"/>
        <n v="2029"/>
        <n v="3264"/>
        <n v="1135"/>
        <n v="3761"/>
        <n v="4333"/>
        <n v="4575"/>
        <n v="2448"/>
        <n v="1072"/>
        <n v="1784"/>
        <n v="3787"/>
        <n v="4477"/>
        <n v="711"/>
        <n v="3711"/>
        <n v="2534"/>
        <n v="2624"/>
        <n v="3617"/>
        <n v="3078"/>
        <n v="164"/>
        <n v="2805"/>
        <n v="3848"/>
        <n v="836"/>
        <n v="2761"/>
        <n v="4633"/>
        <n v="4260"/>
        <n v="447"/>
        <n v="1298"/>
        <n v="3445"/>
        <n v="3039"/>
        <n v="3815"/>
        <n v="2706"/>
        <n v="3828"/>
        <n v="433"/>
        <n v="1348"/>
        <n v="1375"/>
        <n v="3630"/>
        <n v="1457"/>
        <n v="3332"/>
        <n v="3859"/>
        <n v="3923"/>
        <n v="4486"/>
        <n v="993"/>
        <n v="631"/>
        <n v="214"/>
        <n v="2327"/>
        <n v="3679"/>
        <n v="2238"/>
        <n v="3655"/>
        <n v="1587"/>
        <n v="4501"/>
        <n v="1910"/>
        <n v="2731"/>
        <n v="4517"/>
        <n v="1238"/>
        <n v="1786"/>
        <n v="1683"/>
        <n v="996"/>
        <n v="608"/>
        <n v="1340"/>
        <n v="1821"/>
        <n v="3020"/>
        <n v="1243"/>
        <n v="540"/>
        <n v="2583"/>
        <n v="3463"/>
        <n v="4130"/>
        <n v="3918"/>
        <n v="4264"/>
        <n v="1485"/>
        <n v="3508"/>
        <n v="3610"/>
        <n v="3307"/>
        <n v="4358"/>
        <n v="783"/>
        <n v="3578"/>
        <n v="1952"/>
        <n v="860"/>
        <n v="3"/>
        <n v="1836"/>
        <n v="808"/>
        <n v="2141"/>
        <n v="1254"/>
        <n v="4589"/>
        <n v="2932"/>
        <n v="1697"/>
        <n v="1411"/>
        <n v="3437"/>
        <n v="4509"/>
        <n v="3165"/>
        <n v="2538"/>
        <n v="245"/>
        <n v="4976"/>
        <n v="4176"/>
        <n v="2919"/>
        <n v="3081"/>
        <n v="3138"/>
        <n v="1180"/>
        <n v="4518"/>
        <n v="3843"/>
        <n v="3604"/>
        <n v="2891"/>
        <n v="1363"/>
        <n v="2323"/>
        <n v="4291"/>
        <n v="4938"/>
        <n v="913"/>
        <n v="3925"/>
        <n v="2517"/>
        <n v="2070"/>
        <n v="4726"/>
        <n v="1536"/>
        <n v="2113"/>
        <n v="2336"/>
        <n v="2344"/>
        <n v="1351"/>
        <n v="165"/>
        <n v="3411"/>
        <n v="1538"/>
        <n v="3515"/>
        <n v="1657"/>
        <n v="2209"/>
        <n v="1327"/>
        <n v="4337"/>
        <n v="398"/>
        <n v="1508"/>
        <n v="954"/>
        <n v="3313"/>
        <n v="1790"/>
        <n v="1872"/>
        <n v="2521"/>
        <n v="4426"/>
        <n v="3100"/>
        <n v="4273"/>
        <n v="4817"/>
        <n v="2330"/>
        <n v="244"/>
        <n v="1539"/>
        <n v="4851"/>
        <n v="2341"/>
        <n v="3356"/>
        <n v="228"/>
        <n v="4380"/>
        <n v="2131"/>
        <n v="3589"/>
        <n v="4162"/>
        <n v="1013"/>
        <n v="833"/>
        <n v="2428"/>
        <n v="4555"/>
        <n v="4777"/>
        <n v="459"/>
        <n v="2644"/>
        <n v="2678"/>
        <n v="1129"/>
        <n v="1258"/>
        <n v="3213"/>
        <n v="1961"/>
        <n v="1708"/>
        <n v="2288"/>
        <n v="4570"/>
        <n v="2547"/>
        <n v="4655"/>
        <n v="1656"/>
        <n v="773"/>
        <n v="1652"/>
        <n v="1037"/>
        <n v="4505"/>
        <n v="4015"/>
        <n v="2050"/>
        <n v="3079"/>
        <n v="4111"/>
        <n v="3221"/>
        <n v="2461"/>
        <n v="2858"/>
        <n v="4076"/>
        <n v="3726"/>
        <n v="47"/>
        <n v="4742"/>
        <n v="2910"/>
        <n v="1965"/>
        <n v="3179"/>
      </sharedItems>
      <fieldGroup par="33"/>
    </cacheField>
    <cacheField name="First_Device_Used" numFmtId="49">
      <sharedItems count="5">
        <s v="Smartphone"/>
        <s v="Desktop"/>
        <s v="Smart TV"/>
        <s v="Laptop"/>
        <s v="Tablet"/>
      </sharedItems>
    </cacheField>
    <cacheField name="Age_Group" numFmtId="0">
      <sharedItems count="5">
        <s v="35-44"/>
        <s v="25-34"/>
        <s v="18-24"/>
        <s v="45-54"/>
        <s v="55+"/>
      </sharedItems>
    </cacheField>
    <cacheField name="Primary_Watch_Time" numFmtId="49">
      <sharedItems count="4">
        <s v="Late Night"/>
        <s v="Evening"/>
        <s v="Morning"/>
        <s v="Afternoon"/>
      </sharedItems>
    </cacheField>
    <cacheField name="Tenure Days" numFmtId="1">
      <sharedItems containsSemiMixedTypes="0" containsString="0" containsNumber="1" containsInteger="1" minValue="1" maxValue="726"/>
    </cacheField>
    <cacheField name="Price Tier " numFmtId="0">
      <sharedItems count="3">
        <s v="BASIC"/>
        <s v="STANDARD"/>
        <s v="PREMIUM"/>
      </sharedItems>
    </cacheField>
    <cacheField name="Watch HR per Week" numFmtId="164">
      <sharedItems containsSemiMixedTypes="0" containsString="0" containsNumber="1" minValue="0.11551155115511551" maxValue="2205"/>
    </cacheField>
    <cacheField name="Frequency Bucket" numFmtId="2">
      <sharedItems count="3">
        <s v="Casual"/>
        <s v="Regular"/>
        <s v="Power"/>
      </sharedItems>
    </cacheField>
    <cacheField name="Per Day Watch Hr" numFmtId="2">
      <sharedItems containsSemiMixedTypes="0" containsString="0" containsNumber="1" minValue="1.1162790697674419E-2" maxValue="16.428571428571427"/>
    </cacheField>
    <cacheField name="BR/VW" numFmtId="0">
      <sharedItems/>
    </cacheField>
    <cacheField name="Months (Join_Date)" numFmtId="0" databaseField="0">
      <fieldGroup base="2">
        <rangePr groupBy="months" startDate="2022-12-19T00:00:00" endDate="2024-12-12T00:00:00"/>
        <groupItems count="14">
          <s v="&lt;19-12-2022"/>
          <s v="Jan"/>
          <s v="Feb"/>
          <s v="Mar"/>
          <s v="Apr"/>
          <s v="May"/>
          <s v="Jun"/>
          <s v="Jul"/>
          <s v="Aug"/>
          <s v="Sep"/>
          <s v="Oct"/>
          <s v="Nov"/>
          <s v="Dec"/>
          <s v="&gt;12-12-2024"/>
        </groupItems>
      </fieldGroup>
    </cacheField>
    <cacheField name="Quarters (Join_Date)" numFmtId="0" databaseField="0">
      <fieldGroup base="2">
        <rangePr groupBy="quarters" startDate="2022-12-19T00:00:00" endDate="2024-12-12T00:00:00"/>
        <groupItems count="6">
          <s v="&lt;19-12-2022"/>
          <s v="Qtr1"/>
          <s v="Qtr2"/>
          <s v="Qtr3"/>
          <s v="Qtr4"/>
          <s v="&gt;12-12-2024"/>
        </groupItems>
      </fieldGroup>
    </cacheField>
    <cacheField name="Years (Join_Date)" numFmtId="0" databaseField="0">
      <fieldGroup base="2">
        <rangePr groupBy="years" startDate="2022-12-19T00:00:00" endDate="2024-12-12T00:00:00"/>
        <groupItems count="5">
          <s v="&lt;19-12-2022"/>
          <s v="2022"/>
          <s v="2023"/>
          <s v="2024"/>
          <s v="&gt;12-12-2024"/>
        </groupItems>
      </fieldGroup>
    </cacheField>
    <cacheField name="Recommended_Content_Count2" numFmtId="0" databaseField="0">
      <fieldGroup base="15">
        <discretePr count="101">
          <x v="4"/>
          <x v="3"/>
          <x v="2"/>
          <x v="2"/>
          <x v="1"/>
          <x v="3"/>
          <x v="0"/>
          <x v="1"/>
          <x v="1"/>
          <x v="4"/>
          <x v="2"/>
          <x v="1"/>
          <x v="3"/>
          <x v="0"/>
          <x v="1"/>
          <x v="3"/>
          <x v="2"/>
          <x v="0"/>
          <x v="3"/>
          <x v="2"/>
          <x v="0"/>
          <x v="1"/>
          <x v="2"/>
          <x v="4"/>
          <x v="3"/>
          <x v="4"/>
          <x v="4"/>
          <x v="2"/>
          <x v="4"/>
          <x v="3"/>
          <x v="2"/>
          <x v="0"/>
          <x v="0"/>
          <x v="4"/>
          <x v="0"/>
          <x v="3"/>
          <x v="1"/>
          <x v="3"/>
          <x v="2"/>
          <x v="0"/>
          <x v="3"/>
          <x v="4"/>
          <x v="1"/>
          <x v="4"/>
          <x v="0"/>
          <x v="4"/>
          <x v="1"/>
          <x v="3"/>
          <x v="0"/>
          <x v="4"/>
          <x v="1"/>
          <x v="4"/>
          <x v="2"/>
          <x v="3"/>
          <x v="3"/>
          <x v="1"/>
          <x v="2"/>
          <x v="0"/>
          <x v="1"/>
          <x v="3"/>
          <x v="2"/>
          <x v="3"/>
          <x v="4"/>
          <x v="2"/>
          <x v="2"/>
          <x v="0"/>
          <x v="0"/>
          <x v="4"/>
          <x v="1"/>
          <x v="0"/>
          <x v="3"/>
          <x v="0"/>
          <x v="1"/>
          <x v="1"/>
          <x v="4"/>
          <x v="4"/>
          <x v="2"/>
          <x v="2"/>
          <x v="0"/>
          <x v="3"/>
          <x v="2"/>
          <x v="2"/>
          <x v="2"/>
          <x v="4"/>
          <x v="2"/>
          <x v="3"/>
          <x v="1"/>
          <x v="0"/>
          <x v="0"/>
          <x v="4"/>
          <x v="4"/>
          <x v="1"/>
          <x v="4"/>
          <x v="1"/>
          <x v="1"/>
          <x v="0"/>
          <x v="0"/>
          <x v="1"/>
          <x v="3"/>
          <x v="0"/>
          <x v="3"/>
        </discretePr>
        <groupItems count="5">
          <s v="Group1"/>
          <s v="Group2"/>
          <s v="Group3"/>
          <s v="Group4"/>
          <s v="Group5"/>
        </groupItems>
      </fieldGroup>
    </cacheField>
    <cacheField name="Loyalty_Points2" numFmtId="0" databaseField="0">
      <fieldGroup base="19">
        <discretePr count="924">
          <x v="2"/>
          <x v="2"/>
          <x v="1"/>
          <x v="0"/>
          <x v="1"/>
          <x v="0"/>
          <x v="0"/>
          <x v="2"/>
          <x v="0"/>
          <x v="3"/>
          <x v="0"/>
          <x v="0"/>
          <x v="1"/>
          <x v="3"/>
          <x v="1"/>
          <x v="0"/>
          <x v="4"/>
          <x v="1"/>
          <x v="4"/>
          <x v="4"/>
          <x v="3"/>
          <x v="4"/>
          <x v="0"/>
          <x v="2"/>
          <x v="1"/>
          <x v="1"/>
          <x v="1"/>
          <x v="2"/>
          <x v="3"/>
          <x v="3"/>
          <x v="4"/>
          <x v="0"/>
          <x v="3"/>
          <x v="4"/>
          <x v="2"/>
          <x v="2"/>
          <x v="2"/>
          <x v="0"/>
          <x v="2"/>
          <x v="2"/>
          <x v="1"/>
          <x v="4"/>
          <x v="3"/>
          <x v="4"/>
          <x v="0"/>
          <x v="3"/>
          <x v="0"/>
          <x v="4"/>
          <x v="1"/>
          <x v="1"/>
          <x v="1"/>
          <x v="0"/>
          <x v="3"/>
          <x v="4"/>
          <x v="4"/>
          <x v="3"/>
          <x v="1"/>
          <x v="3"/>
          <x v="0"/>
          <x v="4"/>
          <x v="4"/>
          <x v="0"/>
          <x v="1"/>
          <x v="1"/>
          <x v="1"/>
          <x v="1"/>
          <x v="0"/>
          <x v="0"/>
          <x v="0"/>
          <x v="4"/>
          <x v="3"/>
          <x v="3"/>
          <x v="3"/>
          <x v="0"/>
          <x v="1"/>
          <x v="0"/>
          <x v="4"/>
          <x v="2"/>
          <x v="1"/>
          <x v="4"/>
          <x v="3"/>
          <x v="1"/>
          <x v="2"/>
          <x v="3"/>
          <x v="2"/>
          <x v="2"/>
          <x v="0"/>
          <x v="3"/>
          <x v="0"/>
          <x v="4"/>
          <x v="0"/>
          <x v="1"/>
          <x v="3"/>
          <x v="3"/>
          <x v="0"/>
          <x v="3"/>
          <x v="2"/>
          <x v="4"/>
          <x v="2"/>
          <x v="4"/>
          <x v="2"/>
          <x v="3"/>
          <x v="1"/>
          <x v="1"/>
          <x v="3"/>
          <x v="3"/>
          <x v="2"/>
          <x v="2"/>
          <x v="2"/>
          <x v="3"/>
          <x v="1"/>
          <x v="4"/>
          <x v="3"/>
          <x v="4"/>
          <x v="3"/>
          <x v="0"/>
          <x v="2"/>
          <x v="0"/>
          <x v="3"/>
          <x v="4"/>
          <x v="1"/>
          <x v="3"/>
          <x v="0"/>
          <x v="2"/>
          <x v="2"/>
          <x v="0"/>
          <x v="2"/>
          <x v="0"/>
          <x v="3"/>
          <x v="1"/>
          <x v="3"/>
          <x v="4"/>
          <x v="1"/>
          <x v="1"/>
          <x v="3"/>
          <x v="3"/>
          <x v="1"/>
          <x v="2"/>
          <x v="3"/>
          <x v="2"/>
          <x v="4"/>
          <x v="0"/>
          <x v="1"/>
          <x v="3"/>
          <x v="3"/>
          <x v="1"/>
          <x v="2"/>
          <x v="0"/>
          <x v="4"/>
          <x v="2"/>
          <x v="0"/>
          <x v="4"/>
          <x v="1"/>
          <x v="0"/>
          <x v="2"/>
          <x v="4"/>
          <x v="0"/>
          <x v="0"/>
          <x v="1"/>
          <x v="4"/>
          <x v="0"/>
          <x v="4"/>
          <x v="4"/>
          <x v="2"/>
          <x v="3"/>
          <x v="0"/>
          <x v="1"/>
          <x v="4"/>
          <x v="4"/>
          <x v="2"/>
          <x v="4"/>
          <x v="3"/>
          <x v="4"/>
          <x v="2"/>
          <x v="0"/>
          <x v="0"/>
          <x v="4"/>
          <x v="1"/>
          <x v="2"/>
          <x v="1"/>
          <x v="0"/>
          <x v="0"/>
          <x v="3"/>
          <x v="3"/>
          <x v="1"/>
          <x v="2"/>
          <x v="1"/>
          <x v="1"/>
          <x v="1"/>
          <x v="2"/>
          <x v="4"/>
          <x v="3"/>
          <x v="1"/>
          <x v="1"/>
          <x v="1"/>
          <x v="2"/>
          <x v="2"/>
          <x v="1"/>
          <x v="2"/>
          <x v="2"/>
          <x v="1"/>
          <x v="2"/>
          <x v="3"/>
          <x v="0"/>
          <x v="4"/>
          <x v="0"/>
          <x v="0"/>
          <x v="0"/>
          <x v="4"/>
          <x v="2"/>
          <x v="0"/>
          <x v="0"/>
          <x v="0"/>
          <x v="2"/>
          <x v="3"/>
          <x v="2"/>
          <x v="2"/>
          <x v="3"/>
          <x v="4"/>
          <x v="4"/>
          <x v="1"/>
          <x v="2"/>
          <x v="0"/>
          <x v="1"/>
          <x v="1"/>
          <x v="0"/>
          <x v="2"/>
          <x v="3"/>
          <x v="1"/>
          <x v="0"/>
          <x v="2"/>
          <x v="4"/>
          <x v="2"/>
          <x v="3"/>
          <x v="2"/>
          <x v="0"/>
          <x v="1"/>
          <x v="0"/>
          <x v="0"/>
          <x v="2"/>
          <x v="4"/>
          <x v="0"/>
          <x v="4"/>
          <x v="2"/>
          <x v="1"/>
          <x v="2"/>
          <x v="0"/>
          <x v="3"/>
          <x v="2"/>
          <x v="3"/>
          <x v="4"/>
          <x v="3"/>
          <x v="3"/>
          <x v="4"/>
          <x v="0"/>
          <x v="2"/>
          <x v="4"/>
          <x v="0"/>
          <x v="2"/>
          <x v="0"/>
          <x v="0"/>
          <x v="2"/>
          <x v="2"/>
          <x v="2"/>
          <x v="4"/>
          <x v="1"/>
          <x v="1"/>
          <x v="3"/>
          <x v="3"/>
          <x v="0"/>
          <x v="3"/>
          <x v="4"/>
          <x v="0"/>
          <x v="4"/>
          <x v="1"/>
          <x v="2"/>
          <x v="3"/>
          <x v="0"/>
          <x v="3"/>
          <x v="1"/>
          <x v="0"/>
          <x v="1"/>
          <x v="1"/>
          <x v="1"/>
          <x v="4"/>
          <x v="1"/>
          <x v="3"/>
          <x v="4"/>
          <x v="4"/>
          <x v="4"/>
          <x v="0"/>
          <x v="2"/>
          <x v="0"/>
          <x v="1"/>
          <x v="4"/>
          <x v="1"/>
          <x v="4"/>
          <x v="1"/>
          <x v="4"/>
          <x v="3"/>
          <x v="3"/>
          <x v="3"/>
          <x v="2"/>
          <x v="2"/>
          <x v="4"/>
          <x v="1"/>
          <x v="2"/>
          <x v="4"/>
          <x v="0"/>
          <x v="0"/>
          <x v="4"/>
          <x v="1"/>
          <x v="1"/>
          <x v="1"/>
          <x v="0"/>
          <x v="4"/>
          <x v="3"/>
          <x v="1"/>
          <x v="0"/>
          <x v="1"/>
          <x v="0"/>
          <x v="0"/>
          <x v="2"/>
          <x v="0"/>
          <x v="4"/>
          <x v="3"/>
          <x v="1"/>
          <x v="3"/>
          <x v="3"/>
          <x v="1"/>
          <x v="1"/>
          <x v="1"/>
          <x v="0"/>
          <x v="4"/>
          <x v="1"/>
          <x v="0"/>
          <x v="4"/>
          <x v="0"/>
          <x v="3"/>
          <x v="1"/>
          <x v="0"/>
          <x v="4"/>
          <x v="0"/>
          <x v="4"/>
          <x v="4"/>
          <x v="1"/>
          <x v="4"/>
          <x v="2"/>
          <x v="2"/>
          <x v="2"/>
          <x v="4"/>
          <x v="2"/>
          <x v="2"/>
          <x v="2"/>
          <x v="4"/>
          <x v="2"/>
          <x v="0"/>
          <x v="4"/>
          <x v="1"/>
          <x v="3"/>
          <x v="4"/>
          <x v="4"/>
          <x v="2"/>
          <x v="3"/>
          <x v="2"/>
          <x v="3"/>
          <x v="4"/>
          <x v="0"/>
          <x v="4"/>
          <x v="2"/>
          <x v="1"/>
          <x v="4"/>
          <x v="2"/>
          <x v="1"/>
          <x v="0"/>
          <x v="4"/>
          <x v="0"/>
          <x v="2"/>
          <x v="1"/>
          <x v="4"/>
          <x v="4"/>
          <x v="1"/>
          <x v="2"/>
          <x v="3"/>
          <x v="4"/>
          <x v="4"/>
          <x v="1"/>
          <x v="1"/>
          <x v="1"/>
          <x v="0"/>
          <x v="3"/>
          <x v="3"/>
          <x v="1"/>
          <x v="2"/>
          <x v="0"/>
          <x v="0"/>
          <x v="2"/>
          <x v="4"/>
          <x v="1"/>
          <x v="0"/>
          <x v="3"/>
          <x v="0"/>
          <x v="2"/>
          <x v="1"/>
          <x v="1"/>
          <x v="3"/>
          <x v="1"/>
          <x v="0"/>
          <x v="1"/>
          <x v="0"/>
          <x v="3"/>
          <x v="4"/>
          <x v="4"/>
          <x v="1"/>
          <x v="1"/>
          <x v="0"/>
          <x v="0"/>
          <x v="4"/>
          <x v="1"/>
          <x v="2"/>
          <x v="4"/>
          <x v="3"/>
          <x v="0"/>
          <x v="0"/>
          <x v="2"/>
          <x v="2"/>
          <x v="4"/>
          <x v="4"/>
          <x v="2"/>
          <x v="1"/>
          <x v="4"/>
          <x v="0"/>
          <x v="0"/>
          <x v="1"/>
          <x v="0"/>
          <x v="0"/>
          <x v="2"/>
          <x v="4"/>
          <x v="1"/>
          <x v="1"/>
          <x v="1"/>
          <x v="0"/>
          <x v="4"/>
          <x v="4"/>
          <x v="1"/>
          <x v="4"/>
          <x v="1"/>
          <x v="2"/>
          <x v="0"/>
          <x v="3"/>
          <x v="0"/>
          <x v="0"/>
          <x v="3"/>
          <x v="4"/>
          <x v="3"/>
          <x v="3"/>
          <x v="2"/>
          <x v="0"/>
          <x v="3"/>
          <x v="0"/>
          <x v="3"/>
          <x v="2"/>
          <x v="0"/>
          <x v="0"/>
          <x v="1"/>
          <x v="2"/>
          <x v="3"/>
          <x v="0"/>
          <x v="0"/>
          <x v="4"/>
          <x v="2"/>
          <x v="2"/>
          <x v="2"/>
          <x v="3"/>
          <x v="0"/>
          <x v="3"/>
          <x v="3"/>
          <x v="3"/>
          <x v="2"/>
          <x v="0"/>
          <x v="4"/>
          <x v="2"/>
          <x v="0"/>
          <x v="2"/>
          <x v="4"/>
          <x v="2"/>
          <x v="4"/>
          <x v="4"/>
          <x v="4"/>
          <x v="0"/>
          <x v="2"/>
          <x v="0"/>
          <x v="0"/>
          <x v="3"/>
          <x v="0"/>
          <x v="0"/>
          <x v="4"/>
          <x v="1"/>
          <x v="1"/>
          <x v="0"/>
          <x v="1"/>
          <x v="2"/>
          <x v="0"/>
          <x v="2"/>
          <x v="3"/>
          <x v="2"/>
          <x v="3"/>
          <x v="3"/>
          <x v="3"/>
          <x v="0"/>
          <x v="4"/>
          <x v="4"/>
          <x v="0"/>
          <x v="2"/>
          <x v="3"/>
          <x v="0"/>
          <x v="0"/>
          <x v="0"/>
          <x v="0"/>
          <x v="4"/>
          <x v="3"/>
          <x v="2"/>
          <x v="3"/>
          <x v="3"/>
          <x v="4"/>
          <x v="4"/>
          <x v="0"/>
          <x v="3"/>
          <x v="0"/>
          <x v="2"/>
          <x v="1"/>
          <x v="4"/>
          <x v="0"/>
          <x v="4"/>
          <x v="4"/>
          <x v="1"/>
          <x v="2"/>
          <x v="2"/>
          <x v="4"/>
          <x v="4"/>
          <x v="4"/>
          <x v="1"/>
          <x v="1"/>
          <x v="3"/>
          <x v="1"/>
          <x v="4"/>
          <x v="1"/>
          <x v="2"/>
          <x v="1"/>
          <x v="4"/>
          <x v="0"/>
          <x v="1"/>
          <x v="3"/>
          <x v="0"/>
          <x v="0"/>
          <x v="1"/>
          <x v="3"/>
          <x v="4"/>
          <x v="1"/>
          <x v="0"/>
          <x v="2"/>
          <x v="2"/>
          <x v="2"/>
          <x v="3"/>
          <x v="3"/>
          <x v="0"/>
          <x v="1"/>
          <x v="1"/>
          <x v="2"/>
          <x v="1"/>
          <x v="2"/>
          <x v="4"/>
          <x v="2"/>
          <x v="4"/>
          <x v="3"/>
          <x v="1"/>
          <x v="1"/>
          <x v="0"/>
          <x v="1"/>
          <x v="2"/>
          <x v="1"/>
          <x v="1"/>
          <x v="2"/>
          <x v="3"/>
          <x v="4"/>
          <x v="3"/>
          <x v="2"/>
          <x v="0"/>
          <x v="0"/>
          <x v="3"/>
          <x v="1"/>
          <x v="1"/>
          <x v="0"/>
          <x v="1"/>
          <x v="1"/>
          <x v="1"/>
          <x v="1"/>
          <x v="1"/>
          <x v="4"/>
          <x v="2"/>
          <x v="1"/>
          <x v="0"/>
          <x v="4"/>
          <x v="3"/>
          <x v="2"/>
          <x v="2"/>
          <x v="1"/>
          <x v="0"/>
          <x v="4"/>
          <x v="0"/>
          <x v="2"/>
          <x v="3"/>
          <x v="0"/>
          <x v="4"/>
          <x v="2"/>
          <x v="4"/>
          <x v="1"/>
          <x v="2"/>
          <x v="0"/>
          <x v="4"/>
          <x v="1"/>
          <x v="1"/>
          <x v="3"/>
          <x v="4"/>
          <x v="3"/>
          <x v="1"/>
          <x v="1"/>
          <x v="0"/>
          <x v="1"/>
          <x v="4"/>
          <x v="4"/>
          <x v="3"/>
          <x v="4"/>
          <x v="0"/>
          <x v="1"/>
          <x v="3"/>
          <x v="2"/>
          <x v="3"/>
          <x v="3"/>
          <x v="2"/>
          <x v="0"/>
          <x v="1"/>
          <x v="4"/>
          <x v="2"/>
          <x v="4"/>
          <x v="3"/>
          <x v="1"/>
          <x v="0"/>
          <x v="1"/>
          <x v="1"/>
          <x v="0"/>
          <x v="0"/>
          <x v="1"/>
          <x v="4"/>
          <x v="4"/>
          <x v="0"/>
          <x v="2"/>
          <x v="1"/>
          <x v="2"/>
          <x v="4"/>
          <x v="0"/>
          <x v="2"/>
          <x v="3"/>
          <x v="3"/>
          <x v="3"/>
          <x v="2"/>
          <x v="2"/>
          <x v="2"/>
          <x v="4"/>
          <x v="4"/>
          <x v="4"/>
          <x v="1"/>
          <x v="2"/>
          <x v="2"/>
          <x v="1"/>
          <x v="4"/>
          <x v="1"/>
          <x v="0"/>
          <x v="0"/>
          <x v="0"/>
          <x v="0"/>
          <x v="1"/>
          <x v="3"/>
          <x v="4"/>
          <x v="1"/>
          <x v="4"/>
          <x v="2"/>
          <x v="1"/>
          <x v="3"/>
          <x v="1"/>
          <x v="3"/>
          <x v="3"/>
          <x v="0"/>
          <x v="2"/>
          <x v="2"/>
          <x v="2"/>
          <x v="0"/>
          <x v="4"/>
          <x v="0"/>
          <x v="1"/>
          <x v="0"/>
          <x v="0"/>
          <x v="3"/>
          <x v="1"/>
          <x v="2"/>
          <x v="0"/>
          <x v="3"/>
          <x v="2"/>
          <x v="1"/>
          <x v="0"/>
          <x v="4"/>
          <x v="3"/>
          <x v="1"/>
          <x v="1"/>
          <x v="1"/>
          <x v="3"/>
          <x v="3"/>
          <x v="3"/>
          <x v="0"/>
          <x v="0"/>
          <x v="1"/>
          <x v="3"/>
          <x v="3"/>
          <x v="4"/>
          <x v="2"/>
          <x v="1"/>
          <x v="0"/>
          <x v="2"/>
          <x v="0"/>
          <x v="0"/>
          <x v="3"/>
          <x v="4"/>
          <x v="4"/>
          <x v="1"/>
          <x v="2"/>
          <x v="1"/>
          <x v="2"/>
          <x v="3"/>
          <x v="2"/>
          <x v="0"/>
          <x v="2"/>
          <x v="3"/>
          <x v="3"/>
          <x v="3"/>
          <x v="2"/>
          <x v="3"/>
          <x v="1"/>
          <x v="3"/>
          <x v="4"/>
          <x v="4"/>
          <x v="2"/>
          <x v="1"/>
          <x v="1"/>
          <x v="3"/>
          <x v="4"/>
          <x v="0"/>
          <x v="3"/>
          <x v="2"/>
          <x v="2"/>
          <x v="3"/>
          <x v="3"/>
          <x v="0"/>
          <x v="2"/>
          <x v="3"/>
          <x v="0"/>
          <x v="2"/>
          <x v="4"/>
          <x v="4"/>
          <x v="0"/>
          <x v="1"/>
          <x v="3"/>
          <x v="3"/>
          <x v="3"/>
          <x v="2"/>
          <x v="3"/>
          <x v="0"/>
          <x v="1"/>
          <x v="1"/>
          <x v="3"/>
          <x v="1"/>
          <x v="3"/>
          <x v="3"/>
          <x v="3"/>
          <x v="4"/>
          <x v="0"/>
          <x v="0"/>
          <x v="0"/>
          <x v="2"/>
          <x v="3"/>
          <x v="2"/>
          <x v="3"/>
          <x v="1"/>
          <x v="4"/>
          <x v="1"/>
          <x v="2"/>
          <x v="4"/>
          <x v="1"/>
          <x v="1"/>
          <x v="1"/>
          <x v="0"/>
          <x v="0"/>
          <x v="1"/>
          <x v="1"/>
          <x v="3"/>
          <x v="1"/>
          <x v="0"/>
          <x v="2"/>
          <x v="3"/>
          <x v="4"/>
          <x v="3"/>
          <x v="4"/>
          <x v="1"/>
          <x v="3"/>
          <x v="3"/>
          <x v="3"/>
          <x v="4"/>
          <x v="0"/>
          <x v="3"/>
          <x v="1"/>
          <x v="0"/>
          <x v="0"/>
          <x v="1"/>
          <x v="0"/>
          <x v="2"/>
          <x v="1"/>
          <x v="4"/>
          <x v="2"/>
          <x v="1"/>
          <x v="1"/>
          <x v="3"/>
          <x v="4"/>
          <x v="3"/>
          <x v="2"/>
          <x v="0"/>
          <x v="4"/>
          <x v="4"/>
          <x v="2"/>
          <x v="3"/>
          <x v="3"/>
          <x v="1"/>
          <x v="4"/>
          <x v="3"/>
          <x v="3"/>
          <x v="2"/>
          <x v="1"/>
          <x v="2"/>
          <x v="4"/>
          <x v="4"/>
          <x v="0"/>
          <x v="3"/>
          <x v="2"/>
          <x v="2"/>
          <x v="4"/>
          <x v="1"/>
          <x v="2"/>
          <x v="2"/>
          <x v="2"/>
          <x v="1"/>
          <x v="0"/>
          <x v="3"/>
          <x v="1"/>
          <x v="3"/>
          <x v="1"/>
          <x v="2"/>
          <x v="1"/>
          <x v="4"/>
          <x v="0"/>
          <x v="1"/>
          <x v="0"/>
          <x v="3"/>
          <x v="1"/>
          <x v="1"/>
          <x v="2"/>
          <x v="4"/>
          <x v="3"/>
          <x v="4"/>
          <x v="4"/>
          <x v="2"/>
          <x v="0"/>
          <x v="1"/>
          <x v="4"/>
          <x v="2"/>
          <x v="3"/>
          <x v="0"/>
          <x v="4"/>
          <x v="2"/>
          <x v="3"/>
          <x v="4"/>
          <x v="1"/>
          <x v="0"/>
          <x v="2"/>
          <x v="4"/>
          <x v="4"/>
          <x v="0"/>
          <x v="2"/>
          <x v="2"/>
          <x v="1"/>
          <x v="1"/>
          <x v="3"/>
          <x v="1"/>
          <x v="1"/>
          <x v="2"/>
          <x v="4"/>
          <x v="2"/>
          <x v="4"/>
          <x v="1"/>
          <x v="0"/>
          <x v="1"/>
          <x v="1"/>
          <x v="4"/>
          <x v="4"/>
          <x v="2"/>
          <x v="3"/>
          <x v="4"/>
          <x v="3"/>
          <x v="2"/>
          <x v="2"/>
          <x v="4"/>
          <x v="3"/>
          <x v="0"/>
          <x v="4"/>
          <x v="2"/>
          <x v="1"/>
          <x v="3"/>
        </discretePr>
        <groupItems count="5">
          <s v="Group1"/>
          <s v="Group2"/>
          <s v="Group3"/>
          <s v="Group4"/>
          <s v="Group5"/>
        </groupItems>
      </fieldGroup>
    </cacheField>
  </cacheFields>
  <extLst>
    <ext xmlns:x14="http://schemas.microsoft.com/office/spreadsheetml/2009/9/main" uri="{725AE2AE-9491-48be-B2B4-4EB974FC3084}">
      <x14:pivotCacheDefinition pivotCacheId="15133131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2518"/>
    <s v="Amber"/>
    <x v="0"/>
    <d v="2024-12-13T00:00:00"/>
    <n v="7.99"/>
    <n v="49"/>
    <x v="0"/>
    <n v="3"/>
    <n v="6"/>
    <b v="1"/>
    <n v="641"/>
    <n v="117"/>
    <x v="0"/>
    <x v="0"/>
    <x v="0"/>
    <x v="0"/>
    <n v="3.3"/>
    <x v="0"/>
    <x v="0"/>
    <x v="0"/>
    <x v="0"/>
    <x v="0"/>
    <x v="0"/>
    <n v="578"/>
    <x v="0"/>
    <n v="0.59342560553633217"/>
    <x v="0"/>
    <n v="6.464379947229551E-2"/>
    <s v=" Browsers"/>
  </r>
  <r>
    <n v="6430"/>
    <s v="Patrick"/>
    <x v="1"/>
    <d v="2024-12-15T00:00:00"/>
    <n v="7.99"/>
    <n v="161"/>
    <x v="1"/>
    <n v="1"/>
    <n v="2"/>
    <b v="1"/>
    <n v="192"/>
    <n v="65"/>
    <x v="0"/>
    <x v="0"/>
    <x v="1"/>
    <x v="1"/>
    <n v="4"/>
    <x v="0"/>
    <x v="0"/>
    <x v="1"/>
    <x v="1"/>
    <x v="1"/>
    <x v="1"/>
    <n v="622"/>
    <x v="0"/>
    <n v="1.8118971061093248"/>
    <x v="0"/>
    <n v="0.62645914396887159"/>
    <s v="Viewers"/>
  </r>
  <r>
    <n v="1798"/>
    <s v="Robert"/>
    <x v="2"/>
    <d v="2024-12-14T00:00:00"/>
    <n v="11.99"/>
    <n v="87"/>
    <x v="0"/>
    <n v="2"/>
    <n v="5"/>
    <b v="0"/>
    <n v="260"/>
    <n v="127"/>
    <x v="1"/>
    <x v="1"/>
    <x v="2"/>
    <x v="2"/>
    <n v="3.1"/>
    <x v="0"/>
    <x v="0"/>
    <x v="2"/>
    <x v="1"/>
    <x v="0"/>
    <x v="0"/>
    <n v="500"/>
    <x v="1"/>
    <n v="1.218"/>
    <x v="0"/>
    <n v="0.22480620155038761"/>
    <s v="Viewers"/>
  </r>
  <r>
    <n v="5255"/>
    <s v="Cole"/>
    <x v="3"/>
    <d v="2024-12-02T00:00:00"/>
    <n v="15.99"/>
    <n v="321"/>
    <x v="2"/>
    <n v="1"/>
    <n v="5"/>
    <b v="0"/>
    <n v="61"/>
    <n v="192"/>
    <x v="2"/>
    <x v="1"/>
    <x v="2"/>
    <x v="3"/>
    <n v="4.5999999999999996"/>
    <x v="0"/>
    <x v="0"/>
    <x v="3"/>
    <x v="1"/>
    <x v="1"/>
    <x v="1"/>
    <n v="671"/>
    <x v="2"/>
    <n v="3.3487332339791354"/>
    <x v="0"/>
    <n v="1.2687747035573123"/>
    <s v="Viewers"/>
  </r>
  <r>
    <n v="2854"/>
    <s v="Jamie"/>
    <x v="4"/>
    <d v="2024-12-15T00:00:00"/>
    <n v="11.99"/>
    <n v="386"/>
    <x v="3"/>
    <n v="1"/>
    <n v="4"/>
    <b v="1"/>
    <n v="230"/>
    <n v="2"/>
    <x v="0"/>
    <x v="0"/>
    <x v="2"/>
    <x v="4"/>
    <n v="3.7"/>
    <x v="0"/>
    <x v="0"/>
    <x v="4"/>
    <x v="1"/>
    <x v="1"/>
    <x v="0"/>
    <n v="558"/>
    <x v="1"/>
    <n v="4.8422939068100366"/>
    <x v="0"/>
    <n v="1.6637931034482758"/>
    <s v="Viewers"/>
  </r>
  <r>
    <n v="6735"/>
    <s v="Mary"/>
    <x v="5"/>
    <d v="2024-11-19T00:00:00"/>
    <n v="15.99"/>
    <n v="408"/>
    <x v="3"/>
    <n v="2"/>
    <n v="6"/>
    <b v="1"/>
    <n v="837"/>
    <n v="105"/>
    <x v="3"/>
    <x v="2"/>
    <x v="3"/>
    <x v="5"/>
    <n v="4.3"/>
    <x v="1"/>
    <x v="0"/>
    <x v="5"/>
    <x v="2"/>
    <x v="2"/>
    <x v="2"/>
    <n v="429"/>
    <x v="2"/>
    <n v="6.6573426573426575"/>
    <x v="1"/>
    <n v="0.43312101910828027"/>
    <s v="Viewers"/>
  </r>
  <r>
    <n v="2995"/>
    <s v="Theodore"/>
    <x v="6"/>
    <d v="2024-12-10T00:00:00"/>
    <n v="7.99"/>
    <n v="475"/>
    <x v="4"/>
    <n v="5"/>
    <n v="4"/>
    <b v="1"/>
    <n v="510"/>
    <n v="143"/>
    <x v="0"/>
    <x v="2"/>
    <x v="4"/>
    <x v="6"/>
    <n v="4.5"/>
    <x v="0"/>
    <x v="0"/>
    <x v="6"/>
    <x v="3"/>
    <x v="0"/>
    <x v="0"/>
    <n v="107"/>
    <x v="0"/>
    <n v="31.074766355140184"/>
    <x v="2"/>
    <n v="0.72741194486983152"/>
    <s v="Viewers"/>
  </r>
  <r>
    <n v="5120"/>
    <s v="Olivia"/>
    <x v="7"/>
    <d v="2024-12-14T00:00:00"/>
    <n v="15.99"/>
    <n v="258"/>
    <x v="0"/>
    <n v="4"/>
    <n v="1"/>
    <b v="1"/>
    <n v="907"/>
    <n v="47"/>
    <x v="4"/>
    <x v="1"/>
    <x v="0"/>
    <x v="7"/>
    <n v="3.7"/>
    <x v="1"/>
    <x v="0"/>
    <x v="7"/>
    <x v="0"/>
    <x v="3"/>
    <x v="0"/>
    <n v="197"/>
    <x v="2"/>
    <n v="9.1675126903553306"/>
    <x v="1"/>
    <n v="0.27044025157232704"/>
    <s v="Viewers"/>
  </r>
  <r>
    <n v="6063"/>
    <s v="Patricia"/>
    <x v="8"/>
    <d v="2024-12-17T00:00:00"/>
    <n v="15.99"/>
    <n v="183"/>
    <x v="5"/>
    <n v="5"/>
    <n v="2"/>
    <b v="1"/>
    <n v="676"/>
    <n v="61"/>
    <x v="5"/>
    <x v="3"/>
    <x v="2"/>
    <x v="8"/>
    <n v="3.3"/>
    <x v="1"/>
    <x v="0"/>
    <x v="8"/>
    <x v="4"/>
    <x v="1"/>
    <x v="0"/>
    <n v="549"/>
    <x v="2"/>
    <n v="2.3333333333333335"/>
    <x v="0"/>
    <n v="0.24830393487109906"/>
    <s v="Viewers"/>
  </r>
  <r>
    <n v="6896"/>
    <s v="Linda"/>
    <x v="9"/>
    <d v="2024-12-14T00:00:00"/>
    <n v="7.99"/>
    <n v="164"/>
    <x v="3"/>
    <n v="5"/>
    <n v="4"/>
    <b v="1"/>
    <n v="406"/>
    <n v="79"/>
    <x v="0"/>
    <x v="2"/>
    <x v="5"/>
    <x v="9"/>
    <n v="3.2"/>
    <x v="0"/>
    <x v="0"/>
    <x v="9"/>
    <x v="3"/>
    <x v="4"/>
    <x v="0"/>
    <n v="378"/>
    <x v="0"/>
    <n v="3.0370370370370372"/>
    <x v="0"/>
    <n v="0.33814432989690724"/>
    <s v="Viewers"/>
  </r>
  <r>
    <n v="8447"/>
    <s v="Nichole"/>
    <x v="10"/>
    <d v="2024-11-22T00:00:00"/>
    <n v="11.99"/>
    <n v="411"/>
    <x v="5"/>
    <n v="5"/>
    <n v="4"/>
    <b v="1"/>
    <n v="352"/>
    <n v="78"/>
    <x v="2"/>
    <x v="2"/>
    <x v="4"/>
    <x v="3"/>
    <n v="3.7"/>
    <x v="0"/>
    <x v="0"/>
    <x v="10"/>
    <x v="4"/>
    <x v="4"/>
    <x v="0"/>
    <n v="605"/>
    <x v="1"/>
    <n v="4.7553719008264466"/>
    <x v="0"/>
    <n v="0.95581395348837206"/>
    <s v="Viewers"/>
  </r>
  <r>
    <n v="1433"/>
    <s v="Frances"/>
    <x v="11"/>
    <d v="2024-11-20T00:00:00"/>
    <n v="15.99"/>
    <n v="160"/>
    <x v="1"/>
    <n v="5"/>
    <n v="6"/>
    <b v="1"/>
    <n v="391"/>
    <n v="132"/>
    <x v="1"/>
    <x v="1"/>
    <x v="1"/>
    <x v="10"/>
    <n v="3"/>
    <x v="0"/>
    <x v="0"/>
    <x v="11"/>
    <x v="3"/>
    <x v="0"/>
    <x v="0"/>
    <n v="263"/>
    <x v="2"/>
    <n v="4.2585551330798479"/>
    <x v="0"/>
    <n v="0.30592734225621415"/>
    <s v="Viewers"/>
  </r>
  <r>
    <n v="4511"/>
    <s v="Maurice"/>
    <x v="12"/>
    <d v="2024-11-25T00:00:00"/>
    <n v="7.99"/>
    <n v="348"/>
    <x v="1"/>
    <n v="2"/>
    <n v="5"/>
    <b v="0"/>
    <n v="501"/>
    <n v="71"/>
    <x v="5"/>
    <x v="1"/>
    <x v="5"/>
    <x v="11"/>
    <n v="4.3"/>
    <x v="0"/>
    <x v="0"/>
    <x v="12"/>
    <x v="0"/>
    <x v="3"/>
    <x v="0"/>
    <n v="609"/>
    <x v="0"/>
    <n v="4"/>
    <x v="0"/>
    <n v="0.60839160839160844"/>
    <s v="Viewers"/>
  </r>
  <r>
    <n v="9966"/>
    <s v="Jennifer"/>
    <x v="13"/>
    <d v="2024-11-30T00:00:00"/>
    <n v="7.99"/>
    <n v="451"/>
    <x v="3"/>
    <n v="3"/>
    <n v="1"/>
    <b v="0"/>
    <n v="995"/>
    <n v="164"/>
    <x v="2"/>
    <x v="3"/>
    <x v="4"/>
    <x v="12"/>
    <n v="3"/>
    <x v="1"/>
    <x v="0"/>
    <x v="13"/>
    <x v="0"/>
    <x v="2"/>
    <x v="0"/>
    <n v="76"/>
    <x v="0"/>
    <n v="41.539473684210527"/>
    <x v="2"/>
    <n v="0.38912855910267474"/>
    <s v="Viewers"/>
  </r>
  <r>
    <n v="7093"/>
    <s v="Cheryl"/>
    <x v="14"/>
    <d v="2024-12-11T00:00:00"/>
    <n v="7.99"/>
    <n v="69"/>
    <x v="3"/>
    <n v="2"/>
    <n v="5"/>
    <b v="0"/>
    <n v="222"/>
    <n v="13"/>
    <x v="6"/>
    <x v="0"/>
    <x v="1"/>
    <x v="13"/>
    <n v="4.7"/>
    <x v="1"/>
    <x v="0"/>
    <x v="14"/>
    <x v="1"/>
    <x v="2"/>
    <x v="3"/>
    <n v="553"/>
    <x v="0"/>
    <n v="0.87341772151898733"/>
    <x v="0"/>
    <n v="0.29361702127659572"/>
    <s v="Viewers"/>
  </r>
  <r>
    <n v="4351"/>
    <s v="Kathy"/>
    <x v="15"/>
    <d v="2024-11-30T00:00:00"/>
    <n v="11.99"/>
    <n v="166"/>
    <x v="4"/>
    <n v="1"/>
    <n v="6"/>
    <b v="1"/>
    <n v="788"/>
    <n v="31"/>
    <x v="0"/>
    <x v="0"/>
    <x v="1"/>
    <x v="14"/>
    <n v="4.3"/>
    <x v="1"/>
    <x v="0"/>
    <x v="15"/>
    <x v="2"/>
    <x v="0"/>
    <x v="3"/>
    <n v="196"/>
    <x v="1"/>
    <n v="5.9285714285714288"/>
    <x v="1"/>
    <n v="0.20268620268620269"/>
    <s v="Viewers"/>
  </r>
  <r>
    <n v="6007"/>
    <s v="Cassie"/>
    <x v="16"/>
    <d v="2024-12-17T00:00:00"/>
    <n v="7.99"/>
    <n v="449"/>
    <x v="4"/>
    <n v="2"/>
    <n v="4"/>
    <b v="1"/>
    <n v="369"/>
    <n v="25"/>
    <x v="5"/>
    <x v="1"/>
    <x v="3"/>
    <x v="15"/>
    <n v="4.5999999999999996"/>
    <x v="0"/>
    <x v="0"/>
    <x v="16"/>
    <x v="0"/>
    <x v="1"/>
    <x v="1"/>
    <n v="672"/>
    <x v="0"/>
    <n v="4.677083333333333"/>
    <x v="0"/>
    <n v="1.1395939086294415"/>
    <s v="Viewers"/>
  </r>
  <r>
    <n v="9710"/>
    <s v="Charles"/>
    <x v="17"/>
    <d v="2024-11-27T00:00:00"/>
    <n v="7.99"/>
    <n v="441"/>
    <x v="6"/>
    <n v="1"/>
    <n v="5"/>
    <b v="0"/>
    <n v="228"/>
    <n v="39"/>
    <x v="5"/>
    <x v="0"/>
    <x v="2"/>
    <x v="16"/>
    <n v="3.1"/>
    <x v="1"/>
    <x v="0"/>
    <x v="17"/>
    <x v="1"/>
    <x v="0"/>
    <x v="2"/>
    <n v="544"/>
    <x v="0"/>
    <n v="5.6746323529411766"/>
    <x v="1"/>
    <n v="1.651685393258427"/>
    <s v="Viewers"/>
  </r>
  <r>
    <n v="9034"/>
    <s v="William"/>
    <x v="18"/>
    <d v="2024-12-18T00:00:00"/>
    <n v="15.99"/>
    <n v="224"/>
    <x v="5"/>
    <n v="1"/>
    <n v="5"/>
    <b v="1"/>
    <n v="827"/>
    <n v="138"/>
    <x v="1"/>
    <x v="1"/>
    <x v="2"/>
    <x v="17"/>
    <n v="4.5"/>
    <x v="1"/>
    <x v="0"/>
    <x v="18"/>
    <x v="4"/>
    <x v="2"/>
    <x v="3"/>
    <n v="455"/>
    <x v="2"/>
    <n v="3.4461538461538463"/>
    <x v="0"/>
    <n v="0.23212435233160622"/>
    <s v="Viewers"/>
  </r>
  <r>
    <n v="6197"/>
    <s v="Tiffany"/>
    <x v="19"/>
    <d v="2024-11-28T00:00:00"/>
    <n v="15.99"/>
    <n v="44"/>
    <x v="0"/>
    <n v="2"/>
    <n v="4"/>
    <b v="0"/>
    <n v="983"/>
    <n v="145"/>
    <x v="3"/>
    <x v="0"/>
    <x v="5"/>
    <x v="18"/>
    <n v="3"/>
    <x v="0"/>
    <x v="0"/>
    <x v="19"/>
    <x v="3"/>
    <x v="3"/>
    <x v="1"/>
    <n v="514"/>
    <x v="2"/>
    <n v="0.59922178988326846"/>
    <x v="0"/>
    <n v="3.9007092198581561E-2"/>
    <s v=" Browsers"/>
  </r>
  <r>
    <n v="2820"/>
    <s v="Mark"/>
    <x v="20"/>
    <d v="2024-12-01T00:00:00"/>
    <n v="7.99"/>
    <n v="202"/>
    <x v="1"/>
    <n v="1"/>
    <n v="5"/>
    <b v="1"/>
    <n v="109"/>
    <n v="41"/>
    <x v="0"/>
    <x v="3"/>
    <x v="3"/>
    <x v="19"/>
    <n v="4.5999999999999996"/>
    <x v="0"/>
    <x v="0"/>
    <x v="20"/>
    <x v="1"/>
    <x v="0"/>
    <x v="0"/>
    <n v="505"/>
    <x v="0"/>
    <n v="2.8000000000000003"/>
    <x v="0"/>
    <n v="1.3466666666666667"/>
    <s v="Viewers"/>
  </r>
  <r>
    <n v="1101"/>
    <s v="Mary"/>
    <x v="21"/>
    <d v="2024-11-23T00:00:00"/>
    <n v="15.99"/>
    <n v="39"/>
    <x v="4"/>
    <n v="2"/>
    <n v="3"/>
    <b v="1"/>
    <n v="181"/>
    <n v="128"/>
    <x v="4"/>
    <x v="0"/>
    <x v="2"/>
    <x v="20"/>
    <n v="4.5"/>
    <x v="1"/>
    <x v="0"/>
    <x v="21"/>
    <x v="2"/>
    <x v="4"/>
    <x v="1"/>
    <n v="163"/>
    <x v="2"/>
    <n v="1.6748466257668713"/>
    <x v="0"/>
    <n v="0.12621359223300971"/>
    <s v=" Browsers"/>
  </r>
  <r>
    <n v="1650"/>
    <s v="Charles"/>
    <x v="6"/>
    <d v="2024-11-23T00:00:00"/>
    <n v="15.99"/>
    <n v="319"/>
    <x v="6"/>
    <n v="2"/>
    <n v="2"/>
    <b v="0"/>
    <n v="842"/>
    <n v="145"/>
    <x v="6"/>
    <x v="3"/>
    <x v="2"/>
    <x v="21"/>
    <n v="3.6"/>
    <x v="1"/>
    <x v="0"/>
    <x v="22"/>
    <x v="2"/>
    <x v="0"/>
    <x v="3"/>
    <n v="90"/>
    <x v="2"/>
    <n v="24.81111111111111"/>
    <x v="2"/>
    <n v="0.3232016210739615"/>
    <s v="Viewers"/>
  </r>
  <r>
    <n v="4884"/>
    <s v="Anne"/>
    <x v="22"/>
    <d v="2024-11-25T00:00:00"/>
    <n v="15.99"/>
    <n v="150"/>
    <x v="2"/>
    <n v="3"/>
    <n v="3"/>
    <b v="1"/>
    <n v="40"/>
    <n v="196"/>
    <x v="1"/>
    <x v="1"/>
    <x v="1"/>
    <x v="22"/>
    <n v="3.7"/>
    <x v="0"/>
    <x v="0"/>
    <x v="23"/>
    <x v="3"/>
    <x v="4"/>
    <x v="1"/>
    <n v="372"/>
    <x v="2"/>
    <n v="2.82258064516129"/>
    <x v="0"/>
    <n v="0.63559322033898302"/>
    <s v="Viewers"/>
  </r>
  <r>
    <n v="8321"/>
    <s v="Carol"/>
    <x v="23"/>
    <d v="2024-11-23T00:00:00"/>
    <n v="11.99"/>
    <n v="496"/>
    <x v="6"/>
    <n v="3"/>
    <n v="1"/>
    <b v="1"/>
    <n v="431"/>
    <n v="41"/>
    <x v="3"/>
    <x v="2"/>
    <x v="4"/>
    <x v="23"/>
    <n v="4"/>
    <x v="1"/>
    <x v="0"/>
    <x v="24"/>
    <x v="2"/>
    <x v="4"/>
    <x v="3"/>
    <n v="428"/>
    <x v="1"/>
    <n v="8.1121495327102799"/>
    <x v="1"/>
    <n v="1.0508474576271187"/>
    <s v="Viewers"/>
  </r>
  <r>
    <n v="2381"/>
    <s v="Cynthia"/>
    <x v="24"/>
    <d v="2024-12-15T00:00:00"/>
    <n v="7.99"/>
    <n v="347"/>
    <x v="4"/>
    <n v="2"/>
    <n v="5"/>
    <b v="0"/>
    <n v="415"/>
    <n v="194"/>
    <x v="0"/>
    <x v="2"/>
    <x v="1"/>
    <x v="24"/>
    <n v="4.3"/>
    <x v="1"/>
    <x v="0"/>
    <x v="25"/>
    <x v="1"/>
    <x v="2"/>
    <x v="3"/>
    <n v="214"/>
    <x v="0"/>
    <n v="11.350467289719626"/>
    <x v="1"/>
    <n v="0.56978653530377665"/>
    <s v="Viewers"/>
  </r>
  <r>
    <n v="9507"/>
    <s v="Destiny"/>
    <x v="25"/>
    <d v="2024-11-19T00:00:00"/>
    <n v="11.99"/>
    <n v="201"/>
    <x v="0"/>
    <n v="1"/>
    <n v="6"/>
    <b v="1"/>
    <n v="902"/>
    <n v="86"/>
    <x v="0"/>
    <x v="3"/>
    <x v="5"/>
    <x v="1"/>
    <n v="4.9000000000000004"/>
    <x v="1"/>
    <x v="0"/>
    <x v="26"/>
    <x v="2"/>
    <x v="2"/>
    <x v="3"/>
    <n v="519"/>
    <x v="1"/>
    <n v="2.7109826589595376"/>
    <x v="0"/>
    <n v="0.20344129554655871"/>
    <s v="Viewers"/>
  </r>
  <r>
    <n v="2851"/>
    <s v="Brittany"/>
    <x v="26"/>
    <d v="2024-11-23T00:00:00"/>
    <n v="15.99"/>
    <n v="415"/>
    <x v="6"/>
    <n v="3"/>
    <n v="5"/>
    <b v="1"/>
    <n v="769"/>
    <n v="144"/>
    <x v="4"/>
    <x v="3"/>
    <x v="3"/>
    <x v="25"/>
    <n v="3.9"/>
    <x v="0"/>
    <x v="0"/>
    <x v="27"/>
    <x v="4"/>
    <x v="0"/>
    <x v="1"/>
    <n v="185"/>
    <x v="2"/>
    <n v="15.702702702702704"/>
    <x v="2"/>
    <n v="0.45454545454545453"/>
    <s v="Viewers"/>
  </r>
  <r>
    <n v="4083"/>
    <s v="Amy"/>
    <x v="27"/>
    <d v="2024-12-10T00:00:00"/>
    <n v="11.99"/>
    <n v="32"/>
    <x v="4"/>
    <n v="1"/>
    <n v="4"/>
    <b v="1"/>
    <n v="588"/>
    <n v="137"/>
    <x v="6"/>
    <x v="2"/>
    <x v="4"/>
    <x v="26"/>
    <n v="3.7"/>
    <x v="1"/>
    <x v="0"/>
    <x v="28"/>
    <x v="3"/>
    <x v="0"/>
    <x v="3"/>
    <n v="315"/>
    <x v="1"/>
    <n v="0.71111111111111114"/>
    <x v="0"/>
    <n v="4.4137931034482755E-2"/>
    <s v=" Browsers"/>
  </r>
  <r>
    <n v="4608"/>
    <s v="Kimberly"/>
    <x v="28"/>
    <d v="2024-11-28T00:00:00"/>
    <n v="11.99"/>
    <n v="338"/>
    <x v="5"/>
    <n v="3"/>
    <n v="2"/>
    <b v="1"/>
    <n v="528"/>
    <n v="184"/>
    <x v="2"/>
    <x v="3"/>
    <x v="3"/>
    <x v="27"/>
    <n v="3.7"/>
    <x v="1"/>
    <x v="0"/>
    <x v="29"/>
    <x v="1"/>
    <x v="4"/>
    <x v="0"/>
    <n v="245"/>
    <x v="1"/>
    <n v="9.6571428571428566"/>
    <x v="1"/>
    <n v="0.4747191011235955"/>
    <s v="Viewers"/>
  </r>
  <r>
    <n v="4815"/>
    <s v="Ariel"/>
    <x v="29"/>
    <d v="2024-11-20T00:00:00"/>
    <n v="7.99"/>
    <n v="52"/>
    <x v="3"/>
    <n v="5"/>
    <n v="5"/>
    <b v="0"/>
    <n v="467"/>
    <n v="23"/>
    <x v="0"/>
    <x v="0"/>
    <x v="3"/>
    <x v="28"/>
    <n v="3.3"/>
    <x v="1"/>
    <x v="0"/>
    <x v="30"/>
    <x v="1"/>
    <x v="4"/>
    <x v="1"/>
    <n v="141"/>
    <x v="0"/>
    <n v="2.5815602836879434"/>
    <x v="0"/>
    <n v="0.10612244897959183"/>
    <s v=" Browsers"/>
  </r>
  <r>
    <n v="9597"/>
    <s v="Lauren"/>
    <x v="30"/>
    <d v="2024-12-06T00:00:00"/>
    <n v="11.99"/>
    <n v="447"/>
    <x v="6"/>
    <n v="5"/>
    <n v="5"/>
    <b v="0"/>
    <n v="73"/>
    <n v="138"/>
    <x v="5"/>
    <x v="1"/>
    <x v="0"/>
    <x v="0"/>
    <n v="4.0999999999999996"/>
    <x v="0"/>
    <x v="0"/>
    <x v="31"/>
    <x v="0"/>
    <x v="1"/>
    <x v="3"/>
    <n v="4"/>
    <x v="1"/>
    <n v="782.25"/>
    <x v="2"/>
    <n v="2.1184834123222749"/>
    <s v="Viewers"/>
  </r>
  <r>
    <n v="6566"/>
    <s v="Joshua"/>
    <x v="31"/>
    <d v="2024-12-17T00:00:00"/>
    <n v="11.99"/>
    <n v="312"/>
    <x v="4"/>
    <n v="5"/>
    <n v="1"/>
    <b v="1"/>
    <n v="895"/>
    <n v="154"/>
    <x v="5"/>
    <x v="1"/>
    <x v="3"/>
    <x v="26"/>
    <n v="4.7"/>
    <x v="1"/>
    <x v="0"/>
    <x v="32"/>
    <x v="3"/>
    <x v="1"/>
    <x v="1"/>
    <n v="544"/>
    <x v="1"/>
    <n v="4.0147058823529411"/>
    <x v="0"/>
    <n v="0.29742612011439468"/>
    <s v="Viewers"/>
  </r>
  <r>
    <n v="1419"/>
    <s v="Megan"/>
    <x v="19"/>
    <d v="2024-12-16T00:00:00"/>
    <n v="11.99"/>
    <n v="406"/>
    <x v="2"/>
    <n v="2"/>
    <n v="6"/>
    <b v="0"/>
    <n v="983"/>
    <n v="113"/>
    <x v="3"/>
    <x v="3"/>
    <x v="1"/>
    <x v="18"/>
    <n v="3.1"/>
    <x v="0"/>
    <x v="0"/>
    <x v="33"/>
    <x v="0"/>
    <x v="1"/>
    <x v="1"/>
    <n v="532"/>
    <x v="1"/>
    <n v="5.3421052631578947"/>
    <x v="1"/>
    <n v="0.37043795620437958"/>
    <s v="Viewers"/>
  </r>
  <r>
    <n v="9470"/>
    <s v="Stephanie"/>
    <x v="32"/>
    <d v="2024-12-15T00:00:00"/>
    <n v="7.99"/>
    <n v="350"/>
    <x v="4"/>
    <n v="3"/>
    <n v="6"/>
    <b v="1"/>
    <n v="801"/>
    <n v="156"/>
    <x v="6"/>
    <x v="2"/>
    <x v="2"/>
    <x v="29"/>
    <n v="4.5999999999999996"/>
    <x v="1"/>
    <x v="0"/>
    <x v="34"/>
    <x v="2"/>
    <x v="2"/>
    <x v="0"/>
    <n v="383"/>
    <x v="0"/>
    <n v="6.3968668407310707"/>
    <x v="1"/>
    <n v="0.36572622779519331"/>
    <s v="Viewers"/>
  </r>
  <r>
    <n v="4989"/>
    <s v="Terrence"/>
    <x v="33"/>
    <d v="2024-12-10T00:00:00"/>
    <n v="7.99"/>
    <n v="99"/>
    <x v="5"/>
    <n v="2"/>
    <n v="5"/>
    <b v="1"/>
    <n v="96"/>
    <n v="114"/>
    <x v="0"/>
    <x v="0"/>
    <x v="0"/>
    <x v="30"/>
    <n v="4.3"/>
    <x v="0"/>
    <x v="0"/>
    <x v="35"/>
    <x v="2"/>
    <x v="4"/>
    <x v="2"/>
    <n v="335"/>
    <x v="0"/>
    <n v="2.0686567164179106"/>
    <x v="0"/>
    <n v="0.47142857142857142"/>
    <s v="Viewers"/>
  </r>
  <r>
    <n v="9389"/>
    <s v="Julia"/>
    <x v="34"/>
    <d v="2024-11-21T00:00:00"/>
    <n v="15.99"/>
    <n v="53"/>
    <x v="2"/>
    <n v="1"/>
    <n v="2"/>
    <b v="0"/>
    <n v="849"/>
    <n v="98"/>
    <x v="3"/>
    <x v="2"/>
    <x v="2"/>
    <x v="31"/>
    <n v="3.1"/>
    <x v="0"/>
    <x v="0"/>
    <x v="36"/>
    <x v="0"/>
    <x v="0"/>
    <x v="1"/>
    <n v="49"/>
    <x v="2"/>
    <n v="7.5714285714285712"/>
    <x v="1"/>
    <n v="5.59662090813094E-2"/>
    <s v=" Browsers"/>
  </r>
  <r>
    <n v="7728"/>
    <s v="Derrick"/>
    <x v="35"/>
    <d v="2024-12-13T00:00:00"/>
    <n v="11.99"/>
    <n v="484"/>
    <x v="6"/>
    <n v="3"/>
    <n v="6"/>
    <b v="0"/>
    <n v="515"/>
    <n v="174"/>
    <x v="2"/>
    <x v="0"/>
    <x v="1"/>
    <x v="32"/>
    <n v="4"/>
    <x v="1"/>
    <x v="0"/>
    <x v="37"/>
    <x v="0"/>
    <x v="1"/>
    <x v="2"/>
    <n v="455"/>
    <x v="1"/>
    <n v="7.4461538461538463"/>
    <x v="1"/>
    <n v="0.7024673439767779"/>
    <s v="Viewers"/>
  </r>
  <r>
    <n v="7943"/>
    <s v="Nathan"/>
    <x v="36"/>
    <d v="2024-12-01T00:00:00"/>
    <n v="15.99"/>
    <n v="211"/>
    <x v="3"/>
    <n v="2"/>
    <n v="6"/>
    <b v="1"/>
    <n v="657"/>
    <n v="137"/>
    <x v="4"/>
    <x v="2"/>
    <x v="0"/>
    <x v="8"/>
    <n v="4"/>
    <x v="1"/>
    <x v="0"/>
    <x v="38"/>
    <x v="1"/>
    <x v="2"/>
    <x v="0"/>
    <n v="61"/>
    <x v="2"/>
    <n v="24.213114754098363"/>
    <x v="2"/>
    <n v="0.26574307304785894"/>
    <s v="Viewers"/>
  </r>
  <r>
    <n v="2490"/>
    <s v="Matthew"/>
    <x v="37"/>
    <d v="2024-11-19T00:00:00"/>
    <n v="11.99"/>
    <n v="248"/>
    <x v="2"/>
    <n v="4"/>
    <n v="1"/>
    <b v="1"/>
    <n v="426"/>
    <n v="21"/>
    <x v="3"/>
    <x v="1"/>
    <x v="3"/>
    <x v="33"/>
    <n v="4.8"/>
    <x v="0"/>
    <x v="0"/>
    <x v="39"/>
    <x v="0"/>
    <x v="0"/>
    <x v="0"/>
    <n v="459"/>
    <x v="1"/>
    <n v="3.7821350762527235"/>
    <x v="0"/>
    <n v="0.55480984340044748"/>
    <s v="Viewers"/>
  </r>
  <r>
    <n v="5042"/>
    <s v="Ashley"/>
    <x v="38"/>
    <d v="2024-11-23T00:00:00"/>
    <n v="15.99"/>
    <n v="197"/>
    <x v="6"/>
    <n v="4"/>
    <n v="2"/>
    <b v="0"/>
    <n v="309"/>
    <n v="178"/>
    <x v="4"/>
    <x v="3"/>
    <x v="2"/>
    <x v="34"/>
    <n v="4.3"/>
    <x v="0"/>
    <x v="0"/>
    <x v="40"/>
    <x v="2"/>
    <x v="0"/>
    <x v="1"/>
    <n v="281"/>
    <x v="2"/>
    <n v="4.9074733096085401"/>
    <x v="0"/>
    <n v="0.40451745379876797"/>
    <s v="Viewers"/>
  </r>
  <r>
    <n v="3620"/>
    <s v="Kerri"/>
    <x v="39"/>
    <d v="2024-12-07T00:00:00"/>
    <n v="15.99"/>
    <n v="253"/>
    <x v="5"/>
    <n v="5"/>
    <n v="5"/>
    <b v="1"/>
    <n v="141"/>
    <n v="199"/>
    <x v="0"/>
    <x v="1"/>
    <x v="5"/>
    <x v="35"/>
    <n v="3.1"/>
    <x v="0"/>
    <x v="0"/>
    <x v="41"/>
    <x v="3"/>
    <x v="3"/>
    <x v="3"/>
    <n v="122"/>
    <x v="2"/>
    <n v="14.516393442622952"/>
    <x v="1"/>
    <n v="0.74411764705882355"/>
    <s v="Viewers"/>
  </r>
  <r>
    <n v="8976"/>
    <s v="Jessica"/>
    <x v="40"/>
    <d v="2024-12-12T00:00:00"/>
    <n v="7.99"/>
    <n v="352"/>
    <x v="6"/>
    <n v="4"/>
    <n v="3"/>
    <b v="1"/>
    <n v="112"/>
    <n v="106"/>
    <x v="6"/>
    <x v="2"/>
    <x v="5"/>
    <x v="36"/>
    <n v="4.5999999999999996"/>
    <x v="1"/>
    <x v="0"/>
    <x v="42"/>
    <x v="4"/>
    <x v="3"/>
    <x v="3"/>
    <n v="86"/>
    <x v="0"/>
    <n v="28.651162790697672"/>
    <x v="2"/>
    <n v="1.6146788990825689"/>
    <s v="Viewers"/>
  </r>
  <r>
    <n v="1570"/>
    <s v="Matthew"/>
    <x v="41"/>
    <d v="2024-11-22T00:00:00"/>
    <n v="11.99"/>
    <n v="97"/>
    <x v="6"/>
    <n v="1"/>
    <n v="2"/>
    <b v="0"/>
    <n v="836"/>
    <n v="122"/>
    <x v="2"/>
    <x v="1"/>
    <x v="3"/>
    <x v="15"/>
    <n v="4.3"/>
    <x v="1"/>
    <x v="0"/>
    <x v="43"/>
    <x v="0"/>
    <x v="2"/>
    <x v="2"/>
    <n v="493"/>
    <x v="1"/>
    <n v="1.3772819472616633"/>
    <x v="0"/>
    <n v="0.10125260960334029"/>
    <s v=" Browsers"/>
  </r>
  <r>
    <n v="7709"/>
    <s v="Phillip"/>
    <x v="42"/>
    <d v="2024-12-01T00:00:00"/>
    <n v="11.99"/>
    <n v="283"/>
    <x v="2"/>
    <n v="5"/>
    <n v="2"/>
    <b v="0"/>
    <n v="785"/>
    <n v="1"/>
    <x v="4"/>
    <x v="1"/>
    <x v="1"/>
    <x v="37"/>
    <n v="3.4"/>
    <x v="1"/>
    <x v="0"/>
    <x v="44"/>
    <x v="4"/>
    <x v="1"/>
    <x v="1"/>
    <n v="607"/>
    <x v="1"/>
    <n v="3.2635914332784188"/>
    <x v="0"/>
    <n v="0.36005089058524176"/>
    <s v="Viewers"/>
  </r>
  <r>
    <n v="9503"/>
    <s v="Elizabeth"/>
    <x v="43"/>
    <d v="2024-12-05T00:00:00"/>
    <n v="11.99"/>
    <n v="307"/>
    <x v="3"/>
    <n v="5"/>
    <n v="6"/>
    <b v="0"/>
    <n v="857"/>
    <n v="9"/>
    <x v="6"/>
    <x v="3"/>
    <x v="0"/>
    <x v="38"/>
    <n v="3.2"/>
    <x v="1"/>
    <x v="0"/>
    <x v="45"/>
    <x v="3"/>
    <x v="0"/>
    <x v="0"/>
    <n v="238"/>
    <x v="1"/>
    <n v="9.0294117647058822"/>
    <x v="1"/>
    <n v="0.35450346420323325"/>
    <s v="Viewers"/>
  </r>
  <r>
    <n v="9564"/>
    <s v="Lisa"/>
    <x v="44"/>
    <d v="2024-12-04T00:00:00"/>
    <n v="15.99"/>
    <n v="203"/>
    <x v="5"/>
    <n v="5"/>
    <n v="1"/>
    <b v="0"/>
    <n v="347"/>
    <n v="18"/>
    <x v="4"/>
    <x v="3"/>
    <x v="3"/>
    <x v="39"/>
    <n v="4.4000000000000004"/>
    <x v="1"/>
    <x v="0"/>
    <x v="46"/>
    <x v="3"/>
    <x v="3"/>
    <x v="3"/>
    <n v="588"/>
    <x v="2"/>
    <n v="2.4166666666666665"/>
    <x v="0"/>
    <n v="0.55616438356164388"/>
    <s v="Viewers"/>
  </r>
  <r>
    <n v="8934"/>
    <s v="Natalie"/>
    <x v="45"/>
    <d v="2024-12-05T00:00:00"/>
    <n v="7.99"/>
    <n v="22"/>
    <x v="1"/>
    <n v="4"/>
    <n v="3"/>
    <b v="0"/>
    <n v="707"/>
    <n v="156"/>
    <x v="1"/>
    <x v="3"/>
    <x v="3"/>
    <x v="33"/>
    <n v="3.3"/>
    <x v="0"/>
    <x v="0"/>
    <x v="47"/>
    <x v="1"/>
    <x v="2"/>
    <x v="1"/>
    <n v="621"/>
    <x v="0"/>
    <n v="0.24798711755233496"/>
    <x v="0"/>
    <n v="2.5492468134414831E-2"/>
    <s v=" Browsers"/>
  </r>
  <r>
    <n v="1222"/>
    <s v="Autumn"/>
    <x v="46"/>
    <d v="2024-12-08T00:00:00"/>
    <n v="15.99"/>
    <n v="382"/>
    <x v="6"/>
    <n v="2"/>
    <n v="2"/>
    <b v="0"/>
    <n v="49"/>
    <n v="45"/>
    <x v="1"/>
    <x v="0"/>
    <x v="0"/>
    <x v="40"/>
    <n v="4"/>
    <x v="1"/>
    <x v="0"/>
    <x v="48"/>
    <x v="2"/>
    <x v="0"/>
    <x v="2"/>
    <n v="464"/>
    <x v="2"/>
    <n v="5.762931034482758"/>
    <x v="1"/>
    <n v="4.0638297872340425"/>
    <s v="Viewers"/>
  </r>
  <r>
    <n v="5762"/>
    <s v="James"/>
    <x v="28"/>
    <d v="2024-12-02T00:00:00"/>
    <n v="11.99"/>
    <n v="302"/>
    <x v="5"/>
    <n v="5"/>
    <n v="4"/>
    <b v="0"/>
    <n v="801"/>
    <n v="141"/>
    <x v="6"/>
    <x v="1"/>
    <x v="2"/>
    <x v="12"/>
    <n v="3.5"/>
    <x v="1"/>
    <x v="0"/>
    <x v="49"/>
    <x v="3"/>
    <x v="3"/>
    <x v="2"/>
    <n v="249"/>
    <x v="1"/>
    <n v="8.4899598393574305"/>
    <x v="1"/>
    <n v="0.3205944798301486"/>
    <s v="Viewers"/>
  </r>
  <r>
    <n v="4066"/>
    <s v="Jessica"/>
    <x v="47"/>
    <d v="2024-12-12T00:00:00"/>
    <n v="11.99"/>
    <n v="76"/>
    <x v="2"/>
    <n v="2"/>
    <n v="3"/>
    <b v="0"/>
    <n v="788"/>
    <n v="55"/>
    <x v="2"/>
    <x v="2"/>
    <x v="1"/>
    <x v="16"/>
    <n v="4.8"/>
    <x v="1"/>
    <x v="0"/>
    <x v="50"/>
    <x v="3"/>
    <x v="2"/>
    <x v="2"/>
    <n v="627"/>
    <x v="1"/>
    <n v="0.84848484848484851"/>
    <x v="0"/>
    <n v="9.0154211150652433E-2"/>
    <s v=" Browsers"/>
  </r>
  <r>
    <n v="6469"/>
    <s v="Charles"/>
    <x v="48"/>
    <d v="2024-11-24T00:00:00"/>
    <n v="11.99"/>
    <n v="125"/>
    <x v="3"/>
    <n v="3"/>
    <n v="6"/>
    <b v="1"/>
    <n v="853"/>
    <n v="16"/>
    <x v="4"/>
    <x v="0"/>
    <x v="1"/>
    <x v="15"/>
    <n v="4.8"/>
    <x v="1"/>
    <x v="0"/>
    <x v="51"/>
    <x v="3"/>
    <x v="2"/>
    <x v="0"/>
    <n v="159"/>
    <x v="1"/>
    <n v="5.5031446540880502"/>
    <x v="1"/>
    <n v="0.14384349827387802"/>
    <s v=" Browsers"/>
  </r>
  <r>
    <n v="1364"/>
    <s v="Michael"/>
    <x v="49"/>
    <d v="2024-12-02T00:00:00"/>
    <n v="11.99"/>
    <n v="113"/>
    <x v="4"/>
    <n v="1"/>
    <n v="1"/>
    <b v="0"/>
    <n v="970"/>
    <n v="159"/>
    <x v="2"/>
    <x v="2"/>
    <x v="1"/>
    <x v="41"/>
    <n v="4.9000000000000004"/>
    <x v="1"/>
    <x v="0"/>
    <x v="52"/>
    <x v="3"/>
    <x v="0"/>
    <x v="0"/>
    <n v="494"/>
    <x v="1"/>
    <n v="1.6012145748987854"/>
    <x v="0"/>
    <n v="0.10008857395925598"/>
    <s v=" Browsers"/>
  </r>
  <r>
    <n v="4197"/>
    <s v="Jessica"/>
    <x v="50"/>
    <d v="2024-12-13T00:00:00"/>
    <n v="15.99"/>
    <n v="183"/>
    <x v="6"/>
    <n v="3"/>
    <n v="5"/>
    <b v="0"/>
    <n v="490"/>
    <n v="127"/>
    <x v="1"/>
    <x v="1"/>
    <x v="0"/>
    <x v="42"/>
    <n v="4.5999999999999996"/>
    <x v="1"/>
    <x v="0"/>
    <x v="53"/>
    <x v="1"/>
    <x v="3"/>
    <x v="2"/>
    <n v="43"/>
    <x v="2"/>
    <n v="29.790697674418603"/>
    <x v="2"/>
    <n v="0.29659643435980548"/>
    <s v="Viewers"/>
  </r>
  <r>
    <n v="9700"/>
    <s v="Molly"/>
    <x v="51"/>
    <d v="2024-11-30T00:00:00"/>
    <n v="15.99"/>
    <n v="272"/>
    <x v="3"/>
    <n v="5"/>
    <n v="1"/>
    <b v="0"/>
    <n v="201"/>
    <n v="122"/>
    <x v="3"/>
    <x v="3"/>
    <x v="4"/>
    <x v="43"/>
    <n v="4.5999999999999996"/>
    <x v="1"/>
    <x v="0"/>
    <x v="54"/>
    <x v="3"/>
    <x v="3"/>
    <x v="3"/>
    <n v="705"/>
    <x v="2"/>
    <n v="2.7007092198581564"/>
    <x v="0"/>
    <n v="0.84210526315789469"/>
    <s v="Viewers"/>
  </r>
  <r>
    <n v="5644"/>
    <s v="Joshua"/>
    <x v="52"/>
    <d v="2024-12-03T00:00:00"/>
    <n v="11.99"/>
    <n v="19"/>
    <x v="5"/>
    <n v="4"/>
    <n v="2"/>
    <b v="1"/>
    <n v="741"/>
    <n v="36"/>
    <x v="6"/>
    <x v="0"/>
    <x v="4"/>
    <x v="44"/>
    <n v="4.4000000000000004"/>
    <x v="0"/>
    <x v="0"/>
    <x v="55"/>
    <x v="4"/>
    <x v="2"/>
    <x v="3"/>
    <n v="241"/>
    <x v="1"/>
    <n v="0.55186721991701237"/>
    <x v="0"/>
    <n v="2.4453024453024452E-2"/>
    <s v=" Browsers"/>
  </r>
  <r>
    <n v="5420"/>
    <s v="Lance"/>
    <x v="53"/>
    <d v="2024-12-01T00:00:00"/>
    <n v="11.99"/>
    <n v="204"/>
    <x v="1"/>
    <n v="4"/>
    <n v="6"/>
    <b v="0"/>
    <n v="928"/>
    <n v="30"/>
    <x v="3"/>
    <x v="2"/>
    <x v="2"/>
    <x v="27"/>
    <n v="4.4000000000000004"/>
    <x v="0"/>
    <x v="0"/>
    <x v="56"/>
    <x v="0"/>
    <x v="3"/>
    <x v="0"/>
    <n v="701"/>
    <x v="1"/>
    <n v="2.037089871611983"/>
    <x v="0"/>
    <n v="0.21294363256784968"/>
    <s v="Viewers"/>
  </r>
  <r>
    <n v="7560"/>
    <s v="Lori"/>
    <x v="54"/>
    <d v="2024-12-03T00:00:00"/>
    <n v="7.99"/>
    <n v="345"/>
    <x v="4"/>
    <n v="3"/>
    <n v="3"/>
    <b v="0"/>
    <n v="80"/>
    <n v="100"/>
    <x v="0"/>
    <x v="2"/>
    <x v="0"/>
    <x v="42"/>
    <n v="4.9000000000000004"/>
    <x v="1"/>
    <x v="0"/>
    <x v="57"/>
    <x v="0"/>
    <x v="4"/>
    <x v="2"/>
    <n v="710"/>
    <x v="0"/>
    <n v="3.4014084507042255"/>
    <x v="0"/>
    <n v="1.9166666666666667"/>
    <s v="Viewers"/>
  </r>
  <r>
    <n v="9644"/>
    <s v="Mark"/>
    <x v="55"/>
    <d v="2024-11-25T00:00:00"/>
    <n v="7.99"/>
    <n v="294"/>
    <x v="5"/>
    <n v="4"/>
    <n v="1"/>
    <b v="1"/>
    <n v="453"/>
    <n v="149"/>
    <x v="6"/>
    <x v="0"/>
    <x v="0"/>
    <x v="45"/>
    <n v="3.9"/>
    <x v="1"/>
    <x v="0"/>
    <x v="58"/>
    <x v="1"/>
    <x v="2"/>
    <x v="2"/>
    <n v="78"/>
    <x v="0"/>
    <n v="26.384615384615387"/>
    <x v="2"/>
    <n v="0.48837209302325579"/>
    <s v="Viewers"/>
  </r>
  <r>
    <n v="7239"/>
    <s v="Jeremy"/>
    <x v="56"/>
    <d v="2024-11-29T00:00:00"/>
    <n v="15.99"/>
    <n v="318"/>
    <x v="0"/>
    <n v="3"/>
    <n v="2"/>
    <b v="1"/>
    <n v="943"/>
    <n v="116"/>
    <x v="1"/>
    <x v="0"/>
    <x v="0"/>
    <x v="46"/>
    <n v="4.0999999999999996"/>
    <x v="0"/>
    <x v="0"/>
    <x v="59"/>
    <x v="3"/>
    <x v="1"/>
    <x v="3"/>
    <n v="346"/>
    <x v="2"/>
    <n v="6.4335260115606934"/>
    <x v="1"/>
    <n v="0.3002832861189802"/>
    <s v="Viewers"/>
  </r>
  <r>
    <n v="6415"/>
    <s v="Scott"/>
    <x v="57"/>
    <d v="2024-11-19T00:00:00"/>
    <n v="11.99"/>
    <n v="396"/>
    <x v="0"/>
    <n v="1"/>
    <n v="2"/>
    <b v="0"/>
    <n v="348"/>
    <n v="172"/>
    <x v="2"/>
    <x v="3"/>
    <x v="0"/>
    <x v="47"/>
    <n v="3.9"/>
    <x v="0"/>
    <x v="0"/>
    <x v="60"/>
    <x v="0"/>
    <x v="0"/>
    <x v="3"/>
    <n v="404"/>
    <x v="1"/>
    <n v="6.8613861386138613"/>
    <x v="1"/>
    <n v="0.7615384615384615"/>
    <s v="Viewers"/>
  </r>
  <r>
    <n v="9020"/>
    <s v="Sabrina"/>
    <x v="58"/>
    <d v="2024-12-03T00:00:00"/>
    <n v="11.99"/>
    <n v="455"/>
    <x v="4"/>
    <n v="5"/>
    <n v="3"/>
    <b v="1"/>
    <n v="112"/>
    <n v="158"/>
    <x v="3"/>
    <x v="2"/>
    <x v="1"/>
    <x v="48"/>
    <n v="3.9"/>
    <x v="1"/>
    <x v="0"/>
    <x v="61"/>
    <x v="2"/>
    <x v="1"/>
    <x v="2"/>
    <n v="669"/>
    <x v="1"/>
    <n v="4.7608370702541105"/>
    <x v="0"/>
    <n v="1.6851851851851851"/>
    <s v="Viewers"/>
  </r>
  <r>
    <n v="2324"/>
    <s v="Zachary"/>
    <x v="59"/>
    <d v="2024-12-11T00:00:00"/>
    <n v="7.99"/>
    <n v="175"/>
    <x v="5"/>
    <n v="5"/>
    <n v="6"/>
    <b v="1"/>
    <n v="606"/>
    <n v="195"/>
    <x v="0"/>
    <x v="2"/>
    <x v="4"/>
    <x v="49"/>
    <n v="4"/>
    <x v="0"/>
    <x v="0"/>
    <x v="62"/>
    <x v="4"/>
    <x v="0"/>
    <x v="0"/>
    <n v="17"/>
    <x v="0"/>
    <n v="72.058823529411768"/>
    <x v="2"/>
    <n v="0.2184769038701623"/>
    <s v="Viewers"/>
  </r>
  <r>
    <n v="1354"/>
    <s v="Levi"/>
    <x v="60"/>
    <d v="2024-12-07T00:00:00"/>
    <n v="7.99"/>
    <n v="36"/>
    <x v="2"/>
    <n v="1"/>
    <n v="6"/>
    <b v="0"/>
    <n v="214"/>
    <n v="114"/>
    <x v="3"/>
    <x v="0"/>
    <x v="3"/>
    <x v="4"/>
    <n v="4.9000000000000004"/>
    <x v="0"/>
    <x v="0"/>
    <x v="63"/>
    <x v="4"/>
    <x v="2"/>
    <x v="3"/>
    <n v="532"/>
    <x v="0"/>
    <n v="0.47368421052631576"/>
    <x v="0"/>
    <n v="0.10975609756097561"/>
    <s v=" Browsers"/>
  </r>
  <r>
    <n v="4019"/>
    <s v="Christine"/>
    <x v="61"/>
    <d v="2024-12-06T00:00:00"/>
    <n v="15.99"/>
    <n v="349"/>
    <x v="3"/>
    <n v="1"/>
    <n v="6"/>
    <b v="1"/>
    <n v="334"/>
    <n v="76"/>
    <x v="1"/>
    <x v="2"/>
    <x v="2"/>
    <x v="7"/>
    <n v="3.3"/>
    <x v="0"/>
    <x v="0"/>
    <x v="64"/>
    <x v="2"/>
    <x v="4"/>
    <x v="3"/>
    <n v="343"/>
    <x v="2"/>
    <n v="7.1224489795918364"/>
    <x v="1"/>
    <n v="0.85121951219512193"/>
    <s v="Viewers"/>
  </r>
  <r>
    <n v="6178"/>
    <s v="Emily"/>
    <x v="62"/>
    <d v="2024-12-09T00:00:00"/>
    <n v="11.99"/>
    <n v="262"/>
    <x v="3"/>
    <n v="5"/>
    <n v="5"/>
    <b v="1"/>
    <n v="849"/>
    <n v="68"/>
    <x v="3"/>
    <x v="2"/>
    <x v="5"/>
    <x v="50"/>
    <n v="3"/>
    <x v="0"/>
    <x v="0"/>
    <x v="65"/>
    <x v="0"/>
    <x v="2"/>
    <x v="2"/>
    <n v="649"/>
    <x v="1"/>
    <n v="2.8258859784283517"/>
    <x v="0"/>
    <n v="0.2857142857142857"/>
    <s v="Viewers"/>
  </r>
  <r>
    <n v="8673"/>
    <s v="Derrick"/>
    <x v="61"/>
    <d v="2024-12-11T00:00:00"/>
    <n v="7.99"/>
    <n v="378"/>
    <x v="0"/>
    <n v="2"/>
    <n v="3"/>
    <b v="0"/>
    <n v="155"/>
    <n v="69"/>
    <x v="2"/>
    <x v="1"/>
    <x v="3"/>
    <x v="17"/>
    <n v="3.3"/>
    <x v="0"/>
    <x v="0"/>
    <x v="66"/>
    <x v="2"/>
    <x v="4"/>
    <x v="2"/>
    <n v="348"/>
    <x v="0"/>
    <n v="7.6034482758620685"/>
    <x v="1"/>
    <n v="1.6875"/>
    <s v="Viewers"/>
  </r>
  <r>
    <n v="8250"/>
    <s v="Jonathan"/>
    <x v="63"/>
    <d v="2024-11-29T00:00:00"/>
    <n v="15.99"/>
    <n v="469"/>
    <x v="3"/>
    <n v="3"/>
    <n v="5"/>
    <b v="1"/>
    <n v="406"/>
    <n v="71"/>
    <x v="4"/>
    <x v="3"/>
    <x v="5"/>
    <x v="51"/>
    <n v="4.8"/>
    <x v="1"/>
    <x v="0"/>
    <x v="67"/>
    <x v="4"/>
    <x v="0"/>
    <x v="3"/>
    <n v="259"/>
    <x v="2"/>
    <n v="12.675675675675675"/>
    <x v="1"/>
    <n v="0.98322851153039836"/>
    <s v="Viewers"/>
  </r>
  <r>
    <n v="1609"/>
    <s v="David"/>
    <x v="64"/>
    <d v="2024-12-17T00:00:00"/>
    <n v="7.99"/>
    <n v="87"/>
    <x v="4"/>
    <n v="4"/>
    <n v="4"/>
    <b v="0"/>
    <n v="571"/>
    <n v="54"/>
    <x v="1"/>
    <x v="2"/>
    <x v="1"/>
    <x v="10"/>
    <n v="4.2"/>
    <x v="0"/>
    <x v="0"/>
    <x v="68"/>
    <x v="2"/>
    <x v="4"/>
    <x v="2"/>
    <n v="614"/>
    <x v="0"/>
    <n v="0.99185667752443007"/>
    <x v="0"/>
    <n v="0.13919999999999999"/>
    <s v=" Browsers"/>
  </r>
  <r>
    <n v="3806"/>
    <s v="Gina"/>
    <x v="65"/>
    <d v="2024-12-12T00:00:00"/>
    <n v="15.99"/>
    <n v="471"/>
    <x v="3"/>
    <n v="3"/>
    <n v="6"/>
    <b v="1"/>
    <n v="56"/>
    <n v="69"/>
    <x v="1"/>
    <x v="0"/>
    <x v="2"/>
    <x v="52"/>
    <n v="3.6"/>
    <x v="1"/>
    <x v="0"/>
    <x v="69"/>
    <x v="4"/>
    <x v="4"/>
    <x v="2"/>
    <n v="662"/>
    <x v="2"/>
    <n v="4.9803625377643508"/>
    <x v="0"/>
    <n v="3.7679999999999998"/>
    <s v="Viewers"/>
  </r>
  <r>
    <n v="7973"/>
    <s v="Kristin"/>
    <x v="36"/>
    <d v="2024-12-03T00:00:00"/>
    <n v="7.99"/>
    <n v="469"/>
    <x v="6"/>
    <n v="5"/>
    <n v="2"/>
    <b v="1"/>
    <n v="748"/>
    <n v="147"/>
    <x v="6"/>
    <x v="3"/>
    <x v="0"/>
    <x v="36"/>
    <n v="4.5999999999999996"/>
    <x v="1"/>
    <x v="0"/>
    <x v="70"/>
    <x v="2"/>
    <x v="4"/>
    <x v="1"/>
    <n v="63"/>
    <x v="0"/>
    <n v="52.111111111111114"/>
    <x v="2"/>
    <n v="0.52402234636871503"/>
    <s v="Viewers"/>
  </r>
  <r>
    <n v="7948"/>
    <s v="Douglas"/>
    <x v="66"/>
    <d v="2024-11-23T00:00:00"/>
    <n v="15.99"/>
    <n v="298"/>
    <x v="2"/>
    <n v="4"/>
    <n v="1"/>
    <b v="0"/>
    <n v="603"/>
    <n v="161"/>
    <x v="5"/>
    <x v="0"/>
    <x v="3"/>
    <x v="53"/>
    <n v="4.4000000000000004"/>
    <x v="0"/>
    <x v="0"/>
    <x v="71"/>
    <x v="3"/>
    <x v="0"/>
    <x v="3"/>
    <n v="363"/>
    <x v="2"/>
    <n v="5.7465564738292017"/>
    <x v="1"/>
    <n v="0.3900523560209424"/>
    <s v="Viewers"/>
  </r>
  <r>
    <n v="3195"/>
    <s v="Nicole"/>
    <x v="67"/>
    <d v="2024-12-17T00:00:00"/>
    <n v="11.99"/>
    <n v="331"/>
    <x v="0"/>
    <n v="5"/>
    <n v="5"/>
    <b v="0"/>
    <n v="990"/>
    <n v="72"/>
    <x v="5"/>
    <x v="1"/>
    <x v="3"/>
    <x v="54"/>
    <n v="3.7"/>
    <x v="0"/>
    <x v="0"/>
    <x v="72"/>
    <x v="0"/>
    <x v="0"/>
    <x v="2"/>
    <n v="431"/>
    <x v="1"/>
    <n v="5.3758700696055683"/>
    <x v="1"/>
    <n v="0.31167608286252352"/>
    <s v="Viewers"/>
  </r>
  <r>
    <n v="6285"/>
    <s v="Chloe"/>
    <x v="68"/>
    <d v="2024-11-30T00:00:00"/>
    <n v="11.99"/>
    <n v="238"/>
    <x v="3"/>
    <n v="3"/>
    <n v="6"/>
    <b v="1"/>
    <n v="831"/>
    <n v="101"/>
    <x v="0"/>
    <x v="0"/>
    <x v="1"/>
    <x v="43"/>
    <n v="4.4000000000000004"/>
    <x v="1"/>
    <x v="0"/>
    <x v="73"/>
    <x v="2"/>
    <x v="0"/>
    <x v="1"/>
    <n v="488"/>
    <x v="1"/>
    <n v="3.4139344262295084"/>
    <x v="0"/>
    <n v="0.25536480686695279"/>
    <s v="Viewers"/>
  </r>
  <r>
    <n v="4303"/>
    <s v="David"/>
    <x v="69"/>
    <d v="2024-12-17T00:00:00"/>
    <n v="7.99"/>
    <n v="231"/>
    <x v="5"/>
    <n v="1"/>
    <n v="4"/>
    <b v="0"/>
    <n v="420"/>
    <n v="85"/>
    <x v="5"/>
    <x v="3"/>
    <x v="2"/>
    <x v="55"/>
    <n v="3.5"/>
    <x v="0"/>
    <x v="0"/>
    <x v="74"/>
    <x v="2"/>
    <x v="4"/>
    <x v="1"/>
    <n v="468"/>
    <x v="0"/>
    <n v="3.4551282051282048"/>
    <x v="0"/>
    <n v="0.45742574257425744"/>
    <s v="Viewers"/>
  </r>
  <r>
    <n v="7751"/>
    <s v="Kevin"/>
    <x v="70"/>
    <d v="2024-11-23T00:00:00"/>
    <n v="11.99"/>
    <n v="457"/>
    <x v="2"/>
    <n v="2"/>
    <n v="5"/>
    <b v="1"/>
    <n v="754"/>
    <n v="98"/>
    <x v="1"/>
    <x v="0"/>
    <x v="2"/>
    <x v="56"/>
    <n v="3.6"/>
    <x v="1"/>
    <x v="0"/>
    <x v="75"/>
    <x v="0"/>
    <x v="4"/>
    <x v="1"/>
    <n v="138"/>
    <x v="1"/>
    <n v="23.181159420289855"/>
    <x v="2"/>
    <n v="0.53638497652582162"/>
    <s v="Viewers"/>
  </r>
  <r>
    <n v="7813"/>
    <s v="Nicholas"/>
    <x v="71"/>
    <d v="2024-11-21T00:00:00"/>
    <n v="15.99"/>
    <n v="373"/>
    <x v="1"/>
    <n v="4"/>
    <n v="4"/>
    <b v="1"/>
    <n v="782"/>
    <n v="7"/>
    <x v="3"/>
    <x v="3"/>
    <x v="3"/>
    <x v="57"/>
    <n v="3.2"/>
    <x v="1"/>
    <x v="0"/>
    <x v="76"/>
    <x v="2"/>
    <x v="4"/>
    <x v="1"/>
    <n v="124"/>
    <x v="2"/>
    <n v="21.056451612903224"/>
    <x v="2"/>
    <n v="0.47275031685678076"/>
    <s v="Viewers"/>
  </r>
  <r>
    <n v="9028"/>
    <s v="Terry"/>
    <x v="72"/>
    <d v="2024-11-28T00:00:00"/>
    <n v="15.99"/>
    <n v="11"/>
    <x v="0"/>
    <n v="1"/>
    <n v="4"/>
    <b v="0"/>
    <n v="557"/>
    <n v="165"/>
    <x v="0"/>
    <x v="0"/>
    <x v="5"/>
    <x v="17"/>
    <n v="4"/>
    <x v="1"/>
    <x v="0"/>
    <x v="77"/>
    <x v="0"/>
    <x v="1"/>
    <x v="0"/>
    <n v="358"/>
    <x v="2"/>
    <n v="0.21508379888268156"/>
    <x v="0"/>
    <n v="1.5235457063711912E-2"/>
    <s v=" Browsers"/>
  </r>
  <r>
    <n v="6109"/>
    <s v="Garrett"/>
    <x v="73"/>
    <d v="2024-12-06T00:00:00"/>
    <n v="15.99"/>
    <n v="425"/>
    <x v="6"/>
    <n v="2"/>
    <n v="2"/>
    <b v="1"/>
    <n v="552"/>
    <n v="27"/>
    <x v="5"/>
    <x v="3"/>
    <x v="4"/>
    <x v="58"/>
    <n v="4"/>
    <x v="1"/>
    <x v="0"/>
    <x v="78"/>
    <x v="4"/>
    <x v="2"/>
    <x v="0"/>
    <n v="408"/>
    <x v="2"/>
    <n v="7.291666666666667"/>
    <x v="1"/>
    <n v="0.73402417962003452"/>
    <s v="Viewers"/>
  </r>
  <r>
    <n v="2565"/>
    <s v="Jose"/>
    <x v="13"/>
    <d v="2024-12-18T00:00:00"/>
    <n v="7.99"/>
    <n v="231"/>
    <x v="5"/>
    <n v="5"/>
    <n v="4"/>
    <b v="1"/>
    <n v="356"/>
    <n v="81"/>
    <x v="4"/>
    <x v="2"/>
    <x v="5"/>
    <x v="59"/>
    <n v="3.4"/>
    <x v="0"/>
    <x v="0"/>
    <x v="79"/>
    <x v="4"/>
    <x v="4"/>
    <x v="0"/>
    <n v="94"/>
    <x v="0"/>
    <n v="17.202127659574469"/>
    <x v="2"/>
    <n v="0.52860411899313497"/>
    <s v="Viewers"/>
  </r>
  <r>
    <n v="7551"/>
    <s v="Courtney"/>
    <x v="74"/>
    <d v="2024-12-02T00:00:00"/>
    <n v="15.99"/>
    <n v="483"/>
    <x v="1"/>
    <n v="2"/>
    <n v="4"/>
    <b v="0"/>
    <n v="161"/>
    <n v="110"/>
    <x v="0"/>
    <x v="3"/>
    <x v="5"/>
    <x v="5"/>
    <n v="4.4000000000000004"/>
    <x v="1"/>
    <x v="0"/>
    <x v="80"/>
    <x v="0"/>
    <x v="1"/>
    <x v="1"/>
    <n v="337"/>
    <x v="2"/>
    <n v="10.032640949554896"/>
    <x v="1"/>
    <n v="1.7822878228782288"/>
    <s v="Viewers"/>
  </r>
  <r>
    <n v="6398"/>
    <s v="Kim"/>
    <x v="75"/>
    <d v="2024-12-07T00:00:00"/>
    <n v="7.99"/>
    <n v="55"/>
    <x v="6"/>
    <n v="3"/>
    <n v="2"/>
    <b v="1"/>
    <n v="17"/>
    <n v="40"/>
    <x v="2"/>
    <x v="0"/>
    <x v="2"/>
    <x v="60"/>
    <n v="3.7"/>
    <x v="0"/>
    <x v="0"/>
    <x v="81"/>
    <x v="2"/>
    <x v="3"/>
    <x v="0"/>
    <n v="475"/>
    <x v="0"/>
    <n v="0.81052631578947365"/>
    <x v="0"/>
    <n v="0.96491228070175439"/>
    <s v="Viewers"/>
  </r>
  <r>
    <n v="4982"/>
    <s v="Katherine"/>
    <x v="22"/>
    <d v="2024-12-12T00:00:00"/>
    <n v="11.99"/>
    <n v="375"/>
    <x v="1"/>
    <n v="4"/>
    <n v="3"/>
    <b v="0"/>
    <n v="366"/>
    <n v="13"/>
    <x v="1"/>
    <x v="0"/>
    <x v="0"/>
    <x v="59"/>
    <n v="4.8"/>
    <x v="1"/>
    <x v="0"/>
    <x v="82"/>
    <x v="4"/>
    <x v="1"/>
    <x v="3"/>
    <n v="389"/>
    <x v="1"/>
    <n v="6.7480719794344477"/>
    <x v="1"/>
    <n v="0.98944591029023743"/>
    <s v="Viewers"/>
  </r>
  <r>
    <n v="8108"/>
    <s v="Lynn"/>
    <x v="76"/>
    <d v="2024-11-30T00:00:00"/>
    <n v="11.99"/>
    <n v="336"/>
    <x v="5"/>
    <n v="1"/>
    <n v="2"/>
    <b v="0"/>
    <n v="758"/>
    <n v="32"/>
    <x v="1"/>
    <x v="3"/>
    <x v="1"/>
    <x v="61"/>
    <n v="5"/>
    <x v="0"/>
    <x v="0"/>
    <x v="83"/>
    <x v="0"/>
    <x v="2"/>
    <x v="1"/>
    <n v="41"/>
    <x v="1"/>
    <n v="57.365853658536587"/>
    <x v="2"/>
    <n v="0.42531645569620252"/>
    <s v="Viewers"/>
  </r>
  <r>
    <n v="6779"/>
    <s v="Leah"/>
    <x v="77"/>
    <d v="2024-12-03T00:00:00"/>
    <n v="7.99"/>
    <n v="196"/>
    <x v="6"/>
    <n v="1"/>
    <n v="6"/>
    <b v="1"/>
    <n v="936"/>
    <n v="152"/>
    <x v="4"/>
    <x v="0"/>
    <x v="2"/>
    <x v="20"/>
    <n v="3.1"/>
    <x v="1"/>
    <x v="0"/>
    <x v="84"/>
    <x v="0"/>
    <x v="3"/>
    <x v="3"/>
    <n v="134"/>
    <x v="0"/>
    <n v="10.238805970149254"/>
    <x v="1"/>
    <n v="0.18014705882352941"/>
    <s v="Viewers"/>
  </r>
  <r>
    <n v="1169"/>
    <s v="Michael"/>
    <x v="78"/>
    <d v="2024-12-03T00:00:00"/>
    <n v="11.99"/>
    <n v="285"/>
    <x v="1"/>
    <n v="3"/>
    <n v="1"/>
    <b v="0"/>
    <n v="13"/>
    <n v="103"/>
    <x v="4"/>
    <x v="2"/>
    <x v="3"/>
    <x v="17"/>
    <n v="3.7"/>
    <x v="0"/>
    <x v="0"/>
    <x v="85"/>
    <x v="3"/>
    <x v="2"/>
    <x v="2"/>
    <n v="104"/>
    <x v="1"/>
    <n v="19.182692307692307"/>
    <x v="2"/>
    <n v="2.4568965517241379"/>
    <s v="Viewers"/>
  </r>
  <r>
    <n v="5067"/>
    <s v="Kayla"/>
    <x v="79"/>
    <d v="2024-11-27T00:00:00"/>
    <n v="7.99"/>
    <n v="155"/>
    <x v="3"/>
    <n v="5"/>
    <n v="1"/>
    <b v="1"/>
    <n v="305"/>
    <n v="77"/>
    <x v="0"/>
    <x v="3"/>
    <x v="5"/>
    <x v="29"/>
    <n v="3.4"/>
    <x v="0"/>
    <x v="0"/>
    <x v="86"/>
    <x v="0"/>
    <x v="4"/>
    <x v="3"/>
    <n v="88"/>
    <x v="0"/>
    <n v="12.329545454545455"/>
    <x v="1"/>
    <n v="0.40575916230366493"/>
    <s v="Viewers"/>
  </r>
  <r>
    <n v="5299"/>
    <s v="Katelyn"/>
    <x v="80"/>
    <d v="2024-12-02T00:00:00"/>
    <n v="7.99"/>
    <n v="275"/>
    <x v="5"/>
    <n v="2"/>
    <n v="2"/>
    <b v="1"/>
    <n v="755"/>
    <n v="166"/>
    <x v="5"/>
    <x v="1"/>
    <x v="2"/>
    <x v="30"/>
    <n v="3.9"/>
    <x v="0"/>
    <x v="0"/>
    <x v="87"/>
    <x v="4"/>
    <x v="0"/>
    <x v="2"/>
    <n v="582"/>
    <x v="0"/>
    <n v="3.3075601374570449"/>
    <x v="0"/>
    <n v="0.29858849077090122"/>
    <s v="Viewers"/>
  </r>
  <r>
    <n v="3978"/>
    <s v="Jessica"/>
    <x v="24"/>
    <d v="2024-11-28T00:00:00"/>
    <n v="7.99"/>
    <n v="341"/>
    <x v="1"/>
    <n v="3"/>
    <n v="4"/>
    <b v="0"/>
    <n v="27"/>
    <n v="82"/>
    <x v="0"/>
    <x v="1"/>
    <x v="1"/>
    <x v="25"/>
    <n v="3.7"/>
    <x v="1"/>
    <x v="0"/>
    <x v="88"/>
    <x v="4"/>
    <x v="3"/>
    <x v="3"/>
    <n v="197"/>
    <x v="0"/>
    <n v="12.116751269035532"/>
    <x v="1"/>
    <n v="3.1284403669724772"/>
    <s v="Viewers"/>
  </r>
  <r>
    <n v="8634"/>
    <s v="Maria"/>
    <x v="2"/>
    <d v="2024-12-13T00:00:00"/>
    <n v="15.99"/>
    <n v="321"/>
    <x v="1"/>
    <n v="2"/>
    <n v="2"/>
    <b v="0"/>
    <n v="676"/>
    <n v="81"/>
    <x v="0"/>
    <x v="3"/>
    <x v="4"/>
    <x v="15"/>
    <n v="4.5999999999999996"/>
    <x v="0"/>
    <x v="0"/>
    <x v="89"/>
    <x v="4"/>
    <x v="4"/>
    <x v="0"/>
    <n v="499"/>
    <x v="2"/>
    <n v="4.5030060120240476"/>
    <x v="0"/>
    <n v="0.42404227212681639"/>
    <s v="Viewers"/>
  </r>
  <r>
    <n v="9635"/>
    <s v="Justin"/>
    <x v="81"/>
    <d v="2024-11-26T00:00:00"/>
    <n v="11.99"/>
    <n v="456"/>
    <x v="5"/>
    <n v="2"/>
    <n v="5"/>
    <b v="0"/>
    <n v="734"/>
    <n v="83"/>
    <x v="3"/>
    <x v="1"/>
    <x v="5"/>
    <x v="62"/>
    <n v="3.8"/>
    <x v="1"/>
    <x v="0"/>
    <x v="90"/>
    <x v="4"/>
    <x v="0"/>
    <x v="1"/>
    <n v="344"/>
    <x v="1"/>
    <n v="9.2790697674418592"/>
    <x v="1"/>
    <n v="0.55813953488372092"/>
    <s v="Viewers"/>
  </r>
  <r>
    <n v="1776"/>
    <s v="Susan"/>
    <x v="82"/>
    <d v="2024-11-20T00:00:00"/>
    <n v="15.99"/>
    <n v="15"/>
    <x v="5"/>
    <n v="1"/>
    <n v="4"/>
    <b v="0"/>
    <n v="687"/>
    <n v="183"/>
    <x v="6"/>
    <x v="3"/>
    <x v="0"/>
    <x v="63"/>
    <n v="4.2"/>
    <x v="1"/>
    <x v="0"/>
    <x v="91"/>
    <x v="1"/>
    <x v="4"/>
    <x v="0"/>
    <n v="395"/>
    <x v="2"/>
    <n v="0.26582278481012656"/>
    <x v="0"/>
    <n v="1.7241379310344827E-2"/>
    <s v=" Browsers"/>
  </r>
  <r>
    <n v="9703"/>
    <s v="Mark"/>
    <x v="83"/>
    <d v="2024-12-12T00:00:00"/>
    <n v="11.99"/>
    <n v="410"/>
    <x v="2"/>
    <n v="3"/>
    <n v="5"/>
    <b v="0"/>
    <n v="826"/>
    <n v="182"/>
    <x v="2"/>
    <x v="3"/>
    <x v="4"/>
    <x v="1"/>
    <n v="4.2"/>
    <x v="0"/>
    <x v="0"/>
    <x v="92"/>
    <x v="0"/>
    <x v="0"/>
    <x v="1"/>
    <n v="287"/>
    <x v="1"/>
    <n v="10"/>
    <x v="1"/>
    <n v="0.40674603174603174"/>
    <s v="Viewers"/>
  </r>
  <r>
    <n v="3498"/>
    <s v="Sue"/>
    <x v="84"/>
    <d v="2024-12-01T00:00:00"/>
    <n v="15.99"/>
    <n v="29"/>
    <x v="1"/>
    <n v="2"/>
    <n v="4"/>
    <b v="1"/>
    <n v="450"/>
    <n v="67"/>
    <x v="3"/>
    <x v="2"/>
    <x v="1"/>
    <x v="64"/>
    <n v="3.3"/>
    <x v="0"/>
    <x v="0"/>
    <x v="93"/>
    <x v="0"/>
    <x v="4"/>
    <x v="2"/>
    <n v="447"/>
    <x v="2"/>
    <n v="0.45413870246085014"/>
    <x v="0"/>
    <n v="5.6092843326885883E-2"/>
    <s v=" Browsers"/>
  </r>
  <r>
    <n v="4260"/>
    <s v="Jean"/>
    <x v="85"/>
    <d v="2024-12-16T00:00:00"/>
    <n v="7.99"/>
    <n v="427"/>
    <x v="4"/>
    <n v="1"/>
    <n v="1"/>
    <b v="0"/>
    <n v="159"/>
    <n v="98"/>
    <x v="5"/>
    <x v="2"/>
    <x v="3"/>
    <x v="29"/>
    <n v="3.3"/>
    <x v="0"/>
    <x v="0"/>
    <x v="94"/>
    <x v="0"/>
    <x v="4"/>
    <x v="0"/>
    <n v="175"/>
    <x v="0"/>
    <n v="17.079999999999998"/>
    <x v="2"/>
    <n v="1.66147859922179"/>
    <s v="Viewers"/>
  </r>
  <r>
    <n v="7152"/>
    <s v="James"/>
    <x v="86"/>
    <d v="2024-12-04T00:00:00"/>
    <n v="11.99"/>
    <n v="166"/>
    <x v="0"/>
    <n v="5"/>
    <n v="3"/>
    <b v="0"/>
    <n v="367"/>
    <n v="198"/>
    <x v="3"/>
    <x v="1"/>
    <x v="0"/>
    <x v="17"/>
    <n v="4.5999999999999996"/>
    <x v="1"/>
    <x v="0"/>
    <x v="95"/>
    <x v="3"/>
    <x v="0"/>
    <x v="3"/>
    <n v="668"/>
    <x v="1"/>
    <n v="1.7395209580838322"/>
    <x v="0"/>
    <n v="0.2938053097345133"/>
    <s v="Viewers"/>
  </r>
  <r>
    <n v="2457"/>
    <s v="David"/>
    <x v="87"/>
    <d v="2024-11-26T00:00:00"/>
    <n v="7.99"/>
    <n v="192"/>
    <x v="5"/>
    <n v="1"/>
    <n v="1"/>
    <b v="0"/>
    <n v="786"/>
    <n v="140"/>
    <x v="1"/>
    <x v="1"/>
    <x v="5"/>
    <x v="49"/>
    <n v="3.4"/>
    <x v="0"/>
    <x v="0"/>
    <x v="96"/>
    <x v="4"/>
    <x v="1"/>
    <x v="0"/>
    <n v="402"/>
    <x v="0"/>
    <n v="3.3432835820895521"/>
    <x v="0"/>
    <n v="0.20734341252699784"/>
    <s v="Viewers"/>
  </r>
  <r>
    <n v="8530"/>
    <s v="Ebony"/>
    <x v="45"/>
    <d v="2024-12-04T00:00:00"/>
    <n v="11.99"/>
    <n v="88"/>
    <x v="3"/>
    <n v="1"/>
    <n v="6"/>
    <b v="1"/>
    <n v="962"/>
    <n v="183"/>
    <x v="4"/>
    <x v="1"/>
    <x v="4"/>
    <x v="9"/>
    <n v="5"/>
    <x v="0"/>
    <x v="0"/>
    <x v="97"/>
    <x v="2"/>
    <x v="4"/>
    <x v="0"/>
    <n v="620"/>
    <x v="1"/>
    <n v="0.99354838709677418"/>
    <x v="0"/>
    <n v="7.6855895196506555E-2"/>
    <s v=" Browsers"/>
  </r>
  <r>
    <n v="9131"/>
    <s v="Derek"/>
    <x v="88"/>
    <d v="2024-11-27T00:00:00"/>
    <n v="7.99"/>
    <n v="127"/>
    <x v="2"/>
    <n v="2"/>
    <n v="5"/>
    <b v="0"/>
    <n v="482"/>
    <n v="5"/>
    <x v="3"/>
    <x v="3"/>
    <x v="4"/>
    <x v="33"/>
    <n v="3.6"/>
    <x v="0"/>
    <x v="0"/>
    <x v="98"/>
    <x v="1"/>
    <x v="1"/>
    <x v="3"/>
    <n v="482"/>
    <x v="0"/>
    <n v="1.8443983402489625"/>
    <x v="0"/>
    <n v="0.26078028747433263"/>
    <s v="Viewers"/>
  </r>
  <r>
    <n v="9770"/>
    <s v="John"/>
    <x v="89"/>
    <d v="2024-11-24T00:00:00"/>
    <n v="7.99"/>
    <n v="327"/>
    <x v="6"/>
    <n v="4"/>
    <n v="3"/>
    <b v="0"/>
    <n v="451"/>
    <n v="108"/>
    <x v="2"/>
    <x v="0"/>
    <x v="3"/>
    <x v="23"/>
    <n v="3.2"/>
    <x v="1"/>
    <x v="0"/>
    <x v="99"/>
    <x v="2"/>
    <x v="1"/>
    <x v="1"/>
    <n v="393"/>
    <x v="0"/>
    <n v="5.8244274809160306"/>
    <x v="1"/>
    <n v="0.58497316636851515"/>
    <s v="Viewers"/>
  </r>
  <r>
    <n v="8095"/>
    <s v="Rebecca"/>
    <x v="90"/>
    <d v="2024-12-11T00:00:00"/>
    <n v="7.99"/>
    <n v="10"/>
    <x v="0"/>
    <n v="2"/>
    <n v="5"/>
    <b v="1"/>
    <n v="22"/>
    <n v="14"/>
    <x v="4"/>
    <x v="1"/>
    <x v="4"/>
    <x v="14"/>
    <n v="4.0999999999999996"/>
    <x v="1"/>
    <x v="0"/>
    <x v="100"/>
    <x v="2"/>
    <x v="0"/>
    <x v="1"/>
    <n v="606"/>
    <x v="0"/>
    <n v="0.11551155115511551"/>
    <x v="0"/>
    <n v="0.27777777777777779"/>
    <s v="Viewers"/>
  </r>
  <r>
    <n v="3763"/>
    <s v="Juan"/>
    <x v="91"/>
    <d v="2024-12-06T00:00:00"/>
    <n v="11.99"/>
    <n v="181"/>
    <x v="4"/>
    <n v="4"/>
    <n v="2"/>
    <b v="0"/>
    <n v="848"/>
    <n v="172"/>
    <x v="3"/>
    <x v="3"/>
    <x v="2"/>
    <x v="65"/>
    <n v="3.4"/>
    <x v="0"/>
    <x v="0"/>
    <x v="101"/>
    <x v="0"/>
    <x v="4"/>
    <x v="2"/>
    <n v="718"/>
    <x v="1"/>
    <n v="1.7646239554317549"/>
    <x v="0"/>
    <n v="0.17745098039215687"/>
    <s v="Viewers"/>
  </r>
  <r>
    <n v="4346"/>
    <s v="Gabrielle"/>
    <x v="92"/>
    <d v="2024-12-12T00:00:00"/>
    <n v="15.99"/>
    <n v="238"/>
    <x v="0"/>
    <n v="4"/>
    <n v="2"/>
    <b v="0"/>
    <n v="524"/>
    <n v="162"/>
    <x v="0"/>
    <x v="3"/>
    <x v="1"/>
    <x v="66"/>
    <n v="3"/>
    <x v="1"/>
    <x v="0"/>
    <x v="102"/>
    <x v="0"/>
    <x v="3"/>
    <x v="2"/>
    <n v="302"/>
    <x v="2"/>
    <n v="5.516556291390728"/>
    <x v="1"/>
    <n v="0.34693877551020408"/>
    <s v="Viewers"/>
  </r>
  <r>
    <n v="5866"/>
    <s v="Nicholas"/>
    <x v="93"/>
    <d v="2024-11-26T00:00:00"/>
    <n v="7.99"/>
    <n v="380"/>
    <x v="3"/>
    <n v="2"/>
    <n v="3"/>
    <b v="0"/>
    <n v="76"/>
    <n v="25"/>
    <x v="5"/>
    <x v="0"/>
    <x v="0"/>
    <x v="49"/>
    <n v="4.2"/>
    <x v="1"/>
    <x v="0"/>
    <x v="103"/>
    <x v="3"/>
    <x v="4"/>
    <x v="3"/>
    <n v="178"/>
    <x v="0"/>
    <n v="14.943820224719103"/>
    <x v="1"/>
    <n v="3.7623762376237622"/>
    <s v="Viewers"/>
  </r>
  <r>
    <n v="5865"/>
    <s v="Samantha"/>
    <x v="94"/>
    <d v="2024-11-24T00:00:00"/>
    <n v="11.99"/>
    <n v="444"/>
    <x v="2"/>
    <n v="2"/>
    <n v="3"/>
    <b v="0"/>
    <n v="959"/>
    <n v="183"/>
    <x v="5"/>
    <x v="0"/>
    <x v="0"/>
    <x v="67"/>
    <n v="3.8"/>
    <x v="0"/>
    <x v="0"/>
    <x v="104"/>
    <x v="2"/>
    <x v="2"/>
    <x v="3"/>
    <n v="490"/>
    <x v="1"/>
    <n v="6.3428571428571425"/>
    <x v="1"/>
    <n v="0.38879159369527144"/>
    <s v="Viewers"/>
  </r>
  <r>
    <n v="9398"/>
    <s v="Jesse"/>
    <x v="95"/>
    <d v="2024-12-11T00:00:00"/>
    <n v="7.99"/>
    <n v="83"/>
    <x v="5"/>
    <n v="3"/>
    <n v="5"/>
    <b v="1"/>
    <n v="148"/>
    <n v="154"/>
    <x v="2"/>
    <x v="2"/>
    <x v="0"/>
    <x v="68"/>
    <n v="3.1"/>
    <x v="0"/>
    <x v="0"/>
    <x v="105"/>
    <x v="2"/>
    <x v="3"/>
    <x v="0"/>
    <n v="42"/>
    <x v="0"/>
    <n v="13.833333333333334"/>
    <x v="1"/>
    <n v="0.27483443708609273"/>
    <s v="Viewers"/>
  </r>
  <r>
    <n v="9695"/>
    <s v="Aaron"/>
    <x v="96"/>
    <d v="2024-12-18T00:00:00"/>
    <n v="7.99"/>
    <n v="452"/>
    <x v="3"/>
    <n v="4"/>
    <n v="4"/>
    <b v="0"/>
    <n v="338"/>
    <n v="132"/>
    <x v="4"/>
    <x v="0"/>
    <x v="3"/>
    <x v="40"/>
    <n v="3.3"/>
    <x v="0"/>
    <x v="0"/>
    <x v="106"/>
    <x v="0"/>
    <x v="2"/>
    <x v="0"/>
    <n v="376"/>
    <x v="0"/>
    <n v="8.414893617021276"/>
    <x v="1"/>
    <n v="0.96170212765957441"/>
    <s v="Viewers"/>
  </r>
  <r>
    <n v="8805"/>
    <s v="Maurice"/>
    <x v="97"/>
    <d v="2024-12-06T00:00:00"/>
    <n v="15.99"/>
    <n v="53"/>
    <x v="6"/>
    <n v="4"/>
    <n v="2"/>
    <b v="1"/>
    <n v="720"/>
    <n v="37"/>
    <x v="4"/>
    <x v="0"/>
    <x v="3"/>
    <x v="39"/>
    <n v="4"/>
    <x v="1"/>
    <x v="0"/>
    <x v="107"/>
    <x v="3"/>
    <x v="4"/>
    <x v="1"/>
    <n v="153"/>
    <x v="2"/>
    <n v="2.4248366013071894"/>
    <x v="0"/>
    <n v="7.0013210039630125E-2"/>
    <s v=" Browsers"/>
  </r>
  <r>
    <n v="8353"/>
    <s v="Lisa"/>
    <x v="98"/>
    <d v="2024-11-19T00:00:00"/>
    <n v="15.99"/>
    <n v="89"/>
    <x v="6"/>
    <n v="5"/>
    <n v="3"/>
    <b v="0"/>
    <n v="387"/>
    <n v="81"/>
    <x v="4"/>
    <x v="0"/>
    <x v="4"/>
    <x v="62"/>
    <n v="3.8"/>
    <x v="1"/>
    <x v="0"/>
    <x v="108"/>
    <x v="4"/>
    <x v="3"/>
    <x v="0"/>
    <n v="518"/>
    <x v="2"/>
    <n v="1.2027027027027026"/>
    <x v="0"/>
    <n v="0.19017094017094016"/>
    <s v="Viewers"/>
  </r>
  <r>
    <n v="3178"/>
    <s v="Melissa"/>
    <x v="99"/>
    <d v="2024-12-11T00:00:00"/>
    <n v="7.99"/>
    <n v="359"/>
    <x v="4"/>
    <n v="5"/>
    <n v="4"/>
    <b v="0"/>
    <n v="624"/>
    <n v="107"/>
    <x v="3"/>
    <x v="1"/>
    <x v="3"/>
    <x v="69"/>
    <n v="3.1"/>
    <x v="1"/>
    <x v="0"/>
    <x v="109"/>
    <x v="4"/>
    <x v="3"/>
    <x v="3"/>
    <n v="267"/>
    <x v="0"/>
    <n v="9.4119850187265914"/>
    <x v="1"/>
    <n v="0.49110807113543092"/>
    <s v="Viewers"/>
  </r>
  <r>
    <n v="4917"/>
    <s v="Erin"/>
    <x v="65"/>
    <d v="2024-11-20T00:00:00"/>
    <n v="11.99"/>
    <n v="487"/>
    <x v="4"/>
    <n v="1"/>
    <n v="4"/>
    <b v="0"/>
    <n v="636"/>
    <n v="66"/>
    <x v="4"/>
    <x v="0"/>
    <x v="5"/>
    <x v="18"/>
    <n v="3.5"/>
    <x v="0"/>
    <x v="0"/>
    <x v="110"/>
    <x v="0"/>
    <x v="3"/>
    <x v="2"/>
    <n v="640"/>
    <x v="1"/>
    <n v="5.3265624999999996"/>
    <x v="1"/>
    <n v="0.69373219373219375"/>
    <s v="Viewers"/>
  </r>
  <r>
    <n v="8878"/>
    <s v="Dale"/>
    <x v="83"/>
    <d v="2024-11-21T00:00:00"/>
    <n v="7.99"/>
    <n v="337"/>
    <x v="5"/>
    <n v="5"/>
    <n v="1"/>
    <b v="1"/>
    <n v="429"/>
    <n v="190"/>
    <x v="1"/>
    <x v="2"/>
    <x v="2"/>
    <x v="51"/>
    <n v="4.8"/>
    <x v="0"/>
    <x v="0"/>
    <x v="111"/>
    <x v="0"/>
    <x v="0"/>
    <x v="3"/>
    <n v="266"/>
    <x v="0"/>
    <n v="8.8684210526315788"/>
    <x v="1"/>
    <n v="0.54442649434571888"/>
    <s v="Viewers"/>
  </r>
  <r>
    <n v="3810"/>
    <s v="Gregory"/>
    <x v="100"/>
    <d v="2024-12-04T00:00:00"/>
    <n v="15.99"/>
    <n v="427"/>
    <x v="4"/>
    <n v="5"/>
    <n v="3"/>
    <b v="0"/>
    <n v="832"/>
    <n v="103"/>
    <x v="4"/>
    <x v="3"/>
    <x v="2"/>
    <x v="37"/>
    <n v="3.3"/>
    <x v="0"/>
    <x v="0"/>
    <x v="112"/>
    <x v="0"/>
    <x v="1"/>
    <x v="1"/>
    <n v="656"/>
    <x v="2"/>
    <n v="4.5564024390243905"/>
    <x v="0"/>
    <n v="0.45668449197860961"/>
    <s v="Viewers"/>
  </r>
  <r>
    <n v="9353"/>
    <s v="Sarah"/>
    <x v="101"/>
    <d v="2024-11-26T00:00:00"/>
    <n v="7.99"/>
    <n v="397"/>
    <x v="3"/>
    <n v="4"/>
    <n v="4"/>
    <b v="1"/>
    <n v="63"/>
    <n v="126"/>
    <x v="5"/>
    <x v="1"/>
    <x v="2"/>
    <x v="70"/>
    <n v="3.9"/>
    <x v="1"/>
    <x v="0"/>
    <x v="113"/>
    <x v="0"/>
    <x v="1"/>
    <x v="3"/>
    <n v="478"/>
    <x v="0"/>
    <n v="5.8138075313807525"/>
    <x v="1"/>
    <n v="2.1005291005291005"/>
    <s v="Viewers"/>
  </r>
  <r>
    <n v="1672"/>
    <s v="Carmen"/>
    <x v="102"/>
    <d v="2024-11-28T00:00:00"/>
    <n v="15.99"/>
    <n v="200"/>
    <x v="4"/>
    <n v="4"/>
    <n v="1"/>
    <b v="0"/>
    <n v="52"/>
    <n v="8"/>
    <x v="6"/>
    <x v="2"/>
    <x v="5"/>
    <x v="71"/>
    <n v="3.2"/>
    <x v="1"/>
    <x v="0"/>
    <x v="114"/>
    <x v="2"/>
    <x v="3"/>
    <x v="2"/>
    <n v="708"/>
    <x v="2"/>
    <n v="1.9774011299435028"/>
    <x v="0"/>
    <n v="3.3333333333333335"/>
    <s v="Viewers"/>
  </r>
  <r>
    <n v="6650"/>
    <s v="April"/>
    <x v="103"/>
    <d v="2024-11-26T00:00:00"/>
    <n v="11.99"/>
    <n v="464"/>
    <x v="1"/>
    <n v="2"/>
    <n v="3"/>
    <b v="1"/>
    <n v="909"/>
    <n v="165"/>
    <x v="5"/>
    <x v="3"/>
    <x v="3"/>
    <x v="72"/>
    <n v="3.6"/>
    <x v="1"/>
    <x v="0"/>
    <x v="20"/>
    <x v="1"/>
    <x v="2"/>
    <x v="1"/>
    <n v="268"/>
    <x v="1"/>
    <n v="12.119402985074627"/>
    <x v="1"/>
    <n v="0.43202979515828677"/>
    <s v="Viewers"/>
  </r>
  <r>
    <n v="2581"/>
    <s v="Anthony"/>
    <x v="64"/>
    <d v="2024-12-02T00:00:00"/>
    <n v="15.99"/>
    <n v="495"/>
    <x v="3"/>
    <n v="1"/>
    <n v="3"/>
    <b v="0"/>
    <n v="704"/>
    <n v="53"/>
    <x v="2"/>
    <x v="2"/>
    <x v="4"/>
    <x v="43"/>
    <n v="3.4"/>
    <x v="0"/>
    <x v="0"/>
    <x v="115"/>
    <x v="4"/>
    <x v="4"/>
    <x v="1"/>
    <n v="599"/>
    <x v="2"/>
    <n v="5.7846410684474128"/>
    <x v="1"/>
    <n v="0.65389696169088507"/>
    <s v="Viewers"/>
  </r>
  <r>
    <n v="6860"/>
    <s v="Brett"/>
    <x v="104"/>
    <d v="2024-12-16T00:00:00"/>
    <n v="7.99"/>
    <n v="286"/>
    <x v="1"/>
    <n v="5"/>
    <n v="4"/>
    <b v="0"/>
    <n v="751"/>
    <n v="103"/>
    <x v="2"/>
    <x v="3"/>
    <x v="5"/>
    <x v="36"/>
    <n v="3.6"/>
    <x v="0"/>
    <x v="0"/>
    <x v="116"/>
    <x v="2"/>
    <x v="4"/>
    <x v="0"/>
    <n v="309"/>
    <x v="0"/>
    <n v="6.4789644012944976"/>
    <x v="1"/>
    <n v="0.33489461358313816"/>
    <s v="Viewers"/>
  </r>
  <r>
    <n v="4584"/>
    <s v="Matthew"/>
    <x v="105"/>
    <d v="2024-12-14T00:00:00"/>
    <n v="7.99"/>
    <n v="446"/>
    <x v="1"/>
    <n v="3"/>
    <n v="6"/>
    <b v="0"/>
    <n v="185"/>
    <n v="134"/>
    <x v="0"/>
    <x v="2"/>
    <x v="3"/>
    <x v="57"/>
    <n v="3.3"/>
    <x v="0"/>
    <x v="0"/>
    <x v="117"/>
    <x v="0"/>
    <x v="3"/>
    <x v="2"/>
    <n v="79"/>
    <x v="0"/>
    <n v="39.518987341772146"/>
    <x v="2"/>
    <n v="1.3981191222570533"/>
    <s v="Viewers"/>
  </r>
  <r>
    <n v="3354"/>
    <s v="Lisa"/>
    <x v="106"/>
    <d v="2024-11-22T00:00:00"/>
    <n v="11.99"/>
    <n v="342"/>
    <x v="5"/>
    <n v="2"/>
    <n v="2"/>
    <b v="0"/>
    <n v="503"/>
    <n v="6"/>
    <x v="6"/>
    <x v="0"/>
    <x v="5"/>
    <x v="73"/>
    <n v="3.2"/>
    <x v="1"/>
    <x v="0"/>
    <x v="118"/>
    <x v="3"/>
    <x v="3"/>
    <x v="3"/>
    <n v="418"/>
    <x v="1"/>
    <n v="5.7272727272727275"/>
    <x v="1"/>
    <n v="0.67190569744597251"/>
    <s v="Viewers"/>
  </r>
  <r>
    <n v="4668"/>
    <s v="Carly"/>
    <x v="107"/>
    <d v="2024-12-17T00:00:00"/>
    <n v="11.99"/>
    <n v="396"/>
    <x v="2"/>
    <n v="5"/>
    <n v="5"/>
    <b v="1"/>
    <n v="549"/>
    <n v="35"/>
    <x v="1"/>
    <x v="0"/>
    <x v="1"/>
    <x v="29"/>
    <n v="3.6"/>
    <x v="1"/>
    <x v="0"/>
    <x v="119"/>
    <x v="3"/>
    <x v="4"/>
    <x v="2"/>
    <n v="8"/>
    <x v="1"/>
    <n v="346.5"/>
    <x v="2"/>
    <n v="0.67808219178082196"/>
    <s v="Viewers"/>
  </r>
  <r>
    <n v="6684"/>
    <s v="Dennis"/>
    <x v="40"/>
    <d v="2024-12-11T00:00:00"/>
    <n v="11.99"/>
    <n v="491"/>
    <x v="6"/>
    <n v="1"/>
    <n v="6"/>
    <b v="1"/>
    <n v="434"/>
    <n v="182"/>
    <x v="5"/>
    <x v="3"/>
    <x v="3"/>
    <x v="50"/>
    <n v="4.0999999999999996"/>
    <x v="0"/>
    <x v="0"/>
    <x v="120"/>
    <x v="4"/>
    <x v="3"/>
    <x v="0"/>
    <n v="85"/>
    <x v="1"/>
    <n v="40.435294117647061"/>
    <x v="2"/>
    <n v="0.79707792207792205"/>
    <s v="Viewers"/>
  </r>
  <r>
    <n v="8058"/>
    <s v="Alexandra"/>
    <x v="108"/>
    <d v="2024-12-14T00:00:00"/>
    <n v="15.99"/>
    <n v="239"/>
    <x v="2"/>
    <n v="4"/>
    <n v="6"/>
    <b v="0"/>
    <n v="832"/>
    <n v="134"/>
    <x v="4"/>
    <x v="3"/>
    <x v="3"/>
    <x v="33"/>
    <n v="4.5999999999999996"/>
    <x v="1"/>
    <x v="0"/>
    <x v="121"/>
    <x v="1"/>
    <x v="2"/>
    <x v="2"/>
    <n v="622"/>
    <x v="2"/>
    <n v="2.6897106109324755"/>
    <x v="0"/>
    <n v="0.2474120082815735"/>
    <s v="Viewers"/>
  </r>
  <r>
    <n v="3035"/>
    <s v="Michael"/>
    <x v="44"/>
    <d v="2024-11-24T00:00:00"/>
    <n v="15.99"/>
    <n v="106"/>
    <x v="6"/>
    <n v="3"/>
    <n v="3"/>
    <b v="1"/>
    <n v="377"/>
    <n v="31"/>
    <x v="5"/>
    <x v="2"/>
    <x v="4"/>
    <x v="26"/>
    <n v="3.5"/>
    <x v="1"/>
    <x v="0"/>
    <x v="122"/>
    <x v="1"/>
    <x v="4"/>
    <x v="0"/>
    <n v="578"/>
    <x v="2"/>
    <n v="1.2837370242214534"/>
    <x v="0"/>
    <n v="0.25980392156862747"/>
    <s v="Viewers"/>
  </r>
  <r>
    <n v="2146"/>
    <s v="Ryan"/>
    <x v="109"/>
    <d v="2024-11-22T00:00:00"/>
    <n v="11.99"/>
    <n v="388"/>
    <x v="4"/>
    <n v="5"/>
    <n v="4"/>
    <b v="1"/>
    <n v="380"/>
    <n v="125"/>
    <x v="4"/>
    <x v="0"/>
    <x v="1"/>
    <x v="31"/>
    <n v="3.2"/>
    <x v="0"/>
    <x v="0"/>
    <x v="123"/>
    <x v="4"/>
    <x v="1"/>
    <x v="3"/>
    <n v="134"/>
    <x v="1"/>
    <n v="20.268656716417912"/>
    <x v="2"/>
    <n v="0.76831683168316833"/>
    <s v="Viewers"/>
  </r>
  <r>
    <n v="5761"/>
    <s v="Tony"/>
    <x v="110"/>
    <d v="2024-12-08T00:00:00"/>
    <n v="15.99"/>
    <n v="452"/>
    <x v="1"/>
    <n v="2"/>
    <n v="5"/>
    <b v="0"/>
    <n v="315"/>
    <n v="118"/>
    <x v="3"/>
    <x v="3"/>
    <x v="3"/>
    <x v="72"/>
    <n v="3"/>
    <x v="1"/>
    <x v="0"/>
    <x v="124"/>
    <x v="1"/>
    <x v="3"/>
    <x v="2"/>
    <n v="323"/>
    <x v="2"/>
    <n v="9.795665634674922"/>
    <x v="1"/>
    <n v="1.043879907621247"/>
    <s v="Viewers"/>
  </r>
  <r>
    <n v="5256"/>
    <s v="Daniel"/>
    <x v="111"/>
    <d v="2024-12-02T00:00:00"/>
    <n v="15.99"/>
    <n v="368"/>
    <x v="2"/>
    <n v="4"/>
    <n v="4"/>
    <b v="1"/>
    <n v="968"/>
    <n v="24"/>
    <x v="4"/>
    <x v="1"/>
    <x v="2"/>
    <x v="55"/>
    <n v="3"/>
    <x v="1"/>
    <x v="0"/>
    <x v="125"/>
    <x v="4"/>
    <x v="4"/>
    <x v="0"/>
    <n v="14"/>
    <x v="2"/>
    <n v="184"/>
    <x v="2"/>
    <n v="0.37096774193548387"/>
    <s v="Viewers"/>
  </r>
  <r>
    <n v="5995"/>
    <s v="Melissa"/>
    <x v="8"/>
    <d v="2024-11-27T00:00:00"/>
    <n v="15.99"/>
    <n v="325"/>
    <x v="0"/>
    <n v="2"/>
    <n v="5"/>
    <b v="1"/>
    <n v="757"/>
    <n v="35"/>
    <x v="2"/>
    <x v="2"/>
    <x v="2"/>
    <x v="74"/>
    <n v="4.5999999999999996"/>
    <x v="0"/>
    <x v="0"/>
    <x v="126"/>
    <x v="0"/>
    <x v="1"/>
    <x v="0"/>
    <n v="529"/>
    <x v="2"/>
    <n v="4.3005671077504726"/>
    <x v="0"/>
    <n v="0.41035353535353536"/>
    <s v="Viewers"/>
  </r>
  <r>
    <n v="4155"/>
    <s v="Jacob"/>
    <x v="112"/>
    <d v="2024-12-06T00:00:00"/>
    <n v="11.99"/>
    <n v="42"/>
    <x v="2"/>
    <n v="4"/>
    <n v="2"/>
    <b v="0"/>
    <n v="560"/>
    <n v="98"/>
    <x v="6"/>
    <x v="1"/>
    <x v="2"/>
    <x v="9"/>
    <n v="3.8"/>
    <x v="0"/>
    <x v="0"/>
    <x v="127"/>
    <x v="3"/>
    <x v="2"/>
    <x v="3"/>
    <n v="640"/>
    <x v="1"/>
    <n v="0.45937499999999998"/>
    <x v="0"/>
    <n v="6.3829787234042548E-2"/>
    <s v=" Browsers"/>
  </r>
  <r>
    <n v="1851"/>
    <s v="Jennifer"/>
    <x v="113"/>
    <d v="2024-12-11T00:00:00"/>
    <n v="11.99"/>
    <n v="344"/>
    <x v="4"/>
    <n v="3"/>
    <n v="1"/>
    <b v="0"/>
    <n v="456"/>
    <n v="196"/>
    <x v="6"/>
    <x v="2"/>
    <x v="2"/>
    <x v="75"/>
    <n v="5"/>
    <x v="0"/>
    <x v="0"/>
    <x v="128"/>
    <x v="1"/>
    <x v="3"/>
    <x v="1"/>
    <n v="435"/>
    <x v="1"/>
    <n v="5.5356321839080458"/>
    <x v="1"/>
    <n v="0.52760736196319014"/>
    <s v="Viewers"/>
  </r>
  <r>
    <n v="8068"/>
    <s v="Carolyn"/>
    <x v="114"/>
    <d v="2024-12-14T00:00:00"/>
    <n v="15.99"/>
    <n v="77"/>
    <x v="1"/>
    <n v="5"/>
    <n v="3"/>
    <b v="0"/>
    <n v="780"/>
    <n v="138"/>
    <x v="3"/>
    <x v="3"/>
    <x v="5"/>
    <x v="29"/>
    <n v="3.4"/>
    <x v="0"/>
    <x v="0"/>
    <x v="129"/>
    <x v="4"/>
    <x v="2"/>
    <x v="3"/>
    <n v="21"/>
    <x v="2"/>
    <n v="25.666666666666668"/>
    <x v="2"/>
    <n v="8.3877995642701528E-2"/>
    <s v=" Browsers"/>
  </r>
  <r>
    <n v="8425"/>
    <s v="Patrick"/>
    <x v="115"/>
    <d v="2024-11-28T00:00:00"/>
    <n v="7.99"/>
    <n v="237"/>
    <x v="5"/>
    <n v="5"/>
    <n v="3"/>
    <b v="1"/>
    <n v="168"/>
    <n v="18"/>
    <x v="4"/>
    <x v="3"/>
    <x v="2"/>
    <x v="7"/>
    <n v="3.5"/>
    <x v="1"/>
    <x v="0"/>
    <x v="112"/>
    <x v="3"/>
    <x v="1"/>
    <x v="1"/>
    <n v="14"/>
    <x v="0"/>
    <n v="118.5"/>
    <x v="2"/>
    <n v="1.2741935483870968"/>
    <s v="Viewers"/>
  </r>
  <r>
    <n v="4706"/>
    <s v="Sabrina"/>
    <x v="116"/>
    <d v="2024-12-06T00:00:00"/>
    <n v="11.99"/>
    <n v="480"/>
    <x v="2"/>
    <n v="1"/>
    <n v="2"/>
    <b v="1"/>
    <n v="350"/>
    <n v="122"/>
    <x v="6"/>
    <x v="0"/>
    <x v="3"/>
    <x v="76"/>
    <n v="4.5999999999999996"/>
    <x v="0"/>
    <x v="0"/>
    <x v="130"/>
    <x v="1"/>
    <x v="0"/>
    <x v="0"/>
    <n v="667"/>
    <x v="1"/>
    <n v="5.0374812593703142"/>
    <x v="1"/>
    <n v="1.0169491525423728"/>
    <s v="Viewers"/>
  </r>
  <r>
    <n v="7544"/>
    <s v="Denise"/>
    <x v="46"/>
    <d v="2024-11-25T00:00:00"/>
    <n v="15.99"/>
    <n v="152"/>
    <x v="4"/>
    <n v="1"/>
    <n v="3"/>
    <b v="0"/>
    <n v="341"/>
    <n v="193"/>
    <x v="2"/>
    <x v="2"/>
    <x v="2"/>
    <x v="49"/>
    <n v="3.7"/>
    <x v="0"/>
    <x v="0"/>
    <x v="131"/>
    <x v="0"/>
    <x v="3"/>
    <x v="3"/>
    <n v="451"/>
    <x v="2"/>
    <n v="2.3592017738359199"/>
    <x v="0"/>
    <n v="0.28464419475655428"/>
    <s v="Viewers"/>
  </r>
  <r>
    <n v="4029"/>
    <s v="Cassandra"/>
    <x v="117"/>
    <d v="2024-11-24T00:00:00"/>
    <n v="11.99"/>
    <n v="308"/>
    <x v="1"/>
    <n v="2"/>
    <n v="3"/>
    <b v="0"/>
    <n v="392"/>
    <n v="151"/>
    <x v="1"/>
    <x v="1"/>
    <x v="1"/>
    <x v="21"/>
    <n v="4.2"/>
    <x v="1"/>
    <x v="0"/>
    <x v="132"/>
    <x v="0"/>
    <x v="2"/>
    <x v="1"/>
    <n v="40"/>
    <x v="1"/>
    <n v="53.9"/>
    <x v="2"/>
    <n v="0.56721915285451197"/>
    <s v="Viewers"/>
  </r>
  <r>
    <n v="6117"/>
    <s v="Elizabeth"/>
    <x v="118"/>
    <d v="2024-11-27T00:00:00"/>
    <n v="7.99"/>
    <n v="14"/>
    <x v="1"/>
    <n v="5"/>
    <n v="5"/>
    <b v="1"/>
    <n v="95"/>
    <n v="158"/>
    <x v="4"/>
    <x v="2"/>
    <x v="0"/>
    <x v="77"/>
    <n v="3.9"/>
    <x v="0"/>
    <x v="0"/>
    <x v="133"/>
    <x v="4"/>
    <x v="2"/>
    <x v="1"/>
    <n v="181"/>
    <x v="0"/>
    <n v="0.54143646408839774"/>
    <x v="0"/>
    <n v="5.533596837944664E-2"/>
    <s v=" Browsers"/>
  </r>
  <r>
    <n v="1408"/>
    <s v="Dustin"/>
    <x v="119"/>
    <d v="2024-11-20T00:00:00"/>
    <n v="11.99"/>
    <n v="233"/>
    <x v="1"/>
    <n v="5"/>
    <n v="6"/>
    <b v="1"/>
    <n v="186"/>
    <n v="129"/>
    <x v="3"/>
    <x v="1"/>
    <x v="0"/>
    <x v="11"/>
    <n v="4"/>
    <x v="1"/>
    <x v="0"/>
    <x v="134"/>
    <x v="3"/>
    <x v="0"/>
    <x v="1"/>
    <n v="667"/>
    <x v="1"/>
    <n v="2.4452773613193401"/>
    <x v="0"/>
    <n v="0.73968253968253972"/>
    <s v="Viewers"/>
  </r>
  <r>
    <n v="8396"/>
    <s v="Mary"/>
    <x v="38"/>
    <d v="2024-12-11T00:00:00"/>
    <n v="7.99"/>
    <n v="169"/>
    <x v="3"/>
    <n v="1"/>
    <n v="5"/>
    <b v="0"/>
    <n v="543"/>
    <n v="111"/>
    <x v="5"/>
    <x v="0"/>
    <x v="5"/>
    <x v="72"/>
    <n v="3.7"/>
    <x v="0"/>
    <x v="0"/>
    <x v="135"/>
    <x v="2"/>
    <x v="4"/>
    <x v="1"/>
    <n v="299"/>
    <x v="0"/>
    <n v="3.9565217391304346"/>
    <x v="0"/>
    <n v="0.25840978593272174"/>
    <s v="Viewers"/>
  </r>
  <r>
    <n v="6806"/>
    <s v="Crystal"/>
    <x v="81"/>
    <d v="2024-11-23T00:00:00"/>
    <n v="7.99"/>
    <n v="358"/>
    <x v="0"/>
    <n v="2"/>
    <n v="3"/>
    <b v="1"/>
    <n v="858"/>
    <n v="65"/>
    <x v="5"/>
    <x v="1"/>
    <x v="2"/>
    <x v="78"/>
    <n v="4.5999999999999996"/>
    <x v="1"/>
    <x v="0"/>
    <x v="136"/>
    <x v="3"/>
    <x v="3"/>
    <x v="3"/>
    <n v="341"/>
    <x v="0"/>
    <n v="7.3489736070381229"/>
    <x v="1"/>
    <n v="0.38786565547128926"/>
    <s v="Viewers"/>
  </r>
  <r>
    <n v="3496"/>
    <s v="Gregory"/>
    <x v="120"/>
    <d v="2024-12-11T00:00:00"/>
    <n v="11.99"/>
    <n v="404"/>
    <x v="1"/>
    <n v="4"/>
    <n v="6"/>
    <b v="0"/>
    <n v="906"/>
    <n v="43"/>
    <x v="3"/>
    <x v="0"/>
    <x v="1"/>
    <x v="76"/>
    <n v="4.9000000000000004"/>
    <x v="1"/>
    <x v="0"/>
    <x v="137"/>
    <x v="4"/>
    <x v="1"/>
    <x v="2"/>
    <n v="383"/>
    <x v="1"/>
    <n v="7.3838120104438643"/>
    <x v="1"/>
    <n v="0.42571127502634354"/>
    <s v="Viewers"/>
  </r>
  <r>
    <n v="7840"/>
    <s v="Barbara"/>
    <x v="121"/>
    <d v="2024-12-11T00:00:00"/>
    <n v="15.99"/>
    <n v="131"/>
    <x v="5"/>
    <n v="5"/>
    <n v="3"/>
    <b v="1"/>
    <n v="808"/>
    <n v="48"/>
    <x v="2"/>
    <x v="0"/>
    <x v="0"/>
    <x v="38"/>
    <n v="3.3"/>
    <x v="1"/>
    <x v="0"/>
    <x v="138"/>
    <x v="2"/>
    <x v="4"/>
    <x v="3"/>
    <n v="313"/>
    <x v="2"/>
    <n v="2.9297124600638975"/>
    <x v="0"/>
    <n v="0.1530373831775701"/>
    <s v="Viewers"/>
  </r>
  <r>
    <n v="2099"/>
    <s v="Michael"/>
    <x v="71"/>
    <d v="2024-11-23T00:00:00"/>
    <n v="11.99"/>
    <n v="32"/>
    <x v="1"/>
    <n v="1"/>
    <n v="6"/>
    <b v="1"/>
    <n v="84"/>
    <n v="73"/>
    <x v="5"/>
    <x v="3"/>
    <x v="0"/>
    <x v="76"/>
    <n v="3.6"/>
    <x v="1"/>
    <x v="0"/>
    <x v="139"/>
    <x v="1"/>
    <x v="0"/>
    <x v="2"/>
    <n v="126"/>
    <x v="1"/>
    <n v="1.7777777777777777"/>
    <x v="0"/>
    <n v="0.20382165605095542"/>
    <s v="Viewers"/>
  </r>
  <r>
    <n v="6518"/>
    <s v="Kathryn"/>
    <x v="122"/>
    <d v="2024-12-07T00:00:00"/>
    <n v="7.99"/>
    <n v="478"/>
    <x v="0"/>
    <n v="5"/>
    <n v="3"/>
    <b v="1"/>
    <n v="780"/>
    <n v="78"/>
    <x v="2"/>
    <x v="0"/>
    <x v="3"/>
    <x v="29"/>
    <n v="4"/>
    <x v="0"/>
    <x v="0"/>
    <x v="140"/>
    <x v="2"/>
    <x v="0"/>
    <x v="2"/>
    <n v="16"/>
    <x v="0"/>
    <n v="209.125"/>
    <x v="2"/>
    <n v="0.55710955710955712"/>
    <s v="Viewers"/>
  </r>
  <r>
    <n v="1976"/>
    <s v="Brett"/>
    <x v="76"/>
    <d v="2024-12-16T00:00:00"/>
    <n v="11.99"/>
    <n v="88"/>
    <x v="2"/>
    <n v="3"/>
    <n v="1"/>
    <b v="0"/>
    <n v="247"/>
    <n v="30"/>
    <x v="2"/>
    <x v="1"/>
    <x v="2"/>
    <x v="63"/>
    <n v="4.7"/>
    <x v="1"/>
    <x v="0"/>
    <x v="141"/>
    <x v="4"/>
    <x v="1"/>
    <x v="2"/>
    <n v="57"/>
    <x v="1"/>
    <n v="10.807017543859649"/>
    <x v="1"/>
    <n v="0.3176895306859206"/>
    <s v="Viewers"/>
  </r>
  <r>
    <n v="8777"/>
    <s v="Christopher"/>
    <x v="104"/>
    <d v="2024-11-27T00:00:00"/>
    <n v="11.99"/>
    <n v="395"/>
    <x v="2"/>
    <n v="4"/>
    <n v="4"/>
    <b v="0"/>
    <n v="190"/>
    <n v="105"/>
    <x v="6"/>
    <x v="2"/>
    <x v="1"/>
    <x v="79"/>
    <n v="4.0999999999999996"/>
    <x v="0"/>
    <x v="0"/>
    <x v="142"/>
    <x v="0"/>
    <x v="3"/>
    <x v="1"/>
    <n v="290"/>
    <x v="1"/>
    <n v="9.5344827586206886"/>
    <x v="1"/>
    <n v="1.3389830508474576"/>
    <s v="Viewers"/>
  </r>
  <r>
    <n v="1576"/>
    <s v="Jeremy"/>
    <x v="123"/>
    <d v="2024-11-20T00:00:00"/>
    <n v="11.99"/>
    <n v="385"/>
    <x v="1"/>
    <n v="4"/>
    <n v="1"/>
    <b v="1"/>
    <n v="390"/>
    <n v="163"/>
    <x v="4"/>
    <x v="3"/>
    <x v="5"/>
    <x v="80"/>
    <n v="3.3"/>
    <x v="0"/>
    <x v="0"/>
    <x v="143"/>
    <x v="2"/>
    <x v="1"/>
    <x v="3"/>
    <n v="612"/>
    <x v="1"/>
    <n v="4.4035947712418295"/>
    <x v="0"/>
    <n v="0.69620253164556967"/>
    <s v="Viewers"/>
  </r>
  <r>
    <n v="7979"/>
    <s v="Martin"/>
    <x v="124"/>
    <d v="2024-11-27T00:00:00"/>
    <n v="11.99"/>
    <n v="280"/>
    <x v="2"/>
    <n v="4"/>
    <n v="5"/>
    <b v="1"/>
    <n v="203"/>
    <n v="50"/>
    <x v="6"/>
    <x v="0"/>
    <x v="3"/>
    <x v="32"/>
    <n v="3.4"/>
    <x v="1"/>
    <x v="0"/>
    <x v="144"/>
    <x v="0"/>
    <x v="1"/>
    <x v="2"/>
    <n v="574"/>
    <x v="1"/>
    <n v="3.4146341463414633"/>
    <x v="0"/>
    <n v="1.1067193675889329"/>
    <s v="Viewers"/>
  </r>
  <r>
    <n v="6300"/>
    <s v="Taylor"/>
    <x v="18"/>
    <d v="2024-12-09T00:00:00"/>
    <n v="15.99"/>
    <n v="164"/>
    <x v="0"/>
    <n v="3"/>
    <n v="5"/>
    <b v="0"/>
    <n v="161"/>
    <n v="77"/>
    <x v="4"/>
    <x v="3"/>
    <x v="1"/>
    <x v="28"/>
    <n v="3.7"/>
    <x v="1"/>
    <x v="0"/>
    <x v="145"/>
    <x v="3"/>
    <x v="3"/>
    <x v="0"/>
    <n v="446"/>
    <x v="2"/>
    <n v="2.5739910313901344"/>
    <x v="0"/>
    <n v="0.68907563025210083"/>
    <s v="Viewers"/>
  </r>
  <r>
    <n v="1003"/>
    <s v="Vickie"/>
    <x v="125"/>
    <d v="2024-12-12T00:00:00"/>
    <n v="11.99"/>
    <n v="433"/>
    <x v="4"/>
    <n v="5"/>
    <n v="4"/>
    <b v="0"/>
    <n v="350"/>
    <n v="2"/>
    <x v="5"/>
    <x v="3"/>
    <x v="3"/>
    <x v="81"/>
    <n v="3.1"/>
    <x v="1"/>
    <x v="0"/>
    <x v="146"/>
    <x v="0"/>
    <x v="0"/>
    <x v="0"/>
    <n v="20"/>
    <x v="1"/>
    <n v="151.54999999999998"/>
    <x v="2"/>
    <n v="1.2301136363636365"/>
    <s v="Viewers"/>
  </r>
  <r>
    <n v="8238"/>
    <s v="Betty"/>
    <x v="126"/>
    <d v="2024-11-28T00:00:00"/>
    <n v="7.99"/>
    <n v="460"/>
    <x v="5"/>
    <n v="3"/>
    <n v="5"/>
    <b v="0"/>
    <n v="26"/>
    <n v="2"/>
    <x v="6"/>
    <x v="0"/>
    <x v="1"/>
    <x v="4"/>
    <n v="4.8"/>
    <x v="0"/>
    <x v="0"/>
    <x v="147"/>
    <x v="0"/>
    <x v="3"/>
    <x v="0"/>
    <n v="321"/>
    <x v="0"/>
    <n v="10.031152647975079"/>
    <x v="1"/>
    <n v="16.428571428571427"/>
    <s v="Viewers"/>
  </r>
  <r>
    <n v="8261"/>
    <s v="James"/>
    <x v="127"/>
    <d v="2024-12-04T00:00:00"/>
    <n v="7.99"/>
    <n v="374"/>
    <x v="5"/>
    <n v="1"/>
    <n v="3"/>
    <b v="1"/>
    <n v="819"/>
    <n v="18"/>
    <x v="5"/>
    <x v="1"/>
    <x v="0"/>
    <x v="32"/>
    <n v="3.4"/>
    <x v="1"/>
    <x v="0"/>
    <x v="148"/>
    <x v="3"/>
    <x v="1"/>
    <x v="2"/>
    <n v="710"/>
    <x v="0"/>
    <n v="3.6873239436619718"/>
    <x v="0"/>
    <n v="0.44683393070489846"/>
    <s v="Viewers"/>
  </r>
  <r>
    <n v="7729"/>
    <s v="Brittany"/>
    <x v="128"/>
    <d v="2024-12-11T00:00:00"/>
    <n v="11.99"/>
    <n v="147"/>
    <x v="6"/>
    <n v="5"/>
    <n v="4"/>
    <b v="0"/>
    <n v="27"/>
    <n v="175"/>
    <x v="5"/>
    <x v="0"/>
    <x v="0"/>
    <x v="18"/>
    <n v="4"/>
    <x v="1"/>
    <x v="0"/>
    <x v="149"/>
    <x v="1"/>
    <x v="3"/>
    <x v="3"/>
    <n v="660"/>
    <x v="1"/>
    <n v="1.5590909090909091"/>
    <x v="0"/>
    <n v="0.7277227722772277"/>
    <s v="Viewers"/>
  </r>
  <r>
    <n v="8616"/>
    <s v="John"/>
    <x v="129"/>
    <d v="2024-12-04T00:00:00"/>
    <n v="11.99"/>
    <n v="129"/>
    <x v="4"/>
    <n v="4"/>
    <n v="6"/>
    <b v="0"/>
    <n v="543"/>
    <n v="126"/>
    <x v="2"/>
    <x v="1"/>
    <x v="2"/>
    <x v="49"/>
    <n v="3.4"/>
    <x v="1"/>
    <x v="0"/>
    <x v="150"/>
    <x v="0"/>
    <x v="0"/>
    <x v="0"/>
    <n v="3"/>
    <x v="1"/>
    <n v="301"/>
    <x v="2"/>
    <n v="0.19282511210762332"/>
    <s v="Viewers"/>
  </r>
  <r>
    <n v="9734"/>
    <s v="Destiny"/>
    <x v="59"/>
    <d v="2024-12-14T00:00:00"/>
    <n v="15.99"/>
    <n v="217"/>
    <x v="0"/>
    <n v="2"/>
    <n v="2"/>
    <b v="1"/>
    <n v="872"/>
    <n v="8"/>
    <x v="1"/>
    <x v="3"/>
    <x v="5"/>
    <x v="82"/>
    <n v="3.6"/>
    <x v="1"/>
    <x v="0"/>
    <x v="151"/>
    <x v="3"/>
    <x v="0"/>
    <x v="0"/>
    <n v="20"/>
    <x v="2"/>
    <n v="75.95"/>
    <x v="2"/>
    <n v="0.24659090909090908"/>
    <s v="Viewers"/>
  </r>
  <r>
    <n v="2086"/>
    <s v="Amanda"/>
    <x v="130"/>
    <d v="2024-11-19T00:00:00"/>
    <n v="7.99"/>
    <n v="426"/>
    <x v="1"/>
    <n v="4"/>
    <n v="1"/>
    <b v="0"/>
    <n v="606"/>
    <n v="135"/>
    <x v="0"/>
    <x v="0"/>
    <x v="1"/>
    <x v="16"/>
    <n v="3.8"/>
    <x v="1"/>
    <x v="0"/>
    <x v="152"/>
    <x v="1"/>
    <x v="4"/>
    <x v="0"/>
    <n v="557"/>
    <x v="0"/>
    <n v="5.353680430879713"/>
    <x v="1"/>
    <n v="0.5748987854251012"/>
    <s v="Viewers"/>
  </r>
  <r>
    <n v="8721"/>
    <s v="Stephen"/>
    <x v="131"/>
    <d v="2024-12-01T00:00:00"/>
    <n v="15.99"/>
    <n v="81"/>
    <x v="1"/>
    <n v="3"/>
    <n v="5"/>
    <b v="0"/>
    <n v="394"/>
    <n v="168"/>
    <x v="1"/>
    <x v="3"/>
    <x v="2"/>
    <x v="68"/>
    <n v="4.7"/>
    <x v="1"/>
    <x v="0"/>
    <x v="153"/>
    <x v="2"/>
    <x v="2"/>
    <x v="0"/>
    <n v="647"/>
    <x v="2"/>
    <n v="0.87635239567233381"/>
    <x v="0"/>
    <n v="0.14412811387900357"/>
    <s v=" Browsers"/>
  </r>
  <r>
    <n v="1075"/>
    <s v="Dawn"/>
    <x v="132"/>
    <d v="2024-11-28T00:00:00"/>
    <n v="7.99"/>
    <n v="296"/>
    <x v="6"/>
    <n v="3"/>
    <n v="2"/>
    <b v="1"/>
    <n v="411"/>
    <n v="96"/>
    <x v="0"/>
    <x v="3"/>
    <x v="4"/>
    <x v="6"/>
    <n v="3.1"/>
    <x v="0"/>
    <x v="0"/>
    <x v="154"/>
    <x v="4"/>
    <x v="2"/>
    <x v="1"/>
    <n v="573"/>
    <x v="0"/>
    <n v="3.6160558464223382"/>
    <x v="0"/>
    <n v="0.58382642998027612"/>
    <s v="Viewers"/>
  </r>
  <r>
    <n v="2690"/>
    <s v="Jonathan"/>
    <x v="133"/>
    <d v="2024-11-29T00:00:00"/>
    <n v="15.99"/>
    <n v="466"/>
    <x v="2"/>
    <n v="3"/>
    <n v="2"/>
    <b v="0"/>
    <n v="977"/>
    <n v="94"/>
    <x v="6"/>
    <x v="3"/>
    <x v="2"/>
    <x v="79"/>
    <n v="3.6"/>
    <x v="1"/>
    <x v="0"/>
    <x v="155"/>
    <x v="0"/>
    <x v="0"/>
    <x v="3"/>
    <n v="451"/>
    <x v="2"/>
    <n v="7.2328159645232812"/>
    <x v="1"/>
    <n v="0.43510737628384688"/>
    <s v="Viewers"/>
  </r>
  <r>
    <n v="7654"/>
    <s v="Amy"/>
    <x v="56"/>
    <d v="2024-11-27T00:00:00"/>
    <n v="11.99"/>
    <n v="424"/>
    <x v="4"/>
    <n v="5"/>
    <n v="2"/>
    <b v="0"/>
    <n v="406"/>
    <n v="150"/>
    <x v="1"/>
    <x v="1"/>
    <x v="3"/>
    <x v="16"/>
    <n v="3.5"/>
    <x v="0"/>
    <x v="0"/>
    <x v="156"/>
    <x v="2"/>
    <x v="1"/>
    <x v="0"/>
    <n v="344"/>
    <x v="1"/>
    <n v="8.6279069767441854"/>
    <x v="1"/>
    <n v="0.76258992805755399"/>
    <s v="Viewers"/>
  </r>
  <r>
    <n v="7577"/>
    <s v="Paul"/>
    <x v="134"/>
    <d v="2024-12-03T00:00:00"/>
    <n v="15.99"/>
    <n v="233"/>
    <x v="2"/>
    <n v="2"/>
    <n v="5"/>
    <b v="1"/>
    <n v="781"/>
    <n v="23"/>
    <x v="6"/>
    <x v="2"/>
    <x v="0"/>
    <x v="83"/>
    <n v="3.3"/>
    <x v="0"/>
    <x v="0"/>
    <x v="157"/>
    <x v="4"/>
    <x v="3"/>
    <x v="2"/>
    <n v="47"/>
    <x v="2"/>
    <n v="34.702127659574465"/>
    <x v="2"/>
    <n v="0.28980099502487561"/>
    <s v="Viewers"/>
  </r>
  <r>
    <n v="9814"/>
    <s v="Kenneth"/>
    <x v="135"/>
    <d v="2024-11-27T00:00:00"/>
    <n v="11.99"/>
    <n v="413"/>
    <x v="5"/>
    <n v="1"/>
    <n v="6"/>
    <b v="1"/>
    <n v="330"/>
    <n v="63"/>
    <x v="0"/>
    <x v="0"/>
    <x v="5"/>
    <x v="16"/>
    <n v="4.0999999999999996"/>
    <x v="1"/>
    <x v="0"/>
    <x v="158"/>
    <x v="2"/>
    <x v="3"/>
    <x v="0"/>
    <n v="108"/>
    <x v="1"/>
    <n v="26.768518518518519"/>
    <x v="2"/>
    <n v="1.0508905852417303"/>
    <s v="Viewers"/>
  </r>
  <r>
    <n v="5423"/>
    <s v="Jamie"/>
    <x v="136"/>
    <d v="2024-11-19T00:00:00"/>
    <n v="7.99"/>
    <n v="278"/>
    <x v="0"/>
    <n v="1"/>
    <n v="5"/>
    <b v="1"/>
    <n v="163"/>
    <n v="88"/>
    <x v="4"/>
    <x v="0"/>
    <x v="2"/>
    <x v="12"/>
    <n v="3.2"/>
    <x v="0"/>
    <x v="0"/>
    <x v="159"/>
    <x v="0"/>
    <x v="3"/>
    <x v="3"/>
    <n v="50"/>
    <x v="0"/>
    <n v="38.919999999999995"/>
    <x v="2"/>
    <n v="1.1075697211155378"/>
    <s v="Viewers"/>
  </r>
  <r>
    <n v="2660"/>
    <s v="Bruce"/>
    <x v="137"/>
    <d v="2024-12-04T00:00:00"/>
    <n v="11.99"/>
    <n v="351"/>
    <x v="4"/>
    <n v="1"/>
    <n v="1"/>
    <b v="1"/>
    <n v="80"/>
    <n v="70"/>
    <x v="0"/>
    <x v="2"/>
    <x v="1"/>
    <x v="84"/>
    <n v="4.5"/>
    <x v="1"/>
    <x v="0"/>
    <x v="160"/>
    <x v="4"/>
    <x v="0"/>
    <x v="1"/>
    <n v="705"/>
    <x v="1"/>
    <n v="3.4851063829787234"/>
    <x v="0"/>
    <n v="2.34"/>
    <s v="Viewers"/>
  </r>
  <r>
    <n v="4206"/>
    <s v="Kevin"/>
    <x v="138"/>
    <d v="2024-12-06T00:00:00"/>
    <n v="11.99"/>
    <n v="354"/>
    <x v="6"/>
    <n v="1"/>
    <n v="3"/>
    <b v="0"/>
    <n v="885"/>
    <n v="65"/>
    <x v="2"/>
    <x v="2"/>
    <x v="4"/>
    <x v="85"/>
    <n v="4.7"/>
    <x v="0"/>
    <x v="0"/>
    <x v="161"/>
    <x v="2"/>
    <x v="2"/>
    <x v="3"/>
    <n v="246"/>
    <x v="1"/>
    <n v="10.073170731707316"/>
    <x v="1"/>
    <n v="0.37263157894736842"/>
    <s v="Viewers"/>
  </r>
  <r>
    <n v="5269"/>
    <s v="Jamie"/>
    <x v="139"/>
    <d v="2024-12-04T00:00:00"/>
    <n v="11.99"/>
    <n v="192"/>
    <x v="5"/>
    <n v="5"/>
    <n v="4"/>
    <b v="0"/>
    <n v="123"/>
    <n v="34"/>
    <x v="3"/>
    <x v="3"/>
    <x v="4"/>
    <x v="59"/>
    <n v="3.8"/>
    <x v="1"/>
    <x v="0"/>
    <x v="162"/>
    <x v="4"/>
    <x v="3"/>
    <x v="2"/>
    <n v="639"/>
    <x v="1"/>
    <n v="2.1032863849765255"/>
    <x v="0"/>
    <n v="1.2229299363057324"/>
    <s v="Viewers"/>
  </r>
  <r>
    <n v="7922"/>
    <s v="Andrew"/>
    <x v="65"/>
    <d v="2024-12-18T00:00:00"/>
    <n v="7.99"/>
    <n v="176"/>
    <x v="3"/>
    <n v="4"/>
    <n v="6"/>
    <b v="1"/>
    <n v="830"/>
    <n v="74"/>
    <x v="2"/>
    <x v="0"/>
    <x v="1"/>
    <x v="29"/>
    <n v="3.5"/>
    <x v="1"/>
    <x v="0"/>
    <x v="163"/>
    <x v="4"/>
    <x v="0"/>
    <x v="1"/>
    <n v="668"/>
    <x v="0"/>
    <n v="1.8443113772455089"/>
    <x v="0"/>
    <n v="0.19469026548672566"/>
    <s v="Viewers"/>
  </r>
  <r>
    <n v="7829"/>
    <s v="Brandon"/>
    <x v="140"/>
    <d v="2024-12-18T00:00:00"/>
    <n v="7.99"/>
    <n v="482"/>
    <x v="5"/>
    <n v="1"/>
    <n v="4"/>
    <b v="1"/>
    <n v="770"/>
    <n v="129"/>
    <x v="1"/>
    <x v="0"/>
    <x v="2"/>
    <x v="13"/>
    <n v="3.7"/>
    <x v="1"/>
    <x v="0"/>
    <x v="164"/>
    <x v="3"/>
    <x v="1"/>
    <x v="2"/>
    <n v="427"/>
    <x v="0"/>
    <n v="7.9016393442622954"/>
    <x v="1"/>
    <n v="0.5361512791991101"/>
    <s v="Viewers"/>
  </r>
  <r>
    <n v="1715"/>
    <s v="Ryan"/>
    <x v="141"/>
    <d v="2024-12-04T00:00:00"/>
    <n v="7.99"/>
    <n v="87"/>
    <x v="1"/>
    <n v="3"/>
    <n v="5"/>
    <b v="1"/>
    <n v="753"/>
    <n v="181"/>
    <x v="2"/>
    <x v="1"/>
    <x v="0"/>
    <x v="82"/>
    <n v="3.1"/>
    <x v="1"/>
    <x v="0"/>
    <x v="165"/>
    <x v="0"/>
    <x v="2"/>
    <x v="3"/>
    <n v="170"/>
    <x v="0"/>
    <n v="3.5823529411764707"/>
    <x v="0"/>
    <n v="9.3147751605995713E-2"/>
    <s v=" Browsers"/>
  </r>
  <r>
    <n v="2639"/>
    <s v="Steven"/>
    <x v="48"/>
    <d v="2024-12-07T00:00:00"/>
    <n v="11.99"/>
    <n v="163"/>
    <x v="1"/>
    <n v="5"/>
    <n v="1"/>
    <b v="1"/>
    <n v="38"/>
    <n v="53"/>
    <x v="4"/>
    <x v="1"/>
    <x v="4"/>
    <x v="86"/>
    <n v="4.5999999999999996"/>
    <x v="0"/>
    <x v="0"/>
    <x v="166"/>
    <x v="0"/>
    <x v="0"/>
    <x v="1"/>
    <n v="172"/>
    <x v="1"/>
    <n v="6.6337209302325579"/>
    <x v="1"/>
    <n v="1.7912087912087913"/>
    <s v="Viewers"/>
  </r>
  <r>
    <n v="1801"/>
    <s v="Christine"/>
    <x v="142"/>
    <d v="2024-12-13T00:00:00"/>
    <n v="11.99"/>
    <n v="419"/>
    <x v="4"/>
    <n v="4"/>
    <n v="5"/>
    <b v="0"/>
    <n v="386"/>
    <n v="122"/>
    <x v="5"/>
    <x v="2"/>
    <x v="1"/>
    <x v="87"/>
    <n v="4.5999999999999996"/>
    <x v="0"/>
    <x v="0"/>
    <x v="167"/>
    <x v="1"/>
    <x v="3"/>
    <x v="0"/>
    <n v="334"/>
    <x v="1"/>
    <n v="8.7814371257485035"/>
    <x v="1"/>
    <n v="0.82480314960629919"/>
    <s v="Viewers"/>
  </r>
  <r>
    <n v="9163"/>
    <s v="Martin"/>
    <x v="42"/>
    <d v="2024-11-27T00:00:00"/>
    <n v="11.99"/>
    <n v="203"/>
    <x v="2"/>
    <n v="4"/>
    <n v="4"/>
    <b v="1"/>
    <n v="874"/>
    <n v="67"/>
    <x v="3"/>
    <x v="1"/>
    <x v="5"/>
    <x v="43"/>
    <n v="3.9"/>
    <x v="1"/>
    <x v="0"/>
    <x v="168"/>
    <x v="0"/>
    <x v="0"/>
    <x v="3"/>
    <n v="603"/>
    <x v="1"/>
    <n v="2.3565505804311777"/>
    <x v="0"/>
    <n v="0.21572794899043571"/>
    <s v="Viewers"/>
  </r>
  <r>
    <n v="1284"/>
    <s v="Michael"/>
    <x v="129"/>
    <d v="2024-12-04T00:00:00"/>
    <n v="7.99"/>
    <n v="405"/>
    <x v="5"/>
    <n v="4"/>
    <n v="3"/>
    <b v="1"/>
    <n v="695"/>
    <n v="85"/>
    <x v="4"/>
    <x v="2"/>
    <x v="5"/>
    <x v="19"/>
    <n v="3.7"/>
    <x v="0"/>
    <x v="0"/>
    <x v="169"/>
    <x v="3"/>
    <x v="1"/>
    <x v="2"/>
    <n v="3"/>
    <x v="0"/>
    <n v="945"/>
    <x v="2"/>
    <n v="0.51923076923076927"/>
    <s v="Viewers"/>
  </r>
  <r>
    <n v="8774"/>
    <s v="Hunter"/>
    <x v="143"/>
    <d v="2024-12-08T00:00:00"/>
    <n v="15.99"/>
    <n v="496"/>
    <x v="5"/>
    <n v="5"/>
    <n v="6"/>
    <b v="0"/>
    <n v="803"/>
    <n v="130"/>
    <x v="0"/>
    <x v="3"/>
    <x v="5"/>
    <x v="69"/>
    <n v="4.8"/>
    <x v="0"/>
    <x v="0"/>
    <x v="170"/>
    <x v="2"/>
    <x v="3"/>
    <x v="2"/>
    <n v="401"/>
    <x v="2"/>
    <n v="8.6583541147132177"/>
    <x v="1"/>
    <n v="0.53161843515541263"/>
    <s v="Viewers"/>
  </r>
  <r>
    <n v="3866"/>
    <s v="Catherine"/>
    <x v="144"/>
    <d v="2024-11-28T00:00:00"/>
    <n v="15.99"/>
    <n v="328"/>
    <x v="2"/>
    <n v="2"/>
    <n v="2"/>
    <b v="0"/>
    <n v="268"/>
    <n v="50"/>
    <x v="5"/>
    <x v="1"/>
    <x v="2"/>
    <x v="20"/>
    <n v="4.4000000000000004"/>
    <x v="1"/>
    <x v="0"/>
    <x v="171"/>
    <x v="3"/>
    <x v="2"/>
    <x v="1"/>
    <n v="301"/>
    <x v="2"/>
    <n v="7.6279069767441863"/>
    <x v="1"/>
    <n v="1.0314465408805031"/>
    <s v="Viewers"/>
  </r>
  <r>
    <n v="4477"/>
    <s v="Christopher"/>
    <x v="145"/>
    <d v="2024-11-23T00:00:00"/>
    <n v="7.99"/>
    <n v="85"/>
    <x v="1"/>
    <n v="5"/>
    <n v="1"/>
    <b v="0"/>
    <n v="429"/>
    <n v="52"/>
    <x v="2"/>
    <x v="0"/>
    <x v="1"/>
    <x v="88"/>
    <n v="3.8"/>
    <x v="0"/>
    <x v="0"/>
    <x v="172"/>
    <x v="0"/>
    <x v="3"/>
    <x v="1"/>
    <n v="209"/>
    <x v="0"/>
    <n v="2.8468899521531101"/>
    <x v="0"/>
    <n v="0.17671517671517672"/>
    <s v="Viewers"/>
  </r>
  <r>
    <n v="4829"/>
    <s v="Jeff"/>
    <x v="146"/>
    <d v="2024-12-17T00:00:00"/>
    <n v="11.99"/>
    <n v="386"/>
    <x v="2"/>
    <n v="3"/>
    <n v="4"/>
    <b v="0"/>
    <n v="62"/>
    <n v="50"/>
    <x v="5"/>
    <x v="2"/>
    <x v="0"/>
    <x v="52"/>
    <n v="4.7"/>
    <x v="0"/>
    <x v="0"/>
    <x v="173"/>
    <x v="0"/>
    <x v="0"/>
    <x v="2"/>
    <n v="87"/>
    <x v="1"/>
    <n v="31.057471264367816"/>
    <x v="2"/>
    <n v="3.4464285714285716"/>
    <s v="Viewers"/>
  </r>
  <r>
    <n v="1257"/>
    <s v="Daniel"/>
    <x v="116"/>
    <d v="2024-12-08T00:00:00"/>
    <n v="7.99"/>
    <n v="245"/>
    <x v="0"/>
    <n v="3"/>
    <n v="4"/>
    <b v="0"/>
    <n v="831"/>
    <n v="15"/>
    <x v="1"/>
    <x v="0"/>
    <x v="1"/>
    <x v="61"/>
    <n v="4.9000000000000004"/>
    <x v="0"/>
    <x v="0"/>
    <x v="174"/>
    <x v="4"/>
    <x v="3"/>
    <x v="3"/>
    <n v="669"/>
    <x v="0"/>
    <n v="2.5635276532137521"/>
    <x v="0"/>
    <n v="0.28959810874704489"/>
    <s v="Viewers"/>
  </r>
  <r>
    <n v="1897"/>
    <s v="Cathy"/>
    <x v="123"/>
    <d v="2024-12-16T00:00:00"/>
    <n v="11.99"/>
    <n v="97"/>
    <x v="4"/>
    <n v="5"/>
    <n v="5"/>
    <b v="1"/>
    <n v="737"/>
    <n v="85"/>
    <x v="3"/>
    <x v="0"/>
    <x v="5"/>
    <x v="54"/>
    <n v="3.6"/>
    <x v="1"/>
    <x v="0"/>
    <x v="175"/>
    <x v="0"/>
    <x v="4"/>
    <x v="3"/>
    <n v="638"/>
    <x v="1"/>
    <n v="1.0642633228840126"/>
    <x v="0"/>
    <n v="0.11800486618004866"/>
    <s v=" Browsers"/>
  </r>
  <r>
    <n v="3603"/>
    <s v="Sylvia"/>
    <x v="42"/>
    <d v="2024-11-20T00:00:00"/>
    <n v="7.99"/>
    <n v="216"/>
    <x v="3"/>
    <n v="4"/>
    <n v="3"/>
    <b v="1"/>
    <n v="923"/>
    <n v="143"/>
    <x v="0"/>
    <x v="2"/>
    <x v="2"/>
    <x v="66"/>
    <n v="3.4"/>
    <x v="0"/>
    <x v="0"/>
    <x v="176"/>
    <x v="1"/>
    <x v="4"/>
    <x v="0"/>
    <n v="596"/>
    <x v="0"/>
    <n v="2.5369127516778525"/>
    <x v="0"/>
    <n v="0.20262664165103189"/>
    <s v="Viewers"/>
  </r>
  <r>
    <n v="9256"/>
    <s v="Daniel"/>
    <x v="147"/>
    <d v="2024-11-22T00:00:00"/>
    <n v="7.99"/>
    <n v="331"/>
    <x v="6"/>
    <n v="5"/>
    <n v="1"/>
    <b v="0"/>
    <n v="85"/>
    <n v="117"/>
    <x v="6"/>
    <x v="2"/>
    <x v="5"/>
    <x v="68"/>
    <n v="4.8"/>
    <x v="1"/>
    <x v="0"/>
    <x v="177"/>
    <x v="2"/>
    <x v="1"/>
    <x v="3"/>
    <n v="654"/>
    <x v="0"/>
    <n v="3.5428134556574924"/>
    <x v="0"/>
    <n v="1.6386138613861385"/>
    <s v="Viewers"/>
  </r>
  <r>
    <n v="9469"/>
    <s v="William"/>
    <x v="148"/>
    <d v="2024-11-25T00:00:00"/>
    <n v="11.99"/>
    <n v="451"/>
    <x v="2"/>
    <n v="2"/>
    <n v="3"/>
    <b v="0"/>
    <n v="59"/>
    <n v="38"/>
    <x v="5"/>
    <x v="2"/>
    <x v="1"/>
    <x v="43"/>
    <n v="3"/>
    <x v="1"/>
    <x v="0"/>
    <x v="178"/>
    <x v="3"/>
    <x v="3"/>
    <x v="1"/>
    <n v="534"/>
    <x v="1"/>
    <n v="5.9119850187265914"/>
    <x v="1"/>
    <n v="4.6494845360824746"/>
    <s v="Viewers"/>
  </r>
  <r>
    <n v="7136"/>
    <s v="Jessica"/>
    <x v="149"/>
    <d v="2024-12-14T00:00:00"/>
    <n v="7.99"/>
    <n v="326"/>
    <x v="0"/>
    <n v="5"/>
    <n v="1"/>
    <b v="0"/>
    <n v="590"/>
    <n v="105"/>
    <x v="6"/>
    <x v="0"/>
    <x v="0"/>
    <x v="2"/>
    <n v="3.3"/>
    <x v="0"/>
    <x v="0"/>
    <x v="179"/>
    <x v="0"/>
    <x v="1"/>
    <x v="3"/>
    <n v="209"/>
    <x v="0"/>
    <n v="10.918660287081339"/>
    <x v="1"/>
    <n v="0.46906474820143884"/>
    <s v="Viewers"/>
  </r>
  <r>
    <n v="2321"/>
    <s v="Joseph"/>
    <x v="150"/>
    <d v="2024-12-14T00:00:00"/>
    <n v="15.99"/>
    <n v="358"/>
    <x v="1"/>
    <n v="3"/>
    <n v="1"/>
    <b v="0"/>
    <n v="348"/>
    <n v="49"/>
    <x v="6"/>
    <x v="1"/>
    <x v="0"/>
    <x v="31"/>
    <n v="4.2"/>
    <x v="0"/>
    <x v="0"/>
    <x v="180"/>
    <x v="1"/>
    <x v="0"/>
    <x v="2"/>
    <n v="298"/>
    <x v="2"/>
    <n v="8.4093959731543624"/>
    <x v="1"/>
    <n v="0.90176322418136023"/>
    <s v="Viewers"/>
  </r>
  <r>
    <n v="4243"/>
    <s v="Christopher"/>
    <x v="151"/>
    <d v="2024-11-29T00:00:00"/>
    <n v="15.99"/>
    <n v="91"/>
    <x v="0"/>
    <n v="2"/>
    <n v="1"/>
    <b v="1"/>
    <n v="561"/>
    <n v="153"/>
    <x v="1"/>
    <x v="3"/>
    <x v="4"/>
    <x v="34"/>
    <n v="4.0999999999999996"/>
    <x v="0"/>
    <x v="0"/>
    <x v="181"/>
    <x v="4"/>
    <x v="4"/>
    <x v="2"/>
    <n v="627"/>
    <x v="2"/>
    <n v="1.0159489633173844"/>
    <x v="0"/>
    <n v="0.12745098039215685"/>
    <s v=" Browsers"/>
  </r>
  <r>
    <n v="8015"/>
    <s v="Laurie"/>
    <x v="89"/>
    <d v="2024-12-18T00:00:00"/>
    <n v="7.99"/>
    <n v="478"/>
    <x v="0"/>
    <n v="2"/>
    <n v="2"/>
    <b v="1"/>
    <n v="214"/>
    <n v="191"/>
    <x v="2"/>
    <x v="1"/>
    <x v="3"/>
    <x v="52"/>
    <n v="3.6"/>
    <x v="0"/>
    <x v="0"/>
    <x v="182"/>
    <x v="1"/>
    <x v="0"/>
    <x v="3"/>
    <n v="417"/>
    <x v="0"/>
    <n v="8.0239808153477217"/>
    <x v="1"/>
    <n v="1.1802469135802469"/>
    <s v="Viewers"/>
  </r>
  <r>
    <n v="3440"/>
    <s v="William"/>
    <x v="152"/>
    <d v="2024-11-22T00:00:00"/>
    <n v="7.99"/>
    <n v="16"/>
    <x v="3"/>
    <n v="3"/>
    <n v="4"/>
    <b v="0"/>
    <n v="964"/>
    <n v="111"/>
    <x v="6"/>
    <x v="0"/>
    <x v="2"/>
    <x v="64"/>
    <n v="3.1"/>
    <x v="1"/>
    <x v="0"/>
    <x v="183"/>
    <x v="4"/>
    <x v="2"/>
    <x v="2"/>
    <n v="636"/>
    <x v="0"/>
    <n v="0.1761006289308176"/>
    <x v="0"/>
    <n v="1.4883720930232559E-2"/>
    <s v=" Browsers"/>
  </r>
  <r>
    <n v="9914"/>
    <s v="Courtney"/>
    <x v="153"/>
    <d v="2024-12-08T00:00:00"/>
    <n v="11.99"/>
    <n v="44"/>
    <x v="5"/>
    <n v="2"/>
    <n v="1"/>
    <b v="1"/>
    <n v="897"/>
    <n v="62"/>
    <x v="5"/>
    <x v="0"/>
    <x v="4"/>
    <x v="57"/>
    <n v="4.4000000000000004"/>
    <x v="0"/>
    <x v="0"/>
    <x v="184"/>
    <x v="0"/>
    <x v="0"/>
    <x v="3"/>
    <n v="418"/>
    <x v="1"/>
    <n v="0.73684210526315785"/>
    <x v="0"/>
    <n v="4.5881126173096975E-2"/>
    <s v=" Browsers"/>
  </r>
  <r>
    <n v="5045"/>
    <s v="Ashley"/>
    <x v="6"/>
    <d v="2024-11-21T00:00:00"/>
    <n v="11.99"/>
    <n v="100"/>
    <x v="5"/>
    <n v="4"/>
    <n v="1"/>
    <b v="1"/>
    <n v="983"/>
    <n v="191"/>
    <x v="6"/>
    <x v="0"/>
    <x v="2"/>
    <x v="56"/>
    <n v="4.5"/>
    <x v="0"/>
    <x v="0"/>
    <x v="185"/>
    <x v="4"/>
    <x v="2"/>
    <x v="3"/>
    <n v="88"/>
    <x v="1"/>
    <n v="7.954545454545455"/>
    <x v="1"/>
    <n v="8.5178875638841564E-2"/>
    <s v=" Browsers"/>
  </r>
  <r>
    <n v="1379"/>
    <s v="Erin"/>
    <x v="154"/>
    <d v="2024-12-05T00:00:00"/>
    <n v="11.99"/>
    <n v="44"/>
    <x v="1"/>
    <n v="5"/>
    <n v="4"/>
    <b v="1"/>
    <n v="432"/>
    <n v="73"/>
    <x v="2"/>
    <x v="0"/>
    <x v="4"/>
    <x v="51"/>
    <n v="4.5999999999999996"/>
    <x v="0"/>
    <x v="0"/>
    <x v="186"/>
    <x v="3"/>
    <x v="0"/>
    <x v="1"/>
    <n v="596"/>
    <x v="1"/>
    <n v="0.51677852348993292"/>
    <x v="0"/>
    <n v="8.7128712871287123E-2"/>
    <s v=" Browsers"/>
  </r>
  <r>
    <n v="6099"/>
    <s v="Danielle"/>
    <x v="155"/>
    <d v="2024-11-27T00:00:00"/>
    <n v="11.99"/>
    <n v="37"/>
    <x v="5"/>
    <n v="3"/>
    <n v="1"/>
    <b v="1"/>
    <n v="881"/>
    <n v="189"/>
    <x v="1"/>
    <x v="1"/>
    <x v="5"/>
    <x v="7"/>
    <n v="3.9"/>
    <x v="0"/>
    <x v="0"/>
    <x v="187"/>
    <x v="0"/>
    <x v="0"/>
    <x v="2"/>
    <n v="278"/>
    <x v="1"/>
    <n v="0.93165467625899279"/>
    <x v="0"/>
    <n v="3.4579439252336447E-2"/>
    <s v=" Browsers"/>
  </r>
  <r>
    <n v="4696"/>
    <s v="Alexander"/>
    <x v="156"/>
    <d v="2024-12-04T00:00:00"/>
    <n v="15.99"/>
    <n v="48"/>
    <x v="0"/>
    <n v="5"/>
    <n v="2"/>
    <b v="0"/>
    <n v="331"/>
    <n v="93"/>
    <x v="0"/>
    <x v="3"/>
    <x v="5"/>
    <x v="29"/>
    <n v="3.7"/>
    <x v="0"/>
    <x v="0"/>
    <x v="188"/>
    <x v="3"/>
    <x v="1"/>
    <x v="0"/>
    <n v="535"/>
    <x v="2"/>
    <n v="0.62803738317757007"/>
    <x v="0"/>
    <n v="0.11320754716981132"/>
    <s v=" Browsers"/>
  </r>
  <r>
    <n v="4808"/>
    <s v="Amanda"/>
    <x v="157"/>
    <d v="2024-11-27T00:00:00"/>
    <n v="7.99"/>
    <n v="371"/>
    <x v="6"/>
    <n v="1"/>
    <n v="1"/>
    <b v="1"/>
    <n v="819"/>
    <n v="71"/>
    <x v="1"/>
    <x v="0"/>
    <x v="3"/>
    <x v="58"/>
    <n v="4.0999999999999996"/>
    <x v="1"/>
    <x v="0"/>
    <x v="189"/>
    <x v="1"/>
    <x v="3"/>
    <x v="0"/>
    <n v="246"/>
    <x v="0"/>
    <n v="10.556910569105691"/>
    <x v="1"/>
    <n v="0.41685393258426967"/>
    <s v="Viewers"/>
  </r>
  <r>
    <n v="3633"/>
    <s v="Randy"/>
    <x v="158"/>
    <d v="2024-12-18T00:00:00"/>
    <n v="7.99"/>
    <n v="176"/>
    <x v="0"/>
    <n v="5"/>
    <n v="1"/>
    <b v="1"/>
    <n v="936"/>
    <n v="11"/>
    <x v="6"/>
    <x v="3"/>
    <x v="4"/>
    <x v="19"/>
    <n v="3.2"/>
    <x v="0"/>
    <x v="0"/>
    <x v="190"/>
    <x v="0"/>
    <x v="0"/>
    <x v="0"/>
    <n v="8"/>
    <x v="0"/>
    <n v="154"/>
    <x v="2"/>
    <n v="0.18585005279831046"/>
    <s v="Viewers"/>
  </r>
  <r>
    <n v="4979"/>
    <s v="Tony"/>
    <x v="159"/>
    <d v="2024-11-24T00:00:00"/>
    <n v="15.99"/>
    <n v="312"/>
    <x v="1"/>
    <n v="4"/>
    <n v="4"/>
    <b v="0"/>
    <n v="321"/>
    <n v="19"/>
    <x v="4"/>
    <x v="0"/>
    <x v="3"/>
    <x v="57"/>
    <n v="4.3"/>
    <x v="1"/>
    <x v="0"/>
    <x v="191"/>
    <x v="3"/>
    <x v="1"/>
    <x v="1"/>
    <n v="8"/>
    <x v="2"/>
    <n v="273"/>
    <x v="2"/>
    <n v="0.91764705882352937"/>
    <s v="Viewers"/>
  </r>
  <r>
    <n v="2214"/>
    <s v="Michelle"/>
    <x v="160"/>
    <d v="2024-11-24T00:00:00"/>
    <n v="7.99"/>
    <n v="375"/>
    <x v="6"/>
    <n v="1"/>
    <n v="1"/>
    <b v="1"/>
    <n v="244"/>
    <n v="106"/>
    <x v="3"/>
    <x v="0"/>
    <x v="5"/>
    <x v="88"/>
    <n v="3.9"/>
    <x v="1"/>
    <x v="0"/>
    <x v="121"/>
    <x v="0"/>
    <x v="1"/>
    <x v="0"/>
    <n v="34"/>
    <x v="0"/>
    <n v="77.205882352941188"/>
    <x v="2"/>
    <n v="1.0714285714285714"/>
    <s v="Viewers"/>
  </r>
  <r>
    <n v="6606"/>
    <s v="Danielle"/>
    <x v="161"/>
    <d v="2024-11-29T00:00:00"/>
    <n v="15.99"/>
    <n v="134"/>
    <x v="2"/>
    <n v="3"/>
    <n v="5"/>
    <b v="1"/>
    <n v="826"/>
    <n v="160"/>
    <x v="6"/>
    <x v="3"/>
    <x v="4"/>
    <x v="41"/>
    <n v="3.6"/>
    <x v="1"/>
    <x v="0"/>
    <x v="192"/>
    <x v="0"/>
    <x v="1"/>
    <x v="0"/>
    <n v="308"/>
    <x v="2"/>
    <n v="3.0454545454545454"/>
    <x v="0"/>
    <n v="0.13590263691683571"/>
    <s v=" Browsers"/>
  </r>
  <r>
    <n v="4246"/>
    <s v="Jacob"/>
    <x v="162"/>
    <d v="2024-12-15T00:00:00"/>
    <n v="7.99"/>
    <n v="91"/>
    <x v="1"/>
    <n v="5"/>
    <n v="1"/>
    <b v="0"/>
    <n v="159"/>
    <n v="14"/>
    <x v="2"/>
    <x v="0"/>
    <x v="3"/>
    <x v="26"/>
    <n v="4.4000000000000004"/>
    <x v="0"/>
    <x v="0"/>
    <x v="193"/>
    <x v="2"/>
    <x v="0"/>
    <x v="0"/>
    <n v="448"/>
    <x v="0"/>
    <n v="1.421875"/>
    <x v="0"/>
    <n v="0.52601156069364163"/>
    <s v="Viewers"/>
  </r>
  <r>
    <n v="2836"/>
    <s v="Samantha"/>
    <x v="163"/>
    <d v="2024-12-17T00:00:00"/>
    <n v="7.99"/>
    <n v="359"/>
    <x v="4"/>
    <n v="2"/>
    <n v="6"/>
    <b v="0"/>
    <n v="305"/>
    <n v="81"/>
    <x v="4"/>
    <x v="3"/>
    <x v="1"/>
    <x v="72"/>
    <n v="3.3"/>
    <x v="0"/>
    <x v="0"/>
    <x v="194"/>
    <x v="1"/>
    <x v="4"/>
    <x v="2"/>
    <n v="314"/>
    <x v="0"/>
    <n v="8.0031847133757967"/>
    <x v="1"/>
    <n v="0.93005181347150256"/>
    <s v="Viewers"/>
  </r>
  <r>
    <n v="6963"/>
    <s v="Chris"/>
    <x v="164"/>
    <d v="2024-11-29T00:00:00"/>
    <n v="15.99"/>
    <n v="172"/>
    <x v="5"/>
    <n v="2"/>
    <n v="6"/>
    <b v="0"/>
    <n v="841"/>
    <n v="83"/>
    <x v="2"/>
    <x v="0"/>
    <x v="5"/>
    <x v="52"/>
    <n v="5"/>
    <x v="1"/>
    <x v="0"/>
    <x v="195"/>
    <x v="4"/>
    <x v="1"/>
    <x v="1"/>
    <n v="512"/>
    <x v="2"/>
    <n v="2.3515625"/>
    <x v="0"/>
    <n v="0.18614718614718614"/>
    <s v="Viewers"/>
  </r>
  <r>
    <n v="2243"/>
    <s v="Sherri"/>
    <x v="165"/>
    <d v="2024-12-02T00:00:00"/>
    <n v="11.99"/>
    <n v="490"/>
    <x v="5"/>
    <n v="3"/>
    <n v="3"/>
    <b v="1"/>
    <n v="123"/>
    <n v="183"/>
    <x v="6"/>
    <x v="3"/>
    <x v="1"/>
    <x v="30"/>
    <n v="4.4000000000000004"/>
    <x v="0"/>
    <x v="0"/>
    <x v="196"/>
    <x v="1"/>
    <x v="2"/>
    <x v="1"/>
    <n v="138"/>
    <x v="1"/>
    <n v="24.855072463768114"/>
    <x v="2"/>
    <n v="1.6013071895424837"/>
    <s v="Viewers"/>
  </r>
  <r>
    <n v="5081"/>
    <s v="Angela"/>
    <x v="166"/>
    <d v="2024-11-20T00:00:00"/>
    <n v="11.99"/>
    <n v="16"/>
    <x v="6"/>
    <n v="1"/>
    <n v="5"/>
    <b v="1"/>
    <n v="803"/>
    <n v="196"/>
    <x v="4"/>
    <x v="3"/>
    <x v="0"/>
    <x v="9"/>
    <n v="4.3"/>
    <x v="1"/>
    <x v="0"/>
    <x v="197"/>
    <x v="2"/>
    <x v="3"/>
    <x v="0"/>
    <n v="24"/>
    <x v="1"/>
    <n v="4.666666666666667"/>
    <x v="0"/>
    <n v="1.6016016016016016E-2"/>
    <s v=" Browsers"/>
  </r>
  <r>
    <n v="4171"/>
    <s v="John"/>
    <x v="167"/>
    <d v="2024-12-14T00:00:00"/>
    <n v="11.99"/>
    <n v="291"/>
    <x v="2"/>
    <n v="2"/>
    <n v="1"/>
    <b v="1"/>
    <n v="380"/>
    <n v="106"/>
    <x v="1"/>
    <x v="0"/>
    <x v="3"/>
    <x v="46"/>
    <n v="4.0999999999999996"/>
    <x v="0"/>
    <x v="0"/>
    <x v="198"/>
    <x v="2"/>
    <x v="3"/>
    <x v="1"/>
    <n v="163"/>
    <x v="1"/>
    <n v="12.496932515337424"/>
    <x v="1"/>
    <n v="0.59876543209876543"/>
    <s v="Viewers"/>
  </r>
  <r>
    <n v="7399"/>
    <s v="Katherine"/>
    <x v="168"/>
    <d v="2024-12-09T00:00:00"/>
    <n v="11.99"/>
    <n v="119"/>
    <x v="6"/>
    <n v="2"/>
    <n v="5"/>
    <b v="1"/>
    <n v="344"/>
    <n v="93"/>
    <x v="5"/>
    <x v="1"/>
    <x v="0"/>
    <x v="13"/>
    <n v="4.2"/>
    <x v="0"/>
    <x v="0"/>
    <x v="199"/>
    <x v="4"/>
    <x v="3"/>
    <x v="0"/>
    <n v="118"/>
    <x v="1"/>
    <n v="7.0593220338983045"/>
    <x v="1"/>
    <n v="0.27231121281464532"/>
    <s v="Viewers"/>
  </r>
  <r>
    <n v="1110"/>
    <s v="April"/>
    <x v="169"/>
    <d v="2024-12-04T00:00:00"/>
    <n v="11.99"/>
    <n v="35"/>
    <x v="0"/>
    <n v="2"/>
    <n v="3"/>
    <b v="1"/>
    <n v="908"/>
    <n v="128"/>
    <x v="0"/>
    <x v="0"/>
    <x v="3"/>
    <x v="89"/>
    <n v="3.2"/>
    <x v="1"/>
    <x v="0"/>
    <x v="200"/>
    <x v="4"/>
    <x v="0"/>
    <x v="1"/>
    <n v="213"/>
    <x v="1"/>
    <n v="1.1502347417840375"/>
    <x v="0"/>
    <n v="3.3783783783783786E-2"/>
    <s v=" Browsers"/>
  </r>
  <r>
    <n v="5630"/>
    <s v="Francis"/>
    <x v="170"/>
    <d v="2024-11-24T00:00:00"/>
    <n v="7.99"/>
    <n v="88"/>
    <x v="1"/>
    <n v="4"/>
    <n v="6"/>
    <b v="1"/>
    <n v="782"/>
    <n v="180"/>
    <x v="0"/>
    <x v="1"/>
    <x v="5"/>
    <x v="89"/>
    <n v="5"/>
    <x v="1"/>
    <x v="0"/>
    <x v="201"/>
    <x v="2"/>
    <x v="3"/>
    <x v="0"/>
    <n v="356"/>
    <x v="0"/>
    <n v="1.7303370786516854"/>
    <x v="0"/>
    <n v="9.1476091476091481E-2"/>
    <s v=" Browsers"/>
  </r>
  <r>
    <n v="9430"/>
    <s v="Katie"/>
    <x v="143"/>
    <d v="2024-11-21T00:00:00"/>
    <n v="7.99"/>
    <n v="312"/>
    <x v="2"/>
    <n v="4"/>
    <n v="1"/>
    <b v="0"/>
    <n v="769"/>
    <n v="140"/>
    <x v="2"/>
    <x v="1"/>
    <x v="2"/>
    <x v="43"/>
    <n v="4.8"/>
    <x v="1"/>
    <x v="0"/>
    <x v="202"/>
    <x v="2"/>
    <x v="3"/>
    <x v="1"/>
    <n v="384"/>
    <x v="0"/>
    <n v="5.6875"/>
    <x v="1"/>
    <n v="0.34323432343234322"/>
    <s v="Viewers"/>
  </r>
  <r>
    <n v="7436"/>
    <s v="Natasha"/>
    <x v="171"/>
    <d v="2024-12-17T00:00:00"/>
    <n v="15.99"/>
    <n v="238"/>
    <x v="2"/>
    <n v="4"/>
    <n v="1"/>
    <b v="1"/>
    <n v="233"/>
    <n v="102"/>
    <x v="1"/>
    <x v="1"/>
    <x v="0"/>
    <x v="18"/>
    <n v="3.1"/>
    <x v="0"/>
    <x v="0"/>
    <x v="203"/>
    <x v="2"/>
    <x v="4"/>
    <x v="0"/>
    <n v="299"/>
    <x v="2"/>
    <n v="5.5719063545150505"/>
    <x v="1"/>
    <n v="0.71044776119402986"/>
    <s v="Viewers"/>
  </r>
  <r>
    <n v="2147"/>
    <s v="Julie"/>
    <x v="126"/>
    <d v="2024-12-11T00:00:00"/>
    <n v="11.99"/>
    <n v="132"/>
    <x v="0"/>
    <n v="4"/>
    <n v="6"/>
    <b v="1"/>
    <n v="170"/>
    <n v="164"/>
    <x v="6"/>
    <x v="1"/>
    <x v="4"/>
    <x v="5"/>
    <n v="3.3"/>
    <x v="1"/>
    <x v="0"/>
    <x v="204"/>
    <x v="3"/>
    <x v="3"/>
    <x v="2"/>
    <n v="334"/>
    <x v="1"/>
    <n v="2.7664670658682633"/>
    <x v="0"/>
    <n v="0.39520958083832336"/>
    <s v="Viewers"/>
  </r>
  <r>
    <n v="3264"/>
    <s v="Brittany"/>
    <x v="172"/>
    <d v="2024-12-09T00:00:00"/>
    <n v="11.99"/>
    <n v="456"/>
    <x v="5"/>
    <n v="1"/>
    <n v="6"/>
    <b v="1"/>
    <n v="945"/>
    <n v="114"/>
    <x v="2"/>
    <x v="2"/>
    <x v="1"/>
    <x v="52"/>
    <n v="3"/>
    <x v="0"/>
    <x v="0"/>
    <x v="205"/>
    <x v="0"/>
    <x v="4"/>
    <x v="0"/>
    <n v="575"/>
    <x v="1"/>
    <n v="5.5513043478260871"/>
    <x v="1"/>
    <n v="0.43059490084985835"/>
    <s v="Viewers"/>
  </r>
  <r>
    <n v="1214"/>
    <s v="Jaime"/>
    <x v="173"/>
    <d v="2024-12-11T00:00:00"/>
    <n v="11.99"/>
    <n v="281"/>
    <x v="0"/>
    <n v="5"/>
    <n v="6"/>
    <b v="1"/>
    <n v="945"/>
    <n v="108"/>
    <x v="5"/>
    <x v="0"/>
    <x v="4"/>
    <x v="25"/>
    <n v="3.8"/>
    <x v="1"/>
    <x v="0"/>
    <x v="206"/>
    <x v="3"/>
    <x v="2"/>
    <x v="3"/>
    <n v="552"/>
    <x v="1"/>
    <n v="3.5634057971014492"/>
    <x v="0"/>
    <n v="0.26685660018993351"/>
    <s v="Viewers"/>
  </r>
  <r>
    <n v="6050"/>
    <s v="Emma"/>
    <x v="174"/>
    <d v="2024-11-23T00:00:00"/>
    <n v="11.99"/>
    <n v="281"/>
    <x v="4"/>
    <n v="5"/>
    <n v="3"/>
    <b v="0"/>
    <n v="217"/>
    <n v="162"/>
    <x v="0"/>
    <x v="1"/>
    <x v="2"/>
    <x v="13"/>
    <n v="3.4"/>
    <x v="0"/>
    <x v="0"/>
    <x v="207"/>
    <x v="0"/>
    <x v="3"/>
    <x v="0"/>
    <n v="107"/>
    <x v="1"/>
    <n v="18.383177570093459"/>
    <x v="2"/>
    <n v="0.74142480211081796"/>
    <s v="Viewers"/>
  </r>
  <r>
    <n v="7395"/>
    <s v="Stephanie"/>
    <x v="66"/>
    <d v="2024-12-05T00:00:00"/>
    <n v="11.99"/>
    <n v="73"/>
    <x v="0"/>
    <n v="1"/>
    <n v="1"/>
    <b v="1"/>
    <n v="664"/>
    <n v="123"/>
    <x v="4"/>
    <x v="1"/>
    <x v="1"/>
    <x v="85"/>
    <n v="4.4000000000000004"/>
    <x v="1"/>
    <x v="0"/>
    <x v="208"/>
    <x v="2"/>
    <x v="1"/>
    <x v="0"/>
    <n v="375"/>
    <x v="1"/>
    <n v="1.3626666666666667"/>
    <x v="0"/>
    <n v="9.2757306226175354E-2"/>
    <s v=" Browsers"/>
  </r>
  <r>
    <n v="3904"/>
    <s v="John"/>
    <x v="48"/>
    <d v="2024-12-09T00:00:00"/>
    <n v="11.99"/>
    <n v="365"/>
    <x v="4"/>
    <n v="3"/>
    <n v="1"/>
    <b v="1"/>
    <n v="679"/>
    <n v="1"/>
    <x v="6"/>
    <x v="1"/>
    <x v="5"/>
    <x v="90"/>
    <n v="4.7"/>
    <x v="0"/>
    <x v="0"/>
    <x v="209"/>
    <x v="4"/>
    <x v="0"/>
    <x v="1"/>
    <n v="174"/>
    <x v="1"/>
    <n v="14.683908045977011"/>
    <x v="1"/>
    <n v="0.53676470588235292"/>
    <s v="Viewers"/>
  </r>
  <r>
    <n v="6545"/>
    <s v="Elizabeth"/>
    <x v="21"/>
    <d v="2024-12-08T00:00:00"/>
    <n v="7.99"/>
    <n v="61"/>
    <x v="1"/>
    <n v="1"/>
    <n v="5"/>
    <b v="1"/>
    <n v="242"/>
    <n v="200"/>
    <x v="5"/>
    <x v="3"/>
    <x v="2"/>
    <x v="56"/>
    <n v="4.8"/>
    <x v="1"/>
    <x v="0"/>
    <x v="210"/>
    <x v="3"/>
    <x v="0"/>
    <x v="0"/>
    <n v="178"/>
    <x v="0"/>
    <n v="2.398876404494382"/>
    <x v="0"/>
    <n v="0.13800904977375567"/>
    <s v=" Browsers"/>
  </r>
  <r>
    <n v="3131"/>
    <s v="James"/>
    <x v="175"/>
    <d v="2024-11-21T00:00:00"/>
    <n v="15.99"/>
    <n v="399"/>
    <x v="2"/>
    <n v="3"/>
    <n v="5"/>
    <b v="0"/>
    <n v="541"/>
    <n v="158"/>
    <x v="2"/>
    <x v="1"/>
    <x v="5"/>
    <x v="69"/>
    <n v="4.9000000000000004"/>
    <x v="1"/>
    <x v="0"/>
    <x v="211"/>
    <x v="3"/>
    <x v="4"/>
    <x v="2"/>
    <n v="529"/>
    <x v="2"/>
    <n v="5.279773156899811"/>
    <x v="1"/>
    <n v="0.57081545064377681"/>
    <s v="Viewers"/>
  </r>
  <r>
    <n v="8589"/>
    <s v="Kayla"/>
    <x v="176"/>
    <d v="2024-11-20T00:00:00"/>
    <n v="11.99"/>
    <n v="102"/>
    <x v="6"/>
    <n v="2"/>
    <n v="1"/>
    <b v="1"/>
    <n v="108"/>
    <n v="105"/>
    <x v="6"/>
    <x v="0"/>
    <x v="4"/>
    <x v="24"/>
    <n v="4.7"/>
    <x v="0"/>
    <x v="0"/>
    <x v="212"/>
    <x v="1"/>
    <x v="0"/>
    <x v="3"/>
    <n v="671"/>
    <x v="1"/>
    <n v="1.0640834575260805"/>
    <x v="0"/>
    <n v="0.47887323943661969"/>
    <s v="Viewers"/>
  </r>
  <r>
    <n v="2908"/>
    <s v="Anthony"/>
    <x v="105"/>
    <d v="2024-11-22T00:00:00"/>
    <n v="11.99"/>
    <n v="88"/>
    <x v="2"/>
    <n v="4"/>
    <n v="2"/>
    <b v="1"/>
    <n v="343"/>
    <n v="163"/>
    <x v="6"/>
    <x v="3"/>
    <x v="1"/>
    <x v="83"/>
    <n v="5"/>
    <x v="1"/>
    <x v="0"/>
    <x v="213"/>
    <x v="2"/>
    <x v="4"/>
    <x v="1"/>
    <n v="57"/>
    <x v="1"/>
    <n v="10.807017543859649"/>
    <x v="1"/>
    <n v="0.17391304347826086"/>
    <s v="Viewers"/>
  </r>
  <r>
    <n v="5209"/>
    <s v="Melissa"/>
    <x v="177"/>
    <d v="2024-11-19T00:00:00"/>
    <n v="11.99"/>
    <n v="92"/>
    <x v="6"/>
    <n v="5"/>
    <n v="3"/>
    <b v="1"/>
    <n v="477"/>
    <n v="38"/>
    <x v="6"/>
    <x v="2"/>
    <x v="4"/>
    <x v="5"/>
    <n v="3.9"/>
    <x v="1"/>
    <x v="0"/>
    <x v="214"/>
    <x v="0"/>
    <x v="3"/>
    <x v="1"/>
    <n v="559"/>
    <x v="1"/>
    <n v="1.1520572450805009"/>
    <x v="0"/>
    <n v="0.17864077669902911"/>
    <s v="Viewers"/>
  </r>
  <r>
    <n v="2319"/>
    <s v="Natalie"/>
    <x v="178"/>
    <d v="2024-11-20T00:00:00"/>
    <n v="15.99"/>
    <n v="295"/>
    <x v="1"/>
    <n v="5"/>
    <n v="4"/>
    <b v="0"/>
    <n v="767"/>
    <n v="190"/>
    <x v="6"/>
    <x v="2"/>
    <x v="3"/>
    <x v="34"/>
    <n v="4.0999999999999996"/>
    <x v="0"/>
    <x v="0"/>
    <x v="215"/>
    <x v="0"/>
    <x v="0"/>
    <x v="1"/>
    <n v="538"/>
    <x v="2"/>
    <n v="3.8382899628252787"/>
    <x v="0"/>
    <n v="0.30825496342737724"/>
    <s v="Viewers"/>
  </r>
  <r>
    <n v="9026"/>
    <s v="Courtney"/>
    <x v="179"/>
    <d v="2024-11-22T00:00:00"/>
    <n v="11.99"/>
    <n v="139"/>
    <x v="5"/>
    <n v="1"/>
    <n v="5"/>
    <b v="1"/>
    <n v="12"/>
    <n v="9"/>
    <x v="2"/>
    <x v="2"/>
    <x v="3"/>
    <x v="68"/>
    <n v="4.8"/>
    <x v="1"/>
    <x v="0"/>
    <x v="216"/>
    <x v="4"/>
    <x v="0"/>
    <x v="1"/>
    <n v="203"/>
    <x v="1"/>
    <n v="4.7931034482758621"/>
    <x v="0"/>
    <n v="6.6190476190476186"/>
    <s v="Viewers"/>
  </r>
  <r>
    <n v="2723"/>
    <s v="Briana"/>
    <x v="46"/>
    <d v="2024-11-24T00:00:00"/>
    <n v="15.99"/>
    <n v="416"/>
    <x v="0"/>
    <n v="1"/>
    <n v="2"/>
    <b v="1"/>
    <n v="920"/>
    <n v="79"/>
    <x v="3"/>
    <x v="1"/>
    <x v="5"/>
    <x v="66"/>
    <n v="4.4000000000000004"/>
    <x v="0"/>
    <x v="0"/>
    <x v="217"/>
    <x v="0"/>
    <x v="4"/>
    <x v="1"/>
    <n v="450"/>
    <x v="2"/>
    <n v="6.4711111111111101"/>
    <x v="1"/>
    <n v="0.41641641641641641"/>
    <s v="Viewers"/>
  </r>
  <r>
    <n v="5487"/>
    <s v="Lisa"/>
    <x v="180"/>
    <d v="2024-12-16T00:00:00"/>
    <n v="7.99"/>
    <n v="173"/>
    <x v="5"/>
    <n v="2"/>
    <n v="2"/>
    <b v="0"/>
    <n v="819"/>
    <n v="174"/>
    <x v="0"/>
    <x v="0"/>
    <x v="0"/>
    <x v="91"/>
    <n v="4.0999999999999996"/>
    <x v="0"/>
    <x v="0"/>
    <x v="218"/>
    <x v="3"/>
    <x v="1"/>
    <x v="1"/>
    <n v="266"/>
    <x v="0"/>
    <n v="4.5526315789473681"/>
    <x v="0"/>
    <n v="0.17421953675730112"/>
    <s v="Viewers"/>
  </r>
  <r>
    <n v="4656"/>
    <s v="Kayla"/>
    <x v="181"/>
    <d v="2024-11-29T00:00:00"/>
    <n v="7.99"/>
    <n v="75"/>
    <x v="0"/>
    <n v="3"/>
    <n v="5"/>
    <b v="0"/>
    <n v="607"/>
    <n v="94"/>
    <x v="1"/>
    <x v="3"/>
    <x v="1"/>
    <x v="10"/>
    <n v="3.8"/>
    <x v="1"/>
    <x v="0"/>
    <x v="219"/>
    <x v="2"/>
    <x v="1"/>
    <x v="3"/>
    <n v="557"/>
    <x v="0"/>
    <n v="0.9425493716337523"/>
    <x v="0"/>
    <n v="0.10699001426533523"/>
    <s v=" Browsers"/>
  </r>
  <r>
    <n v="5718"/>
    <s v="Bradley"/>
    <x v="182"/>
    <d v="2024-11-28T00:00:00"/>
    <n v="15.99"/>
    <n v="173"/>
    <x v="2"/>
    <n v="1"/>
    <n v="6"/>
    <b v="1"/>
    <n v="346"/>
    <n v="76"/>
    <x v="1"/>
    <x v="0"/>
    <x v="3"/>
    <x v="72"/>
    <n v="3.3"/>
    <x v="0"/>
    <x v="0"/>
    <x v="220"/>
    <x v="0"/>
    <x v="3"/>
    <x v="3"/>
    <n v="167"/>
    <x v="2"/>
    <n v="7.2514970059880239"/>
    <x v="1"/>
    <n v="0.4099526066350711"/>
    <s v="Viewers"/>
  </r>
  <r>
    <n v="1215"/>
    <s v="Devin"/>
    <x v="183"/>
    <d v="2024-11-27T00:00:00"/>
    <n v="7.99"/>
    <n v="421"/>
    <x v="3"/>
    <n v="3"/>
    <n v="1"/>
    <b v="1"/>
    <n v="668"/>
    <n v="17"/>
    <x v="1"/>
    <x v="2"/>
    <x v="3"/>
    <x v="34"/>
    <n v="4"/>
    <x v="1"/>
    <x v="0"/>
    <x v="221"/>
    <x v="4"/>
    <x v="1"/>
    <x v="1"/>
    <n v="468"/>
    <x v="0"/>
    <n v="6.2970085470085468"/>
    <x v="1"/>
    <n v="0.61459854014598536"/>
    <s v="Viewers"/>
  </r>
  <r>
    <n v="3427"/>
    <s v="Eric"/>
    <x v="184"/>
    <d v="2024-12-07T00:00:00"/>
    <n v="15.99"/>
    <n v="29"/>
    <x v="2"/>
    <n v="5"/>
    <n v="2"/>
    <b v="1"/>
    <n v="317"/>
    <n v="116"/>
    <x v="0"/>
    <x v="2"/>
    <x v="1"/>
    <x v="18"/>
    <n v="3.8"/>
    <x v="1"/>
    <x v="0"/>
    <x v="222"/>
    <x v="4"/>
    <x v="1"/>
    <x v="2"/>
    <n v="363"/>
    <x v="2"/>
    <n v="0.55922865013774103"/>
    <x v="0"/>
    <n v="6.6974595842956119E-2"/>
    <s v=" Browsers"/>
  </r>
  <r>
    <n v="2428"/>
    <s v="Brian"/>
    <x v="185"/>
    <d v="2024-11-21T00:00:00"/>
    <n v="7.99"/>
    <n v="180"/>
    <x v="5"/>
    <n v="2"/>
    <n v="4"/>
    <b v="1"/>
    <n v="297"/>
    <n v="19"/>
    <x v="6"/>
    <x v="2"/>
    <x v="0"/>
    <x v="0"/>
    <n v="4.9000000000000004"/>
    <x v="0"/>
    <x v="0"/>
    <x v="223"/>
    <x v="0"/>
    <x v="2"/>
    <x v="3"/>
    <n v="268"/>
    <x v="0"/>
    <n v="4.7014925373134329"/>
    <x v="0"/>
    <n v="0.569620253164557"/>
    <s v="Viewers"/>
  </r>
  <r>
    <n v="1947"/>
    <s v="Ann"/>
    <x v="186"/>
    <d v="2024-11-24T00:00:00"/>
    <n v="11.99"/>
    <n v="469"/>
    <x v="0"/>
    <n v="4"/>
    <n v="6"/>
    <b v="1"/>
    <n v="866"/>
    <n v="120"/>
    <x v="1"/>
    <x v="2"/>
    <x v="4"/>
    <x v="92"/>
    <n v="3.6"/>
    <x v="1"/>
    <x v="0"/>
    <x v="224"/>
    <x v="2"/>
    <x v="2"/>
    <x v="0"/>
    <n v="84"/>
    <x v="1"/>
    <n v="39.083333333333336"/>
    <x v="2"/>
    <n v="0.47565922920892495"/>
    <s v="Viewers"/>
  </r>
  <r>
    <n v="5036"/>
    <s v="Andrew"/>
    <x v="187"/>
    <d v="2024-11-29T00:00:00"/>
    <n v="15.99"/>
    <n v="381"/>
    <x v="4"/>
    <n v="5"/>
    <n v="1"/>
    <b v="1"/>
    <n v="286"/>
    <n v="121"/>
    <x v="1"/>
    <x v="3"/>
    <x v="5"/>
    <x v="10"/>
    <n v="4.0999999999999996"/>
    <x v="1"/>
    <x v="0"/>
    <x v="225"/>
    <x v="0"/>
    <x v="2"/>
    <x v="3"/>
    <n v="105"/>
    <x v="2"/>
    <n v="25.4"/>
    <x v="2"/>
    <n v="0.93611793611793614"/>
    <s v="Viewers"/>
  </r>
  <r>
    <n v="5857"/>
    <s v="Jennifer"/>
    <x v="188"/>
    <d v="2024-12-15T00:00:00"/>
    <n v="15.99"/>
    <n v="263"/>
    <x v="4"/>
    <n v="5"/>
    <n v="5"/>
    <b v="0"/>
    <n v="95"/>
    <n v="149"/>
    <x v="5"/>
    <x v="2"/>
    <x v="5"/>
    <x v="71"/>
    <n v="4"/>
    <x v="1"/>
    <x v="0"/>
    <x v="226"/>
    <x v="2"/>
    <x v="4"/>
    <x v="3"/>
    <n v="10"/>
    <x v="2"/>
    <n v="184.1"/>
    <x v="2"/>
    <n v="1.0778688524590163"/>
    <s v="Viewers"/>
  </r>
  <r>
    <n v="8770"/>
    <s v="Mark"/>
    <x v="189"/>
    <d v="2024-11-21T00:00:00"/>
    <n v="7.99"/>
    <n v="48"/>
    <x v="1"/>
    <n v="4"/>
    <n v="2"/>
    <b v="0"/>
    <n v="938"/>
    <n v="92"/>
    <x v="1"/>
    <x v="3"/>
    <x v="5"/>
    <x v="33"/>
    <n v="4.2"/>
    <x v="1"/>
    <x v="0"/>
    <x v="227"/>
    <x v="2"/>
    <x v="4"/>
    <x v="0"/>
    <n v="467"/>
    <x v="0"/>
    <n v="0.71948608137044978"/>
    <x v="0"/>
    <n v="4.6601941747572817E-2"/>
    <s v=" Browsers"/>
  </r>
  <r>
    <n v="4118"/>
    <s v="Valerie"/>
    <x v="190"/>
    <d v="2024-11-19T00:00:00"/>
    <n v="11.99"/>
    <n v="447"/>
    <x v="3"/>
    <n v="3"/>
    <n v="4"/>
    <b v="0"/>
    <n v="264"/>
    <n v="55"/>
    <x v="4"/>
    <x v="0"/>
    <x v="2"/>
    <x v="27"/>
    <n v="3.6"/>
    <x v="0"/>
    <x v="0"/>
    <x v="228"/>
    <x v="0"/>
    <x v="4"/>
    <x v="3"/>
    <n v="553"/>
    <x v="1"/>
    <n v="5.6582278481012658"/>
    <x v="1"/>
    <n v="1.4012539184952979"/>
    <s v="Viewers"/>
  </r>
  <r>
    <n v="7162"/>
    <s v="Carrie"/>
    <x v="78"/>
    <d v="2024-12-14T00:00:00"/>
    <n v="15.99"/>
    <n v="415"/>
    <x v="2"/>
    <n v="1"/>
    <n v="3"/>
    <b v="1"/>
    <n v="44"/>
    <n v="10"/>
    <x v="6"/>
    <x v="1"/>
    <x v="5"/>
    <x v="23"/>
    <n v="3.3"/>
    <x v="0"/>
    <x v="0"/>
    <x v="229"/>
    <x v="2"/>
    <x v="4"/>
    <x v="3"/>
    <n v="115"/>
    <x v="2"/>
    <n v="25.260869565217394"/>
    <x v="2"/>
    <n v="7.6851851851851851"/>
    <s v="Viewers"/>
  </r>
  <r>
    <n v="9278"/>
    <s v="Joseph"/>
    <x v="191"/>
    <d v="2024-12-14T00:00:00"/>
    <n v="7.99"/>
    <n v="429"/>
    <x v="1"/>
    <n v="5"/>
    <n v="4"/>
    <b v="0"/>
    <n v="944"/>
    <n v="165"/>
    <x v="6"/>
    <x v="0"/>
    <x v="5"/>
    <x v="32"/>
    <n v="4.7"/>
    <x v="1"/>
    <x v="0"/>
    <x v="230"/>
    <x v="4"/>
    <x v="3"/>
    <x v="2"/>
    <n v="86"/>
    <x v="0"/>
    <n v="34.918604651162788"/>
    <x v="2"/>
    <n v="0.38683498647430115"/>
    <s v="Viewers"/>
  </r>
  <r>
    <n v="5406"/>
    <s v="Randall"/>
    <x v="192"/>
    <d v="2024-12-07T00:00:00"/>
    <n v="7.99"/>
    <n v="26"/>
    <x v="1"/>
    <n v="5"/>
    <n v="5"/>
    <b v="0"/>
    <n v="542"/>
    <n v="152"/>
    <x v="1"/>
    <x v="2"/>
    <x v="2"/>
    <x v="65"/>
    <n v="3.1"/>
    <x v="0"/>
    <x v="0"/>
    <x v="231"/>
    <x v="0"/>
    <x v="2"/>
    <x v="2"/>
    <n v="56"/>
    <x v="0"/>
    <n v="3.25"/>
    <x v="0"/>
    <n v="3.7463976945244955E-2"/>
    <s v=" Browsers"/>
  </r>
  <r>
    <n v="4641"/>
    <s v="Danielle"/>
    <x v="193"/>
    <d v="2024-12-08T00:00:00"/>
    <n v="15.99"/>
    <n v="101"/>
    <x v="6"/>
    <n v="4"/>
    <n v="6"/>
    <b v="1"/>
    <n v="350"/>
    <n v="17"/>
    <x v="4"/>
    <x v="0"/>
    <x v="2"/>
    <x v="17"/>
    <n v="3.4"/>
    <x v="1"/>
    <x v="0"/>
    <x v="232"/>
    <x v="4"/>
    <x v="0"/>
    <x v="3"/>
    <n v="87"/>
    <x v="2"/>
    <n v="8.1264367816091951"/>
    <x v="1"/>
    <n v="0.27520435967302453"/>
    <s v="Viewers"/>
  </r>
  <r>
    <n v="3969"/>
    <s v="Katie"/>
    <x v="194"/>
    <d v="2024-12-12T00:00:00"/>
    <n v="15.99"/>
    <n v="461"/>
    <x v="2"/>
    <n v="2"/>
    <n v="6"/>
    <b v="1"/>
    <n v="31"/>
    <n v="173"/>
    <x v="1"/>
    <x v="0"/>
    <x v="3"/>
    <x v="0"/>
    <n v="3.5"/>
    <x v="1"/>
    <x v="0"/>
    <x v="233"/>
    <x v="4"/>
    <x v="1"/>
    <x v="2"/>
    <n v="569"/>
    <x v="2"/>
    <n v="5.6713532513181013"/>
    <x v="1"/>
    <n v="2.2598039215686274"/>
    <s v="Viewers"/>
  </r>
  <r>
    <n v="3078"/>
    <s v="Victor"/>
    <x v="60"/>
    <d v="2024-12-14T00:00:00"/>
    <n v="7.99"/>
    <n v="246"/>
    <x v="0"/>
    <n v="3"/>
    <n v="3"/>
    <b v="0"/>
    <n v="358"/>
    <n v="158"/>
    <x v="5"/>
    <x v="2"/>
    <x v="0"/>
    <x v="57"/>
    <n v="3.8"/>
    <x v="0"/>
    <x v="0"/>
    <x v="234"/>
    <x v="2"/>
    <x v="2"/>
    <x v="3"/>
    <n v="539"/>
    <x v="0"/>
    <n v="3.1948051948051948"/>
    <x v="0"/>
    <n v="0.47674418604651164"/>
    <s v="Viewers"/>
  </r>
  <r>
    <n v="2808"/>
    <s v="Jonathan"/>
    <x v="195"/>
    <d v="2024-12-14T00:00:00"/>
    <n v="15.99"/>
    <n v="91"/>
    <x v="4"/>
    <n v="3"/>
    <n v="6"/>
    <b v="0"/>
    <n v="961"/>
    <n v="170"/>
    <x v="0"/>
    <x v="0"/>
    <x v="2"/>
    <x v="62"/>
    <n v="4.2"/>
    <x v="0"/>
    <x v="0"/>
    <x v="235"/>
    <x v="2"/>
    <x v="1"/>
    <x v="3"/>
    <n v="398"/>
    <x v="2"/>
    <n v="1.6005025125628141"/>
    <x v="0"/>
    <n v="8.0459770114942528E-2"/>
    <s v=" Browsers"/>
  </r>
  <r>
    <n v="7484"/>
    <s v="Bradley"/>
    <x v="122"/>
    <d v="2024-12-08T00:00:00"/>
    <n v="11.99"/>
    <n v="152"/>
    <x v="6"/>
    <n v="5"/>
    <n v="1"/>
    <b v="0"/>
    <n v="623"/>
    <n v="180"/>
    <x v="1"/>
    <x v="3"/>
    <x v="5"/>
    <x v="83"/>
    <n v="4.5"/>
    <x v="1"/>
    <x v="0"/>
    <x v="236"/>
    <x v="0"/>
    <x v="1"/>
    <x v="0"/>
    <n v="17"/>
    <x v="1"/>
    <n v="62.588235294117652"/>
    <x v="2"/>
    <n v="0.18929016189290163"/>
    <s v="Viewers"/>
  </r>
  <r>
    <n v="2396"/>
    <s v="Christopher"/>
    <x v="9"/>
    <d v="2024-11-25T00:00:00"/>
    <n v="11.99"/>
    <n v="283"/>
    <x v="0"/>
    <n v="3"/>
    <n v="5"/>
    <b v="0"/>
    <n v="466"/>
    <n v="139"/>
    <x v="2"/>
    <x v="0"/>
    <x v="0"/>
    <x v="12"/>
    <n v="4"/>
    <x v="1"/>
    <x v="0"/>
    <x v="237"/>
    <x v="3"/>
    <x v="0"/>
    <x v="1"/>
    <n v="359"/>
    <x v="1"/>
    <n v="5.5181058495821729"/>
    <x v="1"/>
    <n v="0.46776859504132229"/>
    <s v="Viewers"/>
  </r>
  <r>
    <n v="2472"/>
    <s v="Angela"/>
    <x v="196"/>
    <d v="2024-11-25T00:00:00"/>
    <n v="7.99"/>
    <n v="61"/>
    <x v="5"/>
    <n v="3"/>
    <n v="4"/>
    <b v="0"/>
    <n v="860"/>
    <n v="145"/>
    <x v="3"/>
    <x v="1"/>
    <x v="3"/>
    <x v="45"/>
    <n v="4.7"/>
    <x v="1"/>
    <x v="0"/>
    <x v="238"/>
    <x v="4"/>
    <x v="4"/>
    <x v="0"/>
    <n v="373"/>
    <x v="0"/>
    <n v="1.1447721179624666"/>
    <x v="0"/>
    <n v="6.0696517412935323E-2"/>
    <s v=" Browsers"/>
  </r>
  <r>
    <n v="7939"/>
    <s v="Richard"/>
    <x v="197"/>
    <d v="2024-11-25T00:00:00"/>
    <n v="11.99"/>
    <n v="410"/>
    <x v="5"/>
    <n v="5"/>
    <n v="6"/>
    <b v="0"/>
    <n v="410"/>
    <n v="125"/>
    <x v="6"/>
    <x v="0"/>
    <x v="1"/>
    <x v="53"/>
    <n v="4.7"/>
    <x v="0"/>
    <x v="0"/>
    <x v="239"/>
    <x v="1"/>
    <x v="1"/>
    <x v="2"/>
    <n v="444"/>
    <x v="1"/>
    <n v="6.4639639639639634"/>
    <x v="1"/>
    <n v="0.76635514018691586"/>
    <s v="Viewers"/>
  </r>
  <r>
    <n v="8269"/>
    <s v="Jennifer"/>
    <x v="198"/>
    <d v="2024-12-17T00:00:00"/>
    <n v="7.99"/>
    <n v="88"/>
    <x v="0"/>
    <n v="3"/>
    <n v="1"/>
    <b v="0"/>
    <n v="69"/>
    <n v="75"/>
    <x v="3"/>
    <x v="2"/>
    <x v="1"/>
    <x v="54"/>
    <n v="4.0999999999999996"/>
    <x v="0"/>
    <x v="0"/>
    <x v="240"/>
    <x v="2"/>
    <x v="4"/>
    <x v="1"/>
    <n v="295"/>
    <x v="0"/>
    <n v="2.0881355932203389"/>
    <x v="0"/>
    <n v="0.61111111111111116"/>
    <s v="Viewers"/>
  </r>
  <r>
    <n v="9073"/>
    <s v="Tiffany"/>
    <x v="199"/>
    <d v="2024-12-09T00:00:00"/>
    <n v="15.99"/>
    <n v="322"/>
    <x v="3"/>
    <n v="3"/>
    <n v="4"/>
    <b v="1"/>
    <n v="424"/>
    <n v="74"/>
    <x v="4"/>
    <x v="2"/>
    <x v="5"/>
    <x v="20"/>
    <n v="3"/>
    <x v="0"/>
    <x v="0"/>
    <x v="241"/>
    <x v="4"/>
    <x v="3"/>
    <x v="1"/>
    <n v="517"/>
    <x v="2"/>
    <n v="4.3597678916827851"/>
    <x v="0"/>
    <n v="0.64658634538152615"/>
    <s v="Viewers"/>
  </r>
  <r>
    <n v="9879"/>
    <s v="Jessica"/>
    <x v="200"/>
    <d v="2024-12-04T00:00:00"/>
    <n v="7.99"/>
    <n v="217"/>
    <x v="4"/>
    <n v="3"/>
    <n v="3"/>
    <b v="0"/>
    <n v="377"/>
    <n v="136"/>
    <x v="1"/>
    <x v="0"/>
    <x v="2"/>
    <x v="39"/>
    <n v="4.2"/>
    <x v="1"/>
    <x v="0"/>
    <x v="242"/>
    <x v="4"/>
    <x v="1"/>
    <x v="0"/>
    <n v="671"/>
    <x v="0"/>
    <n v="2.2637853949329356"/>
    <x v="0"/>
    <n v="0.42300194931773877"/>
    <s v="Viewers"/>
  </r>
  <r>
    <n v="3822"/>
    <s v="Tyler"/>
    <x v="88"/>
    <d v="2024-12-04T00:00:00"/>
    <n v="15.99"/>
    <n v="180"/>
    <x v="0"/>
    <n v="3"/>
    <n v="4"/>
    <b v="0"/>
    <n v="132"/>
    <n v="127"/>
    <x v="0"/>
    <x v="2"/>
    <x v="4"/>
    <x v="37"/>
    <n v="4.8"/>
    <x v="1"/>
    <x v="0"/>
    <x v="243"/>
    <x v="0"/>
    <x v="0"/>
    <x v="3"/>
    <n v="489"/>
    <x v="2"/>
    <n v="2.576687116564417"/>
    <x v="0"/>
    <n v="0.69498069498069504"/>
    <s v="Viewers"/>
  </r>
  <r>
    <n v="9183"/>
    <s v="William"/>
    <x v="44"/>
    <d v="2024-12-09T00:00:00"/>
    <n v="15.99"/>
    <n v="11"/>
    <x v="2"/>
    <n v="1"/>
    <n v="1"/>
    <b v="0"/>
    <n v="818"/>
    <n v="45"/>
    <x v="5"/>
    <x v="0"/>
    <x v="3"/>
    <x v="28"/>
    <n v="4.9000000000000004"/>
    <x v="0"/>
    <x v="0"/>
    <x v="244"/>
    <x v="1"/>
    <x v="2"/>
    <x v="3"/>
    <n v="593"/>
    <x v="2"/>
    <n v="0.12984822934232715"/>
    <x v="0"/>
    <n v="1.2746234067207415E-2"/>
    <s v=" Browsers"/>
  </r>
  <r>
    <n v="8674"/>
    <s v="Johnny"/>
    <x v="201"/>
    <d v="2024-11-20T00:00:00"/>
    <n v="15.99"/>
    <n v="455"/>
    <x v="5"/>
    <n v="5"/>
    <n v="6"/>
    <b v="1"/>
    <n v="813"/>
    <n v="155"/>
    <x v="1"/>
    <x v="3"/>
    <x v="5"/>
    <x v="26"/>
    <n v="3.6"/>
    <x v="1"/>
    <x v="0"/>
    <x v="245"/>
    <x v="2"/>
    <x v="1"/>
    <x v="2"/>
    <n v="689"/>
    <x v="2"/>
    <n v="4.6226415094339623"/>
    <x v="0"/>
    <n v="0.4700413223140496"/>
    <s v="Viewers"/>
  </r>
  <r>
    <n v="2481"/>
    <s v="Jesus"/>
    <x v="202"/>
    <d v="2024-11-20T00:00:00"/>
    <n v="7.99"/>
    <n v="487"/>
    <x v="6"/>
    <n v="2"/>
    <n v="6"/>
    <b v="0"/>
    <n v="362"/>
    <n v="130"/>
    <x v="6"/>
    <x v="3"/>
    <x v="4"/>
    <x v="58"/>
    <n v="3.3"/>
    <x v="1"/>
    <x v="0"/>
    <x v="246"/>
    <x v="2"/>
    <x v="3"/>
    <x v="2"/>
    <n v="242"/>
    <x v="0"/>
    <n v="14.086776859504132"/>
    <x v="1"/>
    <n v="0.98983739837398377"/>
    <s v="Viewers"/>
  </r>
  <r>
    <n v="8729"/>
    <s v="Jill"/>
    <x v="203"/>
    <d v="2024-12-13T00:00:00"/>
    <n v="7.99"/>
    <n v="459"/>
    <x v="3"/>
    <n v="2"/>
    <n v="4"/>
    <b v="0"/>
    <n v="573"/>
    <n v="190"/>
    <x v="4"/>
    <x v="0"/>
    <x v="3"/>
    <x v="74"/>
    <n v="4.3"/>
    <x v="0"/>
    <x v="0"/>
    <x v="247"/>
    <x v="3"/>
    <x v="3"/>
    <x v="2"/>
    <n v="339"/>
    <x v="0"/>
    <n v="9.4778761061946906"/>
    <x v="1"/>
    <n v="0.60157273918741805"/>
    <s v="Viewers"/>
  </r>
  <r>
    <n v="5534"/>
    <s v="Andrea"/>
    <x v="204"/>
    <d v="2024-12-13T00:00:00"/>
    <n v="7.99"/>
    <n v="74"/>
    <x v="1"/>
    <n v="2"/>
    <n v="1"/>
    <b v="0"/>
    <n v="657"/>
    <n v="88"/>
    <x v="1"/>
    <x v="1"/>
    <x v="2"/>
    <x v="42"/>
    <n v="3.8"/>
    <x v="0"/>
    <x v="0"/>
    <x v="203"/>
    <x v="1"/>
    <x v="2"/>
    <x v="2"/>
    <n v="650"/>
    <x v="0"/>
    <n v="0.79692307692307685"/>
    <x v="0"/>
    <n v="9.9328859060402688E-2"/>
    <s v=" Browsers"/>
  </r>
  <r>
    <n v="9785"/>
    <s v="Jacob"/>
    <x v="205"/>
    <d v="2024-12-18T00:00:00"/>
    <n v="11.99"/>
    <n v="54"/>
    <x v="0"/>
    <n v="5"/>
    <n v="4"/>
    <b v="0"/>
    <n v="659"/>
    <n v="2"/>
    <x v="5"/>
    <x v="0"/>
    <x v="2"/>
    <x v="45"/>
    <n v="4.3"/>
    <x v="1"/>
    <x v="0"/>
    <x v="248"/>
    <x v="1"/>
    <x v="0"/>
    <x v="2"/>
    <n v="349"/>
    <x v="1"/>
    <n v="1.0830945558739256"/>
    <x v="0"/>
    <n v="8.169440242057488E-2"/>
    <s v=" Browsers"/>
  </r>
  <r>
    <n v="9609"/>
    <s v="Eric"/>
    <x v="206"/>
    <d v="2024-11-27T00:00:00"/>
    <n v="11.99"/>
    <n v="292"/>
    <x v="6"/>
    <n v="3"/>
    <n v="4"/>
    <b v="1"/>
    <n v="653"/>
    <n v="173"/>
    <x v="4"/>
    <x v="1"/>
    <x v="0"/>
    <x v="39"/>
    <n v="3.5"/>
    <x v="0"/>
    <x v="0"/>
    <x v="249"/>
    <x v="1"/>
    <x v="3"/>
    <x v="1"/>
    <n v="451"/>
    <x v="1"/>
    <n v="4.5321507760532151"/>
    <x v="0"/>
    <n v="0.35351089588377727"/>
    <s v="Viewers"/>
  </r>
  <r>
    <n v="2829"/>
    <s v="Sara"/>
    <x v="207"/>
    <d v="2024-12-09T00:00:00"/>
    <n v="15.99"/>
    <n v="23"/>
    <x v="0"/>
    <n v="2"/>
    <n v="2"/>
    <b v="0"/>
    <n v="577"/>
    <n v="131"/>
    <x v="6"/>
    <x v="2"/>
    <x v="1"/>
    <x v="31"/>
    <n v="3.9"/>
    <x v="0"/>
    <x v="0"/>
    <x v="250"/>
    <x v="3"/>
    <x v="1"/>
    <x v="3"/>
    <n v="77"/>
    <x v="2"/>
    <n v="2.0909090909090908"/>
    <x v="0"/>
    <n v="3.2485875706214688E-2"/>
    <s v=" Browsers"/>
  </r>
  <r>
    <n v="1714"/>
    <s v="Tammy"/>
    <x v="208"/>
    <d v="2024-11-26T00:00:00"/>
    <n v="11.99"/>
    <n v="147"/>
    <x v="4"/>
    <n v="3"/>
    <n v="1"/>
    <b v="1"/>
    <n v="802"/>
    <n v="177"/>
    <x v="6"/>
    <x v="2"/>
    <x v="1"/>
    <x v="68"/>
    <n v="3.5"/>
    <x v="1"/>
    <x v="0"/>
    <x v="251"/>
    <x v="2"/>
    <x v="0"/>
    <x v="2"/>
    <n v="455"/>
    <x v="1"/>
    <n v="2.2615384615384615"/>
    <x v="0"/>
    <n v="0.15015321756894789"/>
    <s v="Viewers"/>
  </r>
  <r>
    <n v="4475"/>
    <s v="Sandra"/>
    <x v="209"/>
    <d v="2024-12-12T00:00:00"/>
    <n v="7.99"/>
    <n v="221"/>
    <x v="0"/>
    <n v="2"/>
    <n v="4"/>
    <b v="0"/>
    <n v="702"/>
    <n v="130"/>
    <x v="1"/>
    <x v="0"/>
    <x v="5"/>
    <x v="58"/>
    <n v="4.3"/>
    <x v="0"/>
    <x v="0"/>
    <x v="252"/>
    <x v="3"/>
    <x v="1"/>
    <x v="1"/>
    <n v="352"/>
    <x v="0"/>
    <n v="4.3948863636363633"/>
    <x v="0"/>
    <n v="0.265625"/>
    <s v="Viewers"/>
  </r>
  <r>
    <n v="9820"/>
    <s v="James"/>
    <x v="160"/>
    <d v="2024-11-27T00:00:00"/>
    <n v="7.99"/>
    <n v="40"/>
    <x v="3"/>
    <n v="2"/>
    <n v="1"/>
    <b v="1"/>
    <n v="92"/>
    <n v="184"/>
    <x v="2"/>
    <x v="2"/>
    <x v="2"/>
    <x v="29"/>
    <n v="4.0999999999999996"/>
    <x v="1"/>
    <x v="0"/>
    <x v="253"/>
    <x v="2"/>
    <x v="1"/>
    <x v="3"/>
    <n v="37"/>
    <x v="0"/>
    <n v="7.5675675675675675"/>
    <x v="1"/>
    <n v="0.14492753623188406"/>
    <s v=" Browsers"/>
  </r>
  <r>
    <n v="3261"/>
    <s v="David"/>
    <x v="53"/>
    <d v="2024-12-13T00:00:00"/>
    <n v="11.99"/>
    <n v="365"/>
    <x v="2"/>
    <n v="1"/>
    <n v="5"/>
    <b v="1"/>
    <n v="582"/>
    <n v="162"/>
    <x v="4"/>
    <x v="3"/>
    <x v="0"/>
    <x v="39"/>
    <n v="3.3"/>
    <x v="0"/>
    <x v="0"/>
    <x v="254"/>
    <x v="3"/>
    <x v="1"/>
    <x v="1"/>
    <n v="713"/>
    <x v="1"/>
    <n v="3.5834502103786816"/>
    <x v="0"/>
    <n v="0.49059139784946237"/>
    <s v="Viewers"/>
  </r>
  <r>
    <n v="6130"/>
    <s v="Michael"/>
    <x v="210"/>
    <d v="2024-12-16T00:00:00"/>
    <n v="11.99"/>
    <n v="360"/>
    <x v="6"/>
    <n v="1"/>
    <n v="2"/>
    <b v="1"/>
    <n v="161"/>
    <n v="93"/>
    <x v="3"/>
    <x v="1"/>
    <x v="3"/>
    <x v="55"/>
    <n v="3.3"/>
    <x v="1"/>
    <x v="0"/>
    <x v="255"/>
    <x v="1"/>
    <x v="4"/>
    <x v="3"/>
    <n v="235"/>
    <x v="1"/>
    <n v="10.723404255319149"/>
    <x v="1"/>
    <n v="1.4173228346456692"/>
    <s v="Viewers"/>
  </r>
  <r>
    <n v="9399"/>
    <s v="Kristin"/>
    <x v="211"/>
    <d v="2024-11-28T00:00:00"/>
    <n v="7.99"/>
    <n v="127"/>
    <x v="0"/>
    <n v="2"/>
    <n v="2"/>
    <b v="0"/>
    <n v="842"/>
    <n v="24"/>
    <x v="1"/>
    <x v="3"/>
    <x v="3"/>
    <x v="35"/>
    <n v="3.2"/>
    <x v="1"/>
    <x v="0"/>
    <x v="256"/>
    <x v="0"/>
    <x v="1"/>
    <x v="0"/>
    <n v="584"/>
    <x v="0"/>
    <n v="1.5222602739726028"/>
    <x v="0"/>
    <n v="0.14665127020785218"/>
    <s v=" Browsers"/>
  </r>
  <r>
    <n v="6047"/>
    <s v="Paul"/>
    <x v="114"/>
    <d v="2024-12-02T00:00:00"/>
    <n v="15.99"/>
    <n v="30"/>
    <x v="4"/>
    <n v="3"/>
    <n v="2"/>
    <b v="1"/>
    <n v="609"/>
    <n v="6"/>
    <x v="1"/>
    <x v="0"/>
    <x v="2"/>
    <x v="10"/>
    <n v="3"/>
    <x v="1"/>
    <x v="0"/>
    <x v="257"/>
    <x v="4"/>
    <x v="4"/>
    <x v="0"/>
    <n v="9"/>
    <x v="2"/>
    <n v="23.333333333333332"/>
    <x v="2"/>
    <n v="4.878048780487805E-2"/>
    <s v=" Browsers"/>
  </r>
  <r>
    <n v="7789"/>
    <s v="Amy"/>
    <x v="49"/>
    <d v="2024-11-24T00:00:00"/>
    <n v="7.99"/>
    <n v="222"/>
    <x v="1"/>
    <n v="1"/>
    <n v="6"/>
    <b v="0"/>
    <n v="391"/>
    <n v="17"/>
    <x v="0"/>
    <x v="3"/>
    <x v="0"/>
    <x v="68"/>
    <n v="3.4"/>
    <x v="1"/>
    <x v="0"/>
    <x v="258"/>
    <x v="4"/>
    <x v="3"/>
    <x v="1"/>
    <n v="486"/>
    <x v="0"/>
    <n v="3.1975308641975309"/>
    <x v="0"/>
    <n v="0.54411764705882348"/>
    <s v="Viewers"/>
  </r>
  <r>
    <n v="6111"/>
    <s v="Emily"/>
    <x v="212"/>
    <d v="2024-12-13T00:00:00"/>
    <n v="11.99"/>
    <n v="168"/>
    <x v="6"/>
    <n v="1"/>
    <n v="2"/>
    <b v="0"/>
    <n v="247"/>
    <n v="172"/>
    <x v="6"/>
    <x v="3"/>
    <x v="5"/>
    <x v="25"/>
    <n v="3.5"/>
    <x v="0"/>
    <x v="0"/>
    <x v="45"/>
    <x v="2"/>
    <x v="0"/>
    <x v="1"/>
    <n v="398"/>
    <x v="1"/>
    <n v="2.954773869346734"/>
    <x v="0"/>
    <n v="0.40095465393794749"/>
    <s v="Viewers"/>
  </r>
  <r>
    <n v="4968"/>
    <s v="Alicia"/>
    <x v="43"/>
    <d v="2024-11-26T00:00:00"/>
    <n v="7.99"/>
    <n v="317"/>
    <x v="5"/>
    <n v="5"/>
    <n v="1"/>
    <b v="0"/>
    <n v="559"/>
    <n v="113"/>
    <x v="3"/>
    <x v="2"/>
    <x v="4"/>
    <x v="92"/>
    <n v="4.5999999999999996"/>
    <x v="0"/>
    <x v="0"/>
    <x v="259"/>
    <x v="3"/>
    <x v="4"/>
    <x v="1"/>
    <n v="229"/>
    <x v="0"/>
    <n v="9.6899563318777293"/>
    <x v="1"/>
    <n v="0.47172619047619047"/>
    <s v="Viewers"/>
  </r>
  <r>
    <n v="2739"/>
    <s v="Margaret"/>
    <x v="211"/>
    <d v="2024-11-20T00:00:00"/>
    <n v="15.99"/>
    <n v="285"/>
    <x v="3"/>
    <n v="1"/>
    <n v="3"/>
    <b v="0"/>
    <n v="706"/>
    <n v="22"/>
    <x v="2"/>
    <x v="0"/>
    <x v="2"/>
    <x v="69"/>
    <n v="3.4"/>
    <x v="1"/>
    <x v="0"/>
    <x v="260"/>
    <x v="1"/>
    <x v="1"/>
    <x v="0"/>
    <n v="576"/>
    <x v="2"/>
    <n v="3.4635416666666665"/>
    <x v="0"/>
    <n v="0.39148351648351648"/>
    <s v="Viewers"/>
  </r>
  <r>
    <n v="6974"/>
    <s v="Linda"/>
    <x v="213"/>
    <d v="2024-11-28T00:00:00"/>
    <n v="11.99"/>
    <n v="420"/>
    <x v="5"/>
    <n v="1"/>
    <n v="2"/>
    <b v="0"/>
    <n v="1000"/>
    <n v="159"/>
    <x v="3"/>
    <x v="3"/>
    <x v="1"/>
    <x v="46"/>
    <n v="4.8"/>
    <x v="0"/>
    <x v="0"/>
    <x v="261"/>
    <x v="2"/>
    <x v="1"/>
    <x v="2"/>
    <n v="456"/>
    <x v="1"/>
    <n v="6.4473684210526319"/>
    <x v="1"/>
    <n v="0.36238136324417602"/>
    <s v="Viewers"/>
  </r>
  <r>
    <n v="1784"/>
    <s v="Sarah"/>
    <x v="175"/>
    <d v="2024-12-16T00:00:00"/>
    <n v="15.99"/>
    <n v="100"/>
    <x v="1"/>
    <n v="5"/>
    <n v="1"/>
    <b v="1"/>
    <n v="586"/>
    <n v="32"/>
    <x v="6"/>
    <x v="2"/>
    <x v="0"/>
    <x v="90"/>
    <n v="3.6"/>
    <x v="1"/>
    <x v="0"/>
    <x v="262"/>
    <x v="1"/>
    <x v="1"/>
    <x v="3"/>
    <n v="554"/>
    <x v="2"/>
    <n v="1.2635379061371841"/>
    <x v="0"/>
    <n v="0.16181229773462782"/>
    <s v="Viewers"/>
  </r>
  <r>
    <n v="8077"/>
    <s v="Megan"/>
    <x v="214"/>
    <d v="2024-12-18T00:00:00"/>
    <n v="11.99"/>
    <n v="426"/>
    <x v="3"/>
    <n v="4"/>
    <n v="6"/>
    <b v="0"/>
    <n v="450"/>
    <n v="92"/>
    <x v="5"/>
    <x v="1"/>
    <x v="0"/>
    <x v="5"/>
    <n v="4.0999999999999996"/>
    <x v="0"/>
    <x v="0"/>
    <x v="263"/>
    <x v="0"/>
    <x v="1"/>
    <x v="2"/>
    <n v="198"/>
    <x v="1"/>
    <n v="15.060606060606061"/>
    <x v="2"/>
    <n v="0.7859778597785978"/>
    <s v="Viewers"/>
  </r>
  <r>
    <n v="2727"/>
    <s v="Renee"/>
    <x v="215"/>
    <d v="2024-12-08T00:00:00"/>
    <n v="7.99"/>
    <n v="263"/>
    <x v="6"/>
    <n v="1"/>
    <n v="4"/>
    <b v="1"/>
    <n v="468"/>
    <n v="95"/>
    <x v="3"/>
    <x v="1"/>
    <x v="4"/>
    <x v="62"/>
    <n v="3.5"/>
    <x v="0"/>
    <x v="0"/>
    <x v="264"/>
    <x v="4"/>
    <x v="1"/>
    <x v="1"/>
    <n v="314"/>
    <x v="0"/>
    <n v="5.8630573248407645"/>
    <x v="1"/>
    <n v="0.46714031971580816"/>
    <s v="Viewers"/>
  </r>
  <r>
    <n v="7661"/>
    <s v="Wayne"/>
    <x v="75"/>
    <d v="2024-12-14T00:00:00"/>
    <n v="11.99"/>
    <n v="162"/>
    <x v="0"/>
    <n v="1"/>
    <n v="1"/>
    <b v="0"/>
    <n v="370"/>
    <n v="130"/>
    <x v="0"/>
    <x v="1"/>
    <x v="0"/>
    <x v="77"/>
    <n v="4.0999999999999996"/>
    <x v="1"/>
    <x v="0"/>
    <x v="265"/>
    <x v="2"/>
    <x v="3"/>
    <x v="3"/>
    <n v="482"/>
    <x v="1"/>
    <n v="2.3526970954356847"/>
    <x v="0"/>
    <n v="0.32400000000000001"/>
    <s v="Viewers"/>
  </r>
  <r>
    <n v="5083"/>
    <s v="Lisa"/>
    <x v="114"/>
    <d v="2024-11-24T00:00:00"/>
    <n v="15.99"/>
    <n v="19"/>
    <x v="6"/>
    <n v="3"/>
    <n v="2"/>
    <b v="1"/>
    <n v="781"/>
    <n v="179"/>
    <x v="1"/>
    <x v="1"/>
    <x v="1"/>
    <x v="39"/>
    <n v="4.3"/>
    <x v="0"/>
    <x v="0"/>
    <x v="266"/>
    <x v="3"/>
    <x v="3"/>
    <x v="1"/>
    <n v="1"/>
    <x v="2"/>
    <n v="133"/>
    <x v="2"/>
    <n v="1.9791666666666666E-2"/>
    <s v=" Browsers"/>
  </r>
  <r>
    <n v="7275"/>
    <s v="Rhonda"/>
    <x v="216"/>
    <d v="2024-12-07T00:00:00"/>
    <n v="11.99"/>
    <n v="358"/>
    <x v="6"/>
    <n v="5"/>
    <n v="4"/>
    <b v="1"/>
    <n v="829"/>
    <n v="62"/>
    <x v="5"/>
    <x v="0"/>
    <x v="1"/>
    <x v="15"/>
    <n v="3.4"/>
    <x v="0"/>
    <x v="0"/>
    <x v="267"/>
    <x v="2"/>
    <x v="4"/>
    <x v="0"/>
    <n v="93"/>
    <x v="1"/>
    <n v="26.946236559139784"/>
    <x v="2"/>
    <n v="0.40179573512906847"/>
    <s v="Viewers"/>
  </r>
  <r>
    <n v="7316"/>
    <s v="Darrell"/>
    <x v="217"/>
    <d v="2024-12-15T00:00:00"/>
    <n v="11.99"/>
    <n v="183"/>
    <x v="1"/>
    <n v="3"/>
    <n v="5"/>
    <b v="0"/>
    <n v="944"/>
    <n v="94"/>
    <x v="1"/>
    <x v="0"/>
    <x v="4"/>
    <x v="35"/>
    <n v="4.7"/>
    <x v="0"/>
    <x v="0"/>
    <x v="268"/>
    <x v="2"/>
    <x v="3"/>
    <x v="0"/>
    <n v="660"/>
    <x v="1"/>
    <n v="1.9409090909090907"/>
    <x v="0"/>
    <n v="0.17630057803468208"/>
    <s v="Viewers"/>
  </r>
  <r>
    <n v="4497"/>
    <s v="Diana"/>
    <x v="218"/>
    <d v="2024-12-15T00:00:00"/>
    <n v="15.99"/>
    <n v="63"/>
    <x v="0"/>
    <n v="4"/>
    <n v="4"/>
    <b v="0"/>
    <n v="670"/>
    <n v="72"/>
    <x v="0"/>
    <x v="0"/>
    <x v="3"/>
    <x v="21"/>
    <n v="4.8"/>
    <x v="0"/>
    <x v="0"/>
    <x v="269"/>
    <x v="0"/>
    <x v="0"/>
    <x v="1"/>
    <n v="712"/>
    <x v="2"/>
    <n v="0.6193820224719101"/>
    <x v="0"/>
    <n v="8.4905660377358486E-2"/>
    <s v=" Browsers"/>
  </r>
  <r>
    <n v="8685"/>
    <s v="Matthew"/>
    <x v="219"/>
    <d v="2024-11-20T00:00:00"/>
    <n v="11.99"/>
    <n v="446"/>
    <x v="3"/>
    <n v="5"/>
    <n v="3"/>
    <b v="1"/>
    <n v="831"/>
    <n v="37"/>
    <x v="6"/>
    <x v="0"/>
    <x v="4"/>
    <x v="84"/>
    <n v="3.3"/>
    <x v="1"/>
    <x v="0"/>
    <x v="270"/>
    <x v="2"/>
    <x v="3"/>
    <x v="1"/>
    <n v="256"/>
    <x v="1"/>
    <n v="12.1953125"/>
    <x v="1"/>
    <n v="0.51382488479262678"/>
    <s v="Viewers"/>
  </r>
  <r>
    <n v="8583"/>
    <s v="Brittany"/>
    <x v="159"/>
    <d v="2024-11-27T00:00:00"/>
    <n v="15.99"/>
    <n v="352"/>
    <x v="2"/>
    <n v="3"/>
    <n v="3"/>
    <b v="0"/>
    <n v="154"/>
    <n v="148"/>
    <x v="6"/>
    <x v="1"/>
    <x v="4"/>
    <x v="4"/>
    <n v="4.7"/>
    <x v="1"/>
    <x v="0"/>
    <x v="271"/>
    <x v="3"/>
    <x v="0"/>
    <x v="2"/>
    <n v="11"/>
    <x v="2"/>
    <n v="224"/>
    <x v="2"/>
    <n v="1.1655629139072847"/>
    <s v="Viewers"/>
  </r>
  <r>
    <n v="1062"/>
    <s v="David"/>
    <x v="34"/>
    <d v="2024-12-13T00:00:00"/>
    <n v="7.99"/>
    <n v="209"/>
    <x v="2"/>
    <n v="2"/>
    <n v="6"/>
    <b v="0"/>
    <n v="707"/>
    <n v="162"/>
    <x v="0"/>
    <x v="1"/>
    <x v="1"/>
    <x v="49"/>
    <n v="3.5"/>
    <x v="1"/>
    <x v="0"/>
    <x v="272"/>
    <x v="0"/>
    <x v="4"/>
    <x v="0"/>
    <n v="71"/>
    <x v="0"/>
    <n v="20.605633802816904"/>
    <x v="2"/>
    <n v="0.24050632911392406"/>
    <s v="Viewers"/>
  </r>
  <r>
    <n v="2593"/>
    <s v="Stephanie"/>
    <x v="102"/>
    <d v="2024-12-11T00:00:00"/>
    <n v="7.99"/>
    <n v="311"/>
    <x v="4"/>
    <n v="5"/>
    <n v="6"/>
    <b v="0"/>
    <n v="587"/>
    <n v="140"/>
    <x v="3"/>
    <x v="0"/>
    <x v="2"/>
    <x v="80"/>
    <n v="3.6"/>
    <x v="1"/>
    <x v="0"/>
    <x v="273"/>
    <x v="0"/>
    <x v="2"/>
    <x v="3"/>
    <n v="721"/>
    <x v="0"/>
    <n v="3.0194174757281553"/>
    <x v="0"/>
    <n v="0.42778541953232463"/>
    <s v="Viewers"/>
  </r>
  <r>
    <n v="3951"/>
    <s v="Christina"/>
    <x v="220"/>
    <d v="2024-12-06T00:00:00"/>
    <n v="11.99"/>
    <n v="293"/>
    <x v="2"/>
    <n v="3"/>
    <n v="6"/>
    <b v="1"/>
    <n v="158"/>
    <n v="119"/>
    <x v="3"/>
    <x v="2"/>
    <x v="3"/>
    <x v="22"/>
    <n v="3.7"/>
    <x v="0"/>
    <x v="0"/>
    <x v="274"/>
    <x v="4"/>
    <x v="3"/>
    <x v="0"/>
    <n v="529"/>
    <x v="1"/>
    <n v="3.8771266540642721"/>
    <x v="0"/>
    <n v="1.0577617328519855"/>
    <s v="Viewers"/>
  </r>
  <r>
    <n v="8580"/>
    <s v="Darlene"/>
    <x v="221"/>
    <d v="2024-12-10T00:00:00"/>
    <n v="15.99"/>
    <n v="119"/>
    <x v="6"/>
    <n v="4"/>
    <n v="2"/>
    <b v="0"/>
    <n v="936"/>
    <n v="188"/>
    <x v="0"/>
    <x v="3"/>
    <x v="2"/>
    <x v="76"/>
    <n v="4.0999999999999996"/>
    <x v="1"/>
    <x v="0"/>
    <x v="186"/>
    <x v="1"/>
    <x v="1"/>
    <x v="3"/>
    <n v="191"/>
    <x v="2"/>
    <n v="4.3612565445026181"/>
    <x v="0"/>
    <n v="0.10587188612099645"/>
    <s v=" Browsers"/>
  </r>
  <r>
    <n v="4372"/>
    <s v="Michael"/>
    <x v="222"/>
    <d v="2024-12-05T00:00:00"/>
    <n v="15.99"/>
    <n v="329"/>
    <x v="2"/>
    <n v="2"/>
    <n v="1"/>
    <b v="0"/>
    <n v="670"/>
    <n v="94"/>
    <x v="2"/>
    <x v="0"/>
    <x v="0"/>
    <x v="47"/>
    <n v="3"/>
    <x v="0"/>
    <x v="0"/>
    <x v="275"/>
    <x v="3"/>
    <x v="0"/>
    <x v="2"/>
    <n v="687"/>
    <x v="2"/>
    <n v="3.3522561863173217"/>
    <x v="0"/>
    <n v="0.4306282722513089"/>
    <s v="Viewers"/>
  </r>
  <r>
    <n v="4463"/>
    <s v="Janet"/>
    <x v="223"/>
    <d v="2024-11-24T00:00:00"/>
    <n v="15.99"/>
    <n v="141"/>
    <x v="4"/>
    <n v="5"/>
    <n v="5"/>
    <b v="1"/>
    <n v="636"/>
    <n v="186"/>
    <x v="2"/>
    <x v="2"/>
    <x v="2"/>
    <x v="49"/>
    <n v="3.6"/>
    <x v="0"/>
    <x v="0"/>
    <x v="276"/>
    <x v="3"/>
    <x v="2"/>
    <x v="0"/>
    <n v="406"/>
    <x v="2"/>
    <n v="2.4310344827586206"/>
    <x v="0"/>
    <n v="0.17153284671532848"/>
    <s v="Viewers"/>
  </r>
  <r>
    <n v="7498"/>
    <s v="Ethan"/>
    <x v="224"/>
    <d v="2024-11-24T00:00:00"/>
    <n v="11.99"/>
    <n v="15"/>
    <x v="3"/>
    <n v="1"/>
    <n v="3"/>
    <b v="1"/>
    <n v="700"/>
    <n v="64"/>
    <x v="4"/>
    <x v="3"/>
    <x v="3"/>
    <x v="93"/>
    <n v="4.7"/>
    <x v="0"/>
    <x v="0"/>
    <x v="277"/>
    <x v="3"/>
    <x v="1"/>
    <x v="0"/>
    <n v="654"/>
    <x v="1"/>
    <n v="0.16055045871559634"/>
    <x v="0"/>
    <n v="1.9633507853403141E-2"/>
    <s v=" Browsers"/>
  </r>
  <r>
    <n v="9618"/>
    <s v="Jesse"/>
    <x v="225"/>
    <d v="2024-11-30T00:00:00"/>
    <n v="11.99"/>
    <n v="30"/>
    <x v="5"/>
    <n v="5"/>
    <n v="4"/>
    <b v="1"/>
    <n v="310"/>
    <n v="162"/>
    <x v="4"/>
    <x v="1"/>
    <x v="1"/>
    <x v="55"/>
    <n v="3.1"/>
    <x v="1"/>
    <x v="0"/>
    <x v="278"/>
    <x v="2"/>
    <x v="1"/>
    <x v="1"/>
    <n v="13"/>
    <x v="1"/>
    <n v="16.153846153846153"/>
    <x v="2"/>
    <n v="6.3559322033898302E-2"/>
    <s v=" Browsers"/>
  </r>
  <r>
    <n v="1813"/>
    <s v="Phyllis"/>
    <x v="226"/>
    <d v="2024-11-29T00:00:00"/>
    <n v="11.99"/>
    <n v="145"/>
    <x v="4"/>
    <n v="2"/>
    <n v="4"/>
    <b v="0"/>
    <n v="237"/>
    <n v="32"/>
    <x v="4"/>
    <x v="3"/>
    <x v="5"/>
    <x v="4"/>
    <n v="4.8"/>
    <x v="0"/>
    <x v="0"/>
    <x v="279"/>
    <x v="1"/>
    <x v="3"/>
    <x v="2"/>
    <n v="161"/>
    <x v="1"/>
    <n v="6.3043478260869561"/>
    <x v="1"/>
    <n v="0.53903345724907059"/>
    <s v="Viewers"/>
  </r>
  <r>
    <n v="3009"/>
    <s v="Joel"/>
    <x v="227"/>
    <d v="2024-12-13T00:00:00"/>
    <n v="15.99"/>
    <n v="250"/>
    <x v="3"/>
    <n v="4"/>
    <n v="3"/>
    <b v="0"/>
    <n v="774"/>
    <n v="88"/>
    <x v="4"/>
    <x v="1"/>
    <x v="2"/>
    <x v="61"/>
    <n v="3.3"/>
    <x v="0"/>
    <x v="0"/>
    <x v="274"/>
    <x v="1"/>
    <x v="2"/>
    <x v="2"/>
    <n v="80"/>
    <x v="2"/>
    <n v="21.875"/>
    <x v="2"/>
    <n v="0.29002320185614849"/>
    <s v="Viewers"/>
  </r>
  <r>
    <n v="8210"/>
    <s v="Cynthia"/>
    <x v="228"/>
    <d v="2024-11-22T00:00:00"/>
    <n v="15.99"/>
    <n v="243"/>
    <x v="4"/>
    <n v="2"/>
    <n v="6"/>
    <b v="1"/>
    <n v="532"/>
    <n v="110"/>
    <x v="5"/>
    <x v="0"/>
    <x v="3"/>
    <x v="59"/>
    <n v="4.7"/>
    <x v="0"/>
    <x v="0"/>
    <x v="280"/>
    <x v="0"/>
    <x v="3"/>
    <x v="3"/>
    <n v="687"/>
    <x v="2"/>
    <n v="2.4759825327510918"/>
    <x v="0"/>
    <n v="0.37850467289719625"/>
    <s v="Viewers"/>
  </r>
  <r>
    <n v="8439"/>
    <s v="Craig"/>
    <x v="229"/>
    <d v="2024-11-21T00:00:00"/>
    <n v="11.99"/>
    <n v="392"/>
    <x v="4"/>
    <n v="4"/>
    <n v="1"/>
    <b v="1"/>
    <n v="813"/>
    <n v="2"/>
    <x v="2"/>
    <x v="3"/>
    <x v="4"/>
    <x v="10"/>
    <n v="3"/>
    <x v="1"/>
    <x v="0"/>
    <x v="281"/>
    <x v="1"/>
    <x v="2"/>
    <x v="3"/>
    <n v="484"/>
    <x v="1"/>
    <n v="5.669421487603306"/>
    <x v="1"/>
    <n v="0.48098159509202454"/>
    <s v="Viewers"/>
  </r>
  <r>
    <n v="8310"/>
    <s v="Eric"/>
    <x v="230"/>
    <d v="2024-12-11T00:00:00"/>
    <n v="11.99"/>
    <n v="389"/>
    <x v="1"/>
    <n v="5"/>
    <n v="4"/>
    <b v="0"/>
    <n v="727"/>
    <n v="26"/>
    <x v="5"/>
    <x v="0"/>
    <x v="4"/>
    <x v="79"/>
    <n v="3.4"/>
    <x v="0"/>
    <x v="0"/>
    <x v="154"/>
    <x v="0"/>
    <x v="3"/>
    <x v="3"/>
    <n v="562"/>
    <x v="1"/>
    <n v="4.845195729537366"/>
    <x v="0"/>
    <n v="0.51660026560424965"/>
    <s v="Viewers"/>
  </r>
  <r>
    <n v="6369"/>
    <s v="Jessica"/>
    <x v="231"/>
    <d v="2024-11-27T00:00:00"/>
    <n v="7.99"/>
    <n v="414"/>
    <x v="4"/>
    <n v="4"/>
    <n v="6"/>
    <b v="1"/>
    <n v="271"/>
    <n v="51"/>
    <x v="3"/>
    <x v="0"/>
    <x v="1"/>
    <x v="39"/>
    <n v="4.3"/>
    <x v="0"/>
    <x v="0"/>
    <x v="282"/>
    <x v="1"/>
    <x v="1"/>
    <x v="1"/>
    <n v="401"/>
    <x v="0"/>
    <n v="7.2269326683291775"/>
    <x v="1"/>
    <n v="1.2857142857142858"/>
    <s v="Viewers"/>
  </r>
  <r>
    <n v="5721"/>
    <s v="Jordan"/>
    <x v="175"/>
    <d v="2024-12-12T00:00:00"/>
    <n v="15.99"/>
    <n v="415"/>
    <x v="3"/>
    <n v="2"/>
    <n v="1"/>
    <b v="0"/>
    <n v="958"/>
    <n v="192"/>
    <x v="0"/>
    <x v="2"/>
    <x v="1"/>
    <x v="46"/>
    <n v="4.8"/>
    <x v="1"/>
    <x v="0"/>
    <x v="283"/>
    <x v="4"/>
    <x v="0"/>
    <x v="3"/>
    <n v="550"/>
    <x v="2"/>
    <n v="5.2818181818181822"/>
    <x v="1"/>
    <n v="0.36086956521739133"/>
    <s v="Viewers"/>
  </r>
  <r>
    <n v="4204"/>
    <s v="Scott"/>
    <x v="195"/>
    <d v="2024-12-14T00:00:00"/>
    <n v="11.99"/>
    <n v="494"/>
    <x v="4"/>
    <n v="5"/>
    <n v="6"/>
    <b v="1"/>
    <n v="202"/>
    <n v="163"/>
    <x v="2"/>
    <x v="1"/>
    <x v="3"/>
    <x v="47"/>
    <n v="4"/>
    <x v="1"/>
    <x v="0"/>
    <x v="284"/>
    <x v="4"/>
    <x v="0"/>
    <x v="2"/>
    <n v="398"/>
    <x v="1"/>
    <n v="8.6884422110552766"/>
    <x v="1"/>
    <n v="1.3534246575342466"/>
    <s v="Viewers"/>
  </r>
  <r>
    <n v="5666"/>
    <s v="Christopher"/>
    <x v="232"/>
    <d v="2024-11-20T00:00:00"/>
    <n v="7.99"/>
    <n v="109"/>
    <x v="1"/>
    <n v="4"/>
    <n v="4"/>
    <b v="1"/>
    <n v="899"/>
    <n v="11"/>
    <x v="2"/>
    <x v="2"/>
    <x v="1"/>
    <x v="40"/>
    <n v="4.3"/>
    <x v="0"/>
    <x v="0"/>
    <x v="285"/>
    <x v="3"/>
    <x v="2"/>
    <x v="0"/>
    <n v="578"/>
    <x v="0"/>
    <n v="1.3200692041522493"/>
    <x v="0"/>
    <n v="0.11978021978021978"/>
    <s v=" Browsers"/>
  </r>
  <r>
    <n v="5943"/>
    <s v="Victoria"/>
    <x v="81"/>
    <d v="2024-12-07T00:00:00"/>
    <n v="7.99"/>
    <n v="200"/>
    <x v="6"/>
    <n v="1"/>
    <n v="2"/>
    <b v="0"/>
    <n v="465"/>
    <n v="35"/>
    <x v="3"/>
    <x v="3"/>
    <x v="2"/>
    <x v="94"/>
    <n v="4.7"/>
    <x v="1"/>
    <x v="0"/>
    <x v="286"/>
    <x v="1"/>
    <x v="4"/>
    <x v="1"/>
    <n v="355"/>
    <x v="0"/>
    <n v="3.943661971830986"/>
    <x v="0"/>
    <n v="0.4"/>
    <s v="Viewers"/>
  </r>
  <r>
    <n v="3202"/>
    <s v="Mary"/>
    <x v="155"/>
    <d v="2024-12-04T00:00:00"/>
    <n v="11.99"/>
    <n v="134"/>
    <x v="2"/>
    <n v="4"/>
    <n v="1"/>
    <b v="1"/>
    <n v="459"/>
    <n v="105"/>
    <x v="2"/>
    <x v="3"/>
    <x v="1"/>
    <x v="20"/>
    <n v="3.7"/>
    <x v="1"/>
    <x v="0"/>
    <x v="287"/>
    <x v="0"/>
    <x v="3"/>
    <x v="3"/>
    <n v="285"/>
    <x v="1"/>
    <n v="3.2912280701754386"/>
    <x v="0"/>
    <n v="0.23758865248226951"/>
    <s v="Viewers"/>
  </r>
  <r>
    <n v="4512"/>
    <s v="Jacob"/>
    <x v="233"/>
    <d v="2024-11-30T00:00:00"/>
    <n v="11.99"/>
    <n v="250"/>
    <x v="3"/>
    <n v="5"/>
    <n v="2"/>
    <b v="0"/>
    <n v="611"/>
    <n v="170"/>
    <x v="2"/>
    <x v="2"/>
    <x v="4"/>
    <x v="5"/>
    <n v="3.9"/>
    <x v="0"/>
    <x v="0"/>
    <x v="288"/>
    <x v="0"/>
    <x v="1"/>
    <x v="1"/>
    <n v="648"/>
    <x v="1"/>
    <n v="2.7006172839506175"/>
    <x v="0"/>
    <n v="0.3201024327784891"/>
    <s v="Viewers"/>
  </r>
  <r>
    <n v="2075"/>
    <s v="Ann"/>
    <x v="234"/>
    <d v="2024-12-09T00:00:00"/>
    <n v="7.99"/>
    <n v="305"/>
    <x v="1"/>
    <n v="2"/>
    <n v="3"/>
    <b v="1"/>
    <n v="49"/>
    <n v="146"/>
    <x v="0"/>
    <x v="1"/>
    <x v="2"/>
    <x v="60"/>
    <n v="4.5999999999999996"/>
    <x v="0"/>
    <x v="0"/>
    <x v="289"/>
    <x v="2"/>
    <x v="4"/>
    <x v="2"/>
    <n v="42"/>
    <x v="0"/>
    <n v="50.833333333333336"/>
    <x v="2"/>
    <n v="1.5641025641025641"/>
    <s v="Viewers"/>
  </r>
  <r>
    <n v="4057"/>
    <s v="Rachel"/>
    <x v="235"/>
    <d v="2024-11-28T00:00:00"/>
    <n v="15.99"/>
    <n v="256"/>
    <x v="5"/>
    <n v="5"/>
    <n v="3"/>
    <b v="0"/>
    <n v="929"/>
    <n v="89"/>
    <x v="1"/>
    <x v="0"/>
    <x v="3"/>
    <x v="83"/>
    <n v="3.3"/>
    <x v="0"/>
    <x v="0"/>
    <x v="290"/>
    <x v="0"/>
    <x v="4"/>
    <x v="2"/>
    <n v="202"/>
    <x v="2"/>
    <n v="8.8712871287128703"/>
    <x v="1"/>
    <n v="0.25147347740667975"/>
    <s v="Viewers"/>
  </r>
  <r>
    <n v="5537"/>
    <s v="Justin"/>
    <x v="193"/>
    <d v="2024-11-19T00:00:00"/>
    <n v="11.99"/>
    <n v="214"/>
    <x v="3"/>
    <n v="1"/>
    <n v="3"/>
    <b v="0"/>
    <n v="39"/>
    <n v="89"/>
    <x v="1"/>
    <x v="1"/>
    <x v="0"/>
    <x v="86"/>
    <n v="3.5"/>
    <x v="1"/>
    <x v="0"/>
    <x v="291"/>
    <x v="4"/>
    <x v="3"/>
    <x v="2"/>
    <n v="68"/>
    <x v="1"/>
    <n v="22.029411764705884"/>
    <x v="2"/>
    <n v="1.671875"/>
    <s v="Viewers"/>
  </r>
  <r>
    <n v="9520"/>
    <s v="Tina"/>
    <x v="236"/>
    <d v="2024-12-01T00:00:00"/>
    <n v="11.99"/>
    <n v="272"/>
    <x v="6"/>
    <n v="1"/>
    <n v="2"/>
    <b v="0"/>
    <n v="520"/>
    <n v="170"/>
    <x v="5"/>
    <x v="0"/>
    <x v="1"/>
    <x v="90"/>
    <n v="5"/>
    <x v="0"/>
    <x v="0"/>
    <x v="292"/>
    <x v="4"/>
    <x v="4"/>
    <x v="2"/>
    <n v="484"/>
    <x v="1"/>
    <n v="3.9338842975206614"/>
    <x v="0"/>
    <n v="0.39420289855072466"/>
    <s v="Viewers"/>
  </r>
  <r>
    <n v="1081"/>
    <s v="Vincent"/>
    <x v="237"/>
    <d v="2024-11-29T00:00:00"/>
    <n v="15.99"/>
    <n v="144"/>
    <x v="1"/>
    <n v="3"/>
    <n v="4"/>
    <b v="0"/>
    <n v="501"/>
    <n v="64"/>
    <x v="1"/>
    <x v="1"/>
    <x v="4"/>
    <x v="25"/>
    <n v="3.3"/>
    <x v="0"/>
    <x v="0"/>
    <x v="293"/>
    <x v="4"/>
    <x v="0"/>
    <x v="0"/>
    <n v="124"/>
    <x v="2"/>
    <n v="8.129032258064516"/>
    <x v="1"/>
    <n v="0.25486725663716814"/>
    <s v="Viewers"/>
  </r>
  <r>
    <n v="7621"/>
    <s v="Tina"/>
    <x v="69"/>
    <d v="2024-12-06T00:00:00"/>
    <n v="7.99"/>
    <n v="381"/>
    <x v="1"/>
    <n v="5"/>
    <n v="6"/>
    <b v="0"/>
    <n v="593"/>
    <n v="46"/>
    <x v="4"/>
    <x v="1"/>
    <x v="4"/>
    <x v="95"/>
    <n v="4.5999999999999996"/>
    <x v="1"/>
    <x v="0"/>
    <x v="294"/>
    <x v="4"/>
    <x v="4"/>
    <x v="1"/>
    <n v="457"/>
    <x v="0"/>
    <n v="5.8358862144420129"/>
    <x v="1"/>
    <n v="0.59624413145539901"/>
    <s v="Viewers"/>
  </r>
  <r>
    <n v="4558"/>
    <s v="Leah"/>
    <x v="222"/>
    <d v="2024-11-20T00:00:00"/>
    <n v="11.99"/>
    <n v="292"/>
    <x v="1"/>
    <n v="4"/>
    <n v="2"/>
    <b v="1"/>
    <n v="109"/>
    <n v="68"/>
    <x v="5"/>
    <x v="2"/>
    <x v="4"/>
    <x v="49"/>
    <n v="4.3"/>
    <x v="0"/>
    <x v="0"/>
    <x v="295"/>
    <x v="3"/>
    <x v="4"/>
    <x v="1"/>
    <n v="672"/>
    <x v="1"/>
    <n v="3.0416666666666665"/>
    <x v="0"/>
    <n v="1.6497175141242937"/>
    <s v="Viewers"/>
  </r>
  <r>
    <n v="6628"/>
    <s v="Richard"/>
    <x v="10"/>
    <d v="2024-12-15T00:00:00"/>
    <n v="11.99"/>
    <n v="358"/>
    <x v="6"/>
    <n v="4"/>
    <n v="3"/>
    <b v="0"/>
    <n v="472"/>
    <n v="65"/>
    <x v="3"/>
    <x v="1"/>
    <x v="3"/>
    <x v="92"/>
    <n v="4"/>
    <x v="0"/>
    <x v="0"/>
    <x v="296"/>
    <x v="0"/>
    <x v="3"/>
    <x v="1"/>
    <n v="628"/>
    <x v="1"/>
    <n v="3.9904458598726116"/>
    <x v="0"/>
    <n v="0.66666666666666663"/>
    <s v="Viewers"/>
  </r>
  <r>
    <n v="7643"/>
    <s v="Cindy"/>
    <x v="238"/>
    <d v="2024-12-03T00:00:00"/>
    <n v="15.99"/>
    <n v="426"/>
    <x v="2"/>
    <n v="1"/>
    <n v="6"/>
    <b v="1"/>
    <n v="229"/>
    <n v="120"/>
    <x v="0"/>
    <x v="0"/>
    <x v="5"/>
    <x v="11"/>
    <n v="3.3"/>
    <x v="1"/>
    <x v="0"/>
    <x v="297"/>
    <x v="0"/>
    <x v="4"/>
    <x v="2"/>
    <n v="146"/>
    <x v="2"/>
    <n v="20.424657534246574"/>
    <x v="2"/>
    <n v="1.2206303724928367"/>
    <s v="Viewers"/>
  </r>
  <r>
    <n v="4709"/>
    <s v="Gary"/>
    <x v="23"/>
    <d v="2024-11-24T00:00:00"/>
    <n v="11.99"/>
    <n v="474"/>
    <x v="5"/>
    <n v="5"/>
    <n v="1"/>
    <b v="0"/>
    <n v="487"/>
    <n v="107"/>
    <x v="4"/>
    <x v="1"/>
    <x v="1"/>
    <x v="29"/>
    <n v="4"/>
    <x v="0"/>
    <x v="0"/>
    <x v="298"/>
    <x v="1"/>
    <x v="3"/>
    <x v="0"/>
    <n v="429"/>
    <x v="1"/>
    <n v="7.7342657342657342"/>
    <x v="1"/>
    <n v="0.79797979797979801"/>
    <s v="Viewers"/>
  </r>
  <r>
    <n v="8408"/>
    <s v="Emily"/>
    <x v="239"/>
    <d v="2024-12-12T00:00:00"/>
    <n v="7.99"/>
    <n v="286"/>
    <x v="3"/>
    <n v="2"/>
    <n v="5"/>
    <b v="1"/>
    <n v="543"/>
    <n v="16"/>
    <x v="0"/>
    <x v="2"/>
    <x v="2"/>
    <x v="39"/>
    <n v="3.7"/>
    <x v="1"/>
    <x v="0"/>
    <x v="299"/>
    <x v="0"/>
    <x v="0"/>
    <x v="3"/>
    <n v="503"/>
    <x v="0"/>
    <n v="3.9801192842942346"/>
    <x v="0"/>
    <n v="0.51162790697674421"/>
    <s v="Viewers"/>
  </r>
  <r>
    <n v="3530"/>
    <s v="Lindsey"/>
    <x v="240"/>
    <d v="2024-12-06T00:00:00"/>
    <n v="15.99"/>
    <n v="498"/>
    <x v="1"/>
    <n v="5"/>
    <n v="6"/>
    <b v="0"/>
    <n v="105"/>
    <n v="35"/>
    <x v="3"/>
    <x v="1"/>
    <x v="4"/>
    <x v="65"/>
    <n v="3.9"/>
    <x v="1"/>
    <x v="0"/>
    <x v="300"/>
    <x v="1"/>
    <x v="1"/>
    <x v="0"/>
    <n v="57"/>
    <x v="2"/>
    <n v="61.15789473684211"/>
    <x v="2"/>
    <n v="3.5571428571428569"/>
    <s v="Viewers"/>
  </r>
  <r>
    <n v="3779"/>
    <s v="Brandon"/>
    <x v="226"/>
    <d v="2024-12-15T00:00:00"/>
    <n v="11.99"/>
    <n v="32"/>
    <x v="1"/>
    <n v="2"/>
    <n v="4"/>
    <b v="0"/>
    <n v="334"/>
    <n v="151"/>
    <x v="2"/>
    <x v="3"/>
    <x v="3"/>
    <x v="51"/>
    <n v="3.4"/>
    <x v="0"/>
    <x v="0"/>
    <x v="301"/>
    <x v="4"/>
    <x v="1"/>
    <x v="1"/>
    <n v="177"/>
    <x v="1"/>
    <n v="1.2655367231638419"/>
    <x v="0"/>
    <n v="6.5979381443298971E-2"/>
    <s v=" Browsers"/>
  </r>
  <r>
    <n v="8564"/>
    <s v="Lynn"/>
    <x v="241"/>
    <d v="2024-12-01T00:00:00"/>
    <n v="7.99"/>
    <n v="84"/>
    <x v="6"/>
    <n v="1"/>
    <n v="2"/>
    <b v="1"/>
    <n v="871"/>
    <n v="187"/>
    <x v="0"/>
    <x v="1"/>
    <x v="2"/>
    <x v="41"/>
    <n v="4.5"/>
    <x v="1"/>
    <x v="0"/>
    <x v="302"/>
    <x v="0"/>
    <x v="3"/>
    <x v="0"/>
    <n v="594"/>
    <x v="0"/>
    <n v="0.98989898989898983"/>
    <x v="0"/>
    <n v="7.9395085066162566E-2"/>
    <s v=" Browsers"/>
  </r>
  <r>
    <n v="8731"/>
    <s v="Jonathan"/>
    <x v="74"/>
    <d v="2024-12-02T00:00:00"/>
    <n v="15.99"/>
    <n v="210"/>
    <x v="6"/>
    <n v="5"/>
    <n v="5"/>
    <b v="0"/>
    <n v="206"/>
    <n v="194"/>
    <x v="1"/>
    <x v="0"/>
    <x v="0"/>
    <x v="12"/>
    <n v="3.9"/>
    <x v="0"/>
    <x v="0"/>
    <x v="303"/>
    <x v="0"/>
    <x v="3"/>
    <x v="1"/>
    <n v="337"/>
    <x v="2"/>
    <n v="4.3620178041543021"/>
    <x v="0"/>
    <n v="0.52500000000000002"/>
    <s v="Viewers"/>
  </r>
  <r>
    <n v="5000"/>
    <s v="Natalie"/>
    <x v="242"/>
    <d v="2024-11-24T00:00:00"/>
    <n v="15.99"/>
    <n v="231"/>
    <x v="4"/>
    <n v="3"/>
    <n v="5"/>
    <b v="1"/>
    <n v="701"/>
    <n v="173"/>
    <x v="3"/>
    <x v="2"/>
    <x v="1"/>
    <x v="15"/>
    <n v="3.4"/>
    <x v="1"/>
    <x v="0"/>
    <x v="304"/>
    <x v="0"/>
    <x v="2"/>
    <x v="2"/>
    <n v="648"/>
    <x v="2"/>
    <n v="2.4953703703703702"/>
    <x v="0"/>
    <n v="0.26430205949656749"/>
    <s v="Viewers"/>
  </r>
  <r>
    <n v="3882"/>
    <s v="Michelle"/>
    <x v="129"/>
    <d v="2024-12-15T00:00:00"/>
    <n v="15.99"/>
    <n v="246"/>
    <x v="1"/>
    <n v="3"/>
    <n v="3"/>
    <b v="0"/>
    <n v="505"/>
    <n v="129"/>
    <x v="1"/>
    <x v="2"/>
    <x v="4"/>
    <x v="45"/>
    <n v="4.9000000000000004"/>
    <x v="0"/>
    <x v="0"/>
    <x v="305"/>
    <x v="3"/>
    <x v="2"/>
    <x v="1"/>
    <n v="14"/>
    <x v="2"/>
    <n v="123"/>
    <x v="2"/>
    <n v="0.38801261829652994"/>
    <s v="Viewers"/>
  </r>
  <r>
    <n v="4551"/>
    <s v="Gabriel"/>
    <x v="243"/>
    <d v="2024-11-19T00:00:00"/>
    <n v="11.99"/>
    <n v="174"/>
    <x v="6"/>
    <n v="1"/>
    <n v="6"/>
    <b v="1"/>
    <n v="239"/>
    <n v="175"/>
    <x v="0"/>
    <x v="2"/>
    <x v="4"/>
    <x v="15"/>
    <n v="3.7"/>
    <x v="0"/>
    <x v="0"/>
    <x v="306"/>
    <x v="4"/>
    <x v="2"/>
    <x v="2"/>
    <n v="305"/>
    <x v="1"/>
    <n v="3.9934426229508198"/>
    <x v="0"/>
    <n v="0.42028985507246375"/>
    <s v="Viewers"/>
  </r>
  <r>
    <n v="7970"/>
    <s v="Scott"/>
    <x v="244"/>
    <d v="2024-11-19T00:00:00"/>
    <n v="15.99"/>
    <n v="298"/>
    <x v="5"/>
    <n v="3"/>
    <n v="1"/>
    <b v="1"/>
    <n v="115"/>
    <n v="168"/>
    <x v="5"/>
    <x v="0"/>
    <x v="0"/>
    <x v="21"/>
    <n v="3"/>
    <x v="0"/>
    <x v="0"/>
    <x v="307"/>
    <x v="0"/>
    <x v="4"/>
    <x v="2"/>
    <n v="487"/>
    <x v="2"/>
    <n v="4.283367556468173"/>
    <x v="0"/>
    <n v="1.0530035335689045"/>
    <s v="Viewers"/>
  </r>
  <r>
    <n v="2466"/>
    <s v="Heidi"/>
    <x v="245"/>
    <d v="2024-12-03T00:00:00"/>
    <n v="11.99"/>
    <n v="344"/>
    <x v="3"/>
    <n v="5"/>
    <n v="2"/>
    <b v="0"/>
    <n v="142"/>
    <n v="113"/>
    <x v="0"/>
    <x v="0"/>
    <x v="1"/>
    <x v="90"/>
    <n v="4.5999999999999996"/>
    <x v="1"/>
    <x v="0"/>
    <x v="308"/>
    <x v="3"/>
    <x v="1"/>
    <x v="3"/>
    <n v="35"/>
    <x v="1"/>
    <n v="68.8"/>
    <x v="2"/>
    <n v="1.3490196078431373"/>
    <s v="Viewers"/>
  </r>
  <r>
    <n v="1303"/>
    <s v="Ashley"/>
    <x v="8"/>
    <d v="2024-12-04T00:00:00"/>
    <n v="11.99"/>
    <n v="264"/>
    <x v="6"/>
    <n v="2"/>
    <n v="1"/>
    <b v="1"/>
    <n v="744"/>
    <n v="33"/>
    <x v="4"/>
    <x v="3"/>
    <x v="4"/>
    <x v="94"/>
    <n v="4.9000000000000004"/>
    <x v="1"/>
    <x v="0"/>
    <x v="309"/>
    <x v="1"/>
    <x v="1"/>
    <x v="1"/>
    <n v="536"/>
    <x v="1"/>
    <n v="3.4477611940298507"/>
    <x v="0"/>
    <n v="0.33976833976833976"/>
    <s v="Viewers"/>
  </r>
  <r>
    <n v="9832"/>
    <s v="Danielle"/>
    <x v="102"/>
    <d v="2024-11-21T00:00:00"/>
    <n v="7.99"/>
    <n v="380"/>
    <x v="1"/>
    <n v="2"/>
    <n v="5"/>
    <b v="1"/>
    <n v="820"/>
    <n v="17"/>
    <x v="4"/>
    <x v="0"/>
    <x v="5"/>
    <x v="67"/>
    <n v="3"/>
    <x v="0"/>
    <x v="0"/>
    <x v="310"/>
    <x v="3"/>
    <x v="1"/>
    <x v="1"/>
    <n v="701"/>
    <x v="0"/>
    <n v="3.7945791726105567"/>
    <x v="0"/>
    <n v="0.45400238948626043"/>
    <s v="Viewers"/>
  </r>
  <r>
    <n v="3618"/>
    <s v="Paul"/>
    <x v="246"/>
    <d v="2024-12-03T00:00:00"/>
    <n v="11.99"/>
    <n v="160"/>
    <x v="0"/>
    <n v="2"/>
    <n v="1"/>
    <b v="0"/>
    <n v="940"/>
    <n v="50"/>
    <x v="4"/>
    <x v="3"/>
    <x v="1"/>
    <x v="5"/>
    <n v="3"/>
    <x v="0"/>
    <x v="0"/>
    <x v="311"/>
    <x v="1"/>
    <x v="4"/>
    <x v="0"/>
    <n v="304"/>
    <x v="1"/>
    <n v="3.6842105263157894"/>
    <x v="0"/>
    <n v="0.16161616161616163"/>
    <s v="Viewers"/>
  </r>
  <r>
    <n v="7424"/>
    <s v="Lisa"/>
    <x v="247"/>
    <d v="2024-12-13T00:00:00"/>
    <n v="7.99"/>
    <n v="55"/>
    <x v="5"/>
    <n v="4"/>
    <n v="6"/>
    <b v="1"/>
    <n v="135"/>
    <n v="138"/>
    <x v="5"/>
    <x v="2"/>
    <x v="5"/>
    <x v="78"/>
    <n v="3.4"/>
    <x v="0"/>
    <x v="0"/>
    <x v="312"/>
    <x v="4"/>
    <x v="3"/>
    <x v="1"/>
    <n v="493"/>
    <x v="0"/>
    <n v="0.78093306288032449"/>
    <x v="0"/>
    <n v="0.20146520146520147"/>
    <s v="Viewers"/>
  </r>
  <r>
    <n v="8414"/>
    <s v="Lisa"/>
    <x v="248"/>
    <d v="2024-11-22T00:00:00"/>
    <n v="11.99"/>
    <n v="70"/>
    <x v="1"/>
    <n v="2"/>
    <n v="3"/>
    <b v="1"/>
    <n v="803"/>
    <n v="51"/>
    <x v="3"/>
    <x v="3"/>
    <x v="2"/>
    <x v="50"/>
    <n v="3.8"/>
    <x v="0"/>
    <x v="0"/>
    <x v="313"/>
    <x v="3"/>
    <x v="4"/>
    <x v="3"/>
    <n v="314"/>
    <x v="1"/>
    <n v="1.5605095541401275"/>
    <x v="0"/>
    <n v="8.1967213114754092E-2"/>
    <s v=" Browsers"/>
  </r>
  <r>
    <n v="5688"/>
    <s v="Ashley"/>
    <x v="249"/>
    <d v="2024-11-30T00:00:00"/>
    <n v="7.99"/>
    <n v="256"/>
    <x v="1"/>
    <n v="3"/>
    <n v="3"/>
    <b v="0"/>
    <n v="322"/>
    <n v="199"/>
    <x v="1"/>
    <x v="2"/>
    <x v="4"/>
    <x v="15"/>
    <n v="4.5"/>
    <x v="0"/>
    <x v="0"/>
    <x v="314"/>
    <x v="0"/>
    <x v="3"/>
    <x v="2"/>
    <n v="64"/>
    <x v="0"/>
    <n v="28"/>
    <x v="2"/>
    <n v="0.49136276391554701"/>
    <s v="Viewers"/>
  </r>
  <r>
    <n v="2062"/>
    <s v="Darren"/>
    <x v="85"/>
    <d v="2024-11-24T00:00:00"/>
    <n v="15.99"/>
    <n v="436"/>
    <x v="3"/>
    <n v="5"/>
    <n v="6"/>
    <b v="1"/>
    <n v="424"/>
    <n v="111"/>
    <x v="6"/>
    <x v="2"/>
    <x v="1"/>
    <x v="61"/>
    <n v="3.5"/>
    <x v="1"/>
    <x v="0"/>
    <x v="315"/>
    <x v="2"/>
    <x v="3"/>
    <x v="0"/>
    <n v="153"/>
    <x v="2"/>
    <n v="19.947712418300654"/>
    <x v="2"/>
    <n v="0.81495327102803738"/>
    <s v="Viewers"/>
  </r>
  <r>
    <n v="5031"/>
    <s v="Bethany"/>
    <x v="250"/>
    <d v="2024-11-27T00:00:00"/>
    <n v="7.99"/>
    <n v="394"/>
    <x v="0"/>
    <n v="2"/>
    <n v="6"/>
    <b v="1"/>
    <n v="60"/>
    <n v="159"/>
    <x v="2"/>
    <x v="0"/>
    <x v="1"/>
    <x v="82"/>
    <n v="3"/>
    <x v="1"/>
    <x v="0"/>
    <x v="316"/>
    <x v="1"/>
    <x v="2"/>
    <x v="0"/>
    <n v="481"/>
    <x v="0"/>
    <n v="5.7338877338877348"/>
    <x v="1"/>
    <n v="1.7990867579908676"/>
    <s v="Viewers"/>
  </r>
  <r>
    <n v="1162"/>
    <s v="Steven"/>
    <x v="251"/>
    <d v="2024-11-29T00:00:00"/>
    <n v="15.99"/>
    <n v="131"/>
    <x v="2"/>
    <n v="3"/>
    <n v="3"/>
    <b v="0"/>
    <n v="865"/>
    <n v="8"/>
    <x v="3"/>
    <x v="1"/>
    <x v="3"/>
    <x v="18"/>
    <n v="4.5999999999999996"/>
    <x v="0"/>
    <x v="0"/>
    <x v="317"/>
    <x v="2"/>
    <x v="3"/>
    <x v="3"/>
    <n v="671"/>
    <x v="2"/>
    <n v="1.3666169895678091"/>
    <x v="0"/>
    <n v="0.15005727376861397"/>
    <s v="Viewers"/>
  </r>
  <r>
    <n v="6564"/>
    <s v="James"/>
    <x v="231"/>
    <d v="2024-12-07T00:00:00"/>
    <n v="11.99"/>
    <n v="98"/>
    <x v="1"/>
    <n v="5"/>
    <n v="2"/>
    <b v="1"/>
    <n v="526"/>
    <n v="144"/>
    <x v="0"/>
    <x v="1"/>
    <x v="4"/>
    <x v="95"/>
    <n v="3.9"/>
    <x v="1"/>
    <x v="0"/>
    <x v="318"/>
    <x v="3"/>
    <x v="1"/>
    <x v="3"/>
    <n v="411"/>
    <x v="1"/>
    <n v="1.6690997566909975"/>
    <x v="0"/>
    <n v="0.14626865671641792"/>
    <s v=" Browsers"/>
  </r>
  <r>
    <n v="9298"/>
    <s v="Christine"/>
    <x v="221"/>
    <d v="2024-12-04T00:00:00"/>
    <n v="11.99"/>
    <n v="276"/>
    <x v="5"/>
    <n v="5"/>
    <n v="4"/>
    <b v="0"/>
    <n v="389"/>
    <n v="177"/>
    <x v="6"/>
    <x v="0"/>
    <x v="4"/>
    <x v="96"/>
    <n v="4.3"/>
    <x v="0"/>
    <x v="0"/>
    <x v="319"/>
    <x v="4"/>
    <x v="4"/>
    <x v="1"/>
    <n v="185"/>
    <x v="1"/>
    <n v="10.443243243243243"/>
    <x v="1"/>
    <n v="0.48763250883392228"/>
    <s v="Viewers"/>
  </r>
  <r>
    <n v="4216"/>
    <s v="Beth"/>
    <x v="252"/>
    <d v="2024-11-19T00:00:00"/>
    <n v="11.99"/>
    <n v="251"/>
    <x v="0"/>
    <n v="3"/>
    <n v="3"/>
    <b v="0"/>
    <n v="922"/>
    <n v="106"/>
    <x v="4"/>
    <x v="1"/>
    <x v="0"/>
    <x v="2"/>
    <n v="4.3"/>
    <x v="1"/>
    <x v="0"/>
    <x v="320"/>
    <x v="0"/>
    <x v="1"/>
    <x v="0"/>
    <n v="250"/>
    <x v="1"/>
    <n v="7.0279999999999996"/>
    <x v="1"/>
    <n v="0.24416342412451361"/>
    <s v="Viewers"/>
  </r>
  <r>
    <n v="3677"/>
    <s v="Rebecca"/>
    <x v="253"/>
    <d v="2024-11-29T00:00:00"/>
    <n v="7.99"/>
    <n v="233"/>
    <x v="2"/>
    <n v="4"/>
    <n v="2"/>
    <b v="1"/>
    <n v="485"/>
    <n v="37"/>
    <x v="1"/>
    <x v="0"/>
    <x v="2"/>
    <x v="3"/>
    <n v="3.4"/>
    <x v="1"/>
    <x v="0"/>
    <x v="321"/>
    <x v="0"/>
    <x v="1"/>
    <x v="3"/>
    <n v="632"/>
    <x v="0"/>
    <n v="2.5806962025316453"/>
    <x v="0"/>
    <n v="0.44636015325670497"/>
    <s v="Viewers"/>
  </r>
  <r>
    <n v="8453"/>
    <s v="Eric"/>
    <x v="254"/>
    <d v="2024-11-27T00:00:00"/>
    <n v="11.99"/>
    <n v="136"/>
    <x v="6"/>
    <n v="2"/>
    <n v="5"/>
    <b v="1"/>
    <n v="112"/>
    <n v="181"/>
    <x v="3"/>
    <x v="3"/>
    <x v="0"/>
    <x v="48"/>
    <n v="3.6"/>
    <x v="0"/>
    <x v="0"/>
    <x v="322"/>
    <x v="3"/>
    <x v="2"/>
    <x v="2"/>
    <n v="194"/>
    <x v="1"/>
    <n v="4.9072164948453603"/>
    <x v="0"/>
    <n v="0.46416382252559729"/>
    <s v="Viewers"/>
  </r>
  <r>
    <n v="6231"/>
    <s v="Nicole"/>
    <x v="255"/>
    <d v="2024-12-07T00:00:00"/>
    <n v="15.99"/>
    <n v="248"/>
    <x v="4"/>
    <n v="1"/>
    <n v="6"/>
    <b v="0"/>
    <n v="181"/>
    <n v="13"/>
    <x v="6"/>
    <x v="2"/>
    <x v="3"/>
    <x v="80"/>
    <n v="4.9000000000000004"/>
    <x v="1"/>
    <x v="0"/>
    <x v="323"/>
    <x v="3"/>
    <x v="3"/>
    <x v="0"/>
    <n v="683"/>
    <x v="2"/>
    <n v="2.5417276720351389"/>
    <x v="0"/>
    <n v="1.2783505154639174"/>
    <s v="Viewers"/>
  </r>
  <r>
    <n v="1481"/>
    <s v="Mary"/>
    <x v="128"/>
    <d v="2024-12-01T00:00:00"/>
    <n v="7.99"/>
    <n v="180"/>
    <x v="3"/>
    <n v="3"/>
    <n v="4"/>
    <b v="0"/>
    <n v="936"/>
    <n v="166"/>
    <x v="2"/>
    <x v="1"/>
    <x v="4"/>
    <x v="5"/>
    <n v="4.9000000000000004"/>
    <x v="1"/>
    <x v="0"/>
    <x v="324"/>
    <x v="0"/>
    <x v="3"/>
    <x v="2"/>
    <n v="650"/>
    <x v="0"/>
    <n v="1.9384615384615385"/>
    <x v="0"/>
    <n v="0.16333938294010888"/>
    <s v="Viewers"/>
  </r>
  <r>
    <n v="7400"/>
    <s v="Allen"/>
    <x v="256"/>
    <d v="2024-12-15T00:00:00"/>
    <n v="11.99"/>
    <n v="254"/>
    <x v="0"/>
    <n v="4"/>
    <n v="1"/>
    <b v="1"/>
    <n v="406"/>
    <n v="47"/>
    <x v="4"/>
    <x v="1"/>
    <x v="2"/>
    <x v="78"/>
    <n v="3.6"/>
    <x v="0"/>
    <x v="0"/>
    <x v="325"/>
    <x v="1"/>
    <x v="3"/>
    <x v="0"/>
    <n v="220"/>
    <x v="1"/>
    <n v="8.081818181818182"/>
    <x v="1"/>
    <n v="0.56070640176600439"/>
    <s v="Viewers"/>
  </r>
  <r>
    <n v="7447"/>
    <s v="Stephanie"/>
    <x v="257"/>
    <d v="2024-11-20T00:00:00"/>
    <n v="7.99"/>
    <n v="108"/>
    <x v="1"/>
    <n v="2"/>
    <n v="1"/>
    <b v="0"/>
    <n v="717"/>
    <n v="84"/>
    <x v="5"/>
    <x v="0"/>
    <x v="0"/>
    <x v="45"/>
    <n v="3.9"/>
    <x v="0"/>
    <x v="0"/>
    <x v="326"/>
    <x v="2"/>
    <x v="0"/>
    <x v="0"/>
    <n v="539"/>
    <x v="0"/>
    <n v="1.4025974025974026"/>
    <x v="0"/>
    <n v="0.1348314606741573"/>
    <s v=" Browsers"/>
  </r>
  <r>
    <n v="4597"/>
    <s v="Sarah"/>
    <x v="258"/>
    <d v="2024-12-13T00:00:00"/>
    <n v="7.99"/>
    <n v="183"/>
    <x v="3"/>
    <n v="4"/>
    <n v="5"/>
    <b v="0"/>
    <n v="833"/>
    <n v="154"/>
    <x v="6"/>
    <x v="0"/>
    <x v="1"/>
    <x v="63"/>
    <n v="3.9"/>
    <x v="0"/>
    <x v="0"/>
    <x v="327"/>
    <x v="4"/>
    <x v="0"/>
    <x v="1"/>
    <n v="125"/>
    <x v="0"/>
    <n v="10.247999999999999"/>
    <x v="1"/>
    <n v="0.18541033434650456"/>
    <s v="Viewers"/>
  </r>
  <r>
    <n v="3173"/>
    <s v="Aaron"/>
    <x v="259"/>
    <d v="2024-12-09T00:00:00"/>
    <n v="7.99"/>
    <n v="53"/>
    <x v="2"/>
    <n v="2"/>
    <n v="4"/>
    <b v="1"/>
    <n v="304"/>
    <n v="49"/>
    <x v="6"/>
    <x v="3"/>
    <x v="4"/>
    <x v="10"/>
    <n v="4.3"/>
    <x v="0"/>
    <x v="0"/>
    <x v="328"/>
    <x v="1"/>
    <x v="1"/>
    <x v="1"/>
    <n v="75"/>
    <x v="0"/>
    <n v="4.9466666666666672"/>
    <x v="0"/>
    <n v="0.1501416430594901"/>
    <s v="Viewers"/>
  </r>
  <r>
    <n v="9514"/>
    <s v="Veronica"/>
    <x v="4"/>
    <d v="2024-12-10T00:00:00"/>
    <n v="7.99"/>
    <n v="120"/>
    <x v="4"/>
    <n v="3"/>
    <n v="3"/>
    <b v="1"/>
    <n v="802"/>
    <n v="31"/>
    <x v="2"/>
    <x v="1"/>
    <x v="0"/>
    <x v="88"/>
    <n v="4"/>
    <x v="1"/>
    <x v="0"/>
    <x v="329"/>
    <x v="3"/>
    <x v="1"/>
    <x v="1"/>
    <n v="553"/>
    <x v="0"/>
    <n v="1.518987341772152"/>
    <x v="0"/>
    <n v="0.14405762304921968"/>
    <s v=" Browsers"/>
  </r>
  <r>
    <n v="4985"/>
    <s v="Michael"/>
    <x v="260"/>
    <d v="2024-12-01T00:00:00"/>
    <n v="7.99"/>
    <n v="118"/>
    <x v="2"/>
    <n v="5"/>
    <n v="4"/>
    <b v="0"/>
    <n v="522"/>
    <n v="160"/>
    <x v="2"/>
    <x v="3"/>
    <x v="2"/>
    <x v="43"/>
    <n v="4.0999999999999996"/>
    <x v="1"/>
    <x v="0"/>
    <x v="330"/>
    <x v="1"/>
    <x v="2"/>
    <x v="0"/>
    <n v="478"/>
    <x v="0"/>
    <n v="1.7280334728033471"/>
    <x v="0"/>
    <n v="0.17302052785923755"/>
    <s v="Viewers"/>
  </r>
  <r>
    <n v="4486"/>
    <s v="Craig"/>
    <x v="261"/>
    <d v="2024-12-13T00:00:00"/>
    <n v="7.99"/>
    <n v="113"/>
    <x v="1"/>
    <n v="1"/>
    <n v="1"/>
    <b v="0"/>
    <n v="177"/>
    <n v="3"/>
    <x v="4"/>
    <x v="3"/>
    <x v="4"/>
    <x v="1"/>
    <n v="4.8"/>
    <x v="0"/>
    <x v="0"/>
    <x v="331"/>
    <x v="1"/>
    <x v="4"/>
    <x v="0"/>
    <n v="343"/>
    <x v="0"/>
    <n v="2.306122448979592"/>
    <x v="0"/>
    <n v="0.62777777777777777"/>
    <s v="Viewers"/>
  </r>
  <r>
    <n v="8756"/>
    <s v="Jessica"/>
    <x v="262"/>
    <d v="2024-12-09T00:00:00"/>
    <n v="7.99"/>
    <n v="138"/>
    <x v="1"/>
    <n v="3"/>
    <n v="2"/>
    <b v="1"/>
    <n v="811"/>
    <n v="37"/>
    <x v="4"/>
    <x v="1"/>
    <x v="2"/>
    <x v="58"/>
    <n v="3.6"/>
    <x v="0"/>
    <x v="0"/>
    <x v="332"/>
    <x v="0"/>
    <x v="0"/>
    <x v="1"/>
    <n v="353"/>
    <x v="0"/>
    <n v="2.7365439093484416"/>
    <x v="0"/>
    <n v="0.16273584905660377"/>
    <s v="Viewers"/>
  </r>
  <r>
    <n v="9121"/>
    <s v="Denise"/>
    <x v="156"/>
    <d v="2024-12-12T00:00:00"/>
    <n v="7.99"/>
    <n v="178"/>
    <x v="4"/>
    <n v="1"/>
    <n v="4"/>
    <b v="0"/>
    <n v="239"/>
    <n v="126"/>
    <x v="1"/>
    <x v="3"/>
    <x v="4"/>
    <x v="89"/>
    <n v="3.9"/>
    <x v="0"/>
    <x v="0"/>
    <x v="333"/>
    <x v="3"/>
    <x v="3"/>
    <x v="1"/>
    <n v="543"/>
    <x v="0"/>
    <n v="2.2946593001841622"/>
    <x v="0"/>
    <n v="0.48767123287671232"/>
    <s v="Viewers"/>
  </r>
  <r>
    <n v="6471"/>
    <s v="Jennifer"/>
    <x v="263"/>
    <d v="2024-11-25T00:00:00"/>
    <n v="7.99"/>
    <n v="105"/>
    <x v="5"/>
    <n v="4"/>
    <n v="3"/>
    <b v="1"/>
    <n v="49"/>
    <n v="71"/>
    <x v="4"/>
    <x v="2"/>
    <x v="5"/>
    <x v="39"/>
    <n v="3.6"/>
    <x v="0"/>
    <x v="0"/>
    <x v="334"/>
    <x v="1"/>
    <x v="3"/>
    <x v="3"/>
    <n v="333"/>
    <x v="0"/>
    <n v="2.2072072072072073"/>
    <x v="0"/>
    <n v="0.875"/>
    <s v="Viewers"/>
  </r>
  <r>
    <n v="6601"/>
    <s v="Larry"/>
    <x v="194"/>
    <d v="2024-12-18T00:00:00"/>
    <n v="7.99"/>
    <n v="283"/>
    <x v="0"/>
    <n v="1"/>
    <n v="5"/>
    <b v="1"/>
    <n v="407"/>
    <n v="15"/>
    <x v="6"/>
    <x v="1"/>
    <x v="5"/>
    <x v="8"/>
    <n v="3.1"/>
    <x v="1"/>
    <x v="0"/>
    <x v="335"/>
    <x v="2"/>
    <x v="4"/>
    <x v="3"/>
    <n v="575"/>
    <x v="0"/>
    <n v="3.445217391304348"/>
    <x v="0"/>
    <n v="0.67061611374407581"/>
    <s v="Viewers"/>
  </r>
  <r>
    <n v="4340"/>
    <s v="Makayla"/>
    <x v="264"/>
    <d v="2024-12-07T00:00:00"/>
    <n v="15.99"/>
    <n v="154"/>
    <x v="2"/>
    <n v="4"/>
    <n v="5"/>
    <b v="1"/>
    <n v="804"/>
    <n v="106"/>
    <x v="2"/>
    <x v="0"/>
    <x v="4"/>
    <x v="22"/>
    <n v="4.8"/>
    <x v="0"/>
    <x v="0"/>
    <x v="336"/>
    <x v="3"/>
    <x v="4"/>
    <x v="0"/>
    <n v="630"/>
    <x v="2"/>
    <n v="1.711111111111111"/>
    <x v="0"/>
    <n v="0.16923076923076924"/>
    <s v="Viewers"/>
  </r>
  <r>
    <n v="5112"/>
    <s v="Juan"/>
    <x v="265"/>
    <d v="2024-12-14T00:00:00"/>
    <n v="15.99"/>
    <n v="240"/>
    <x v="4"/>
    <n v="2"/>
    <n v="6"/>
    <b v="1"/>
    <n v="564"/>
    <n v="121"/>
    <x v="0"/>
    <x v="3"/>
    <x v="0"/>
    <x v="42"/>
    <n v="3.5"/>
    <x v="1"/>
    <x v="0"/>
    <x v="337"/>
    <x v="2"/>
    <x v="1"/>
    <x v="1"/>
    <n v="39"/>
    <x v="2"/>
    <n v="43.07692307692308"/>
    <x v="2"/>
    <n v="0.35036496350364965"/>
    <s v="Viewers"/>
  </r>
  <r>
    <n v="5700"/>
    <s v="Gregory"/>
    <x v="266"/>
    <d v="2024-12-09T00:00:00"/>
    <n v="11.99"/>
    <n v="29"/>
    <x v="2"/>
    <n v="1"/>
    <n v="5"/>
    <b v="1"/>
    <n v="625"/>
    <n v="165"/>
    <x v="6"/>
    <x v="2"/>
    <x v="3"/>
    <x v="81"/>
    <n v="4.3"/>
    <x v="0"/>
    <x v="0"/>
    <x v="338"/>
    <x v="3"/>
    <x v="2"/>
    <x v="3"/>
    <n v="563"/>
    <x v="1"/>
    <n v="0.36056838365896982"/>
    <x v="0"/>
    <n v="3.6708860759493672E-2"/>
    <s v=" Browsers"/>
  </r>
  <r>
    <n v="8617"/>
    <s v="Ashley"/>
    <x v="267"/>
    <d v="2024-12-11T00:00:00"/>
    <n v="15.99"/>
    <n v="202"/>
    <x v="5"/>
    <n v="1"/>
    <n v="2"/>
    <b v="1"/>
    <n v="260"/>
    <n v="53"/>
    <x v="4"/>
    <x v="3"/>
    <x v="4"/>
    <x v="44"/>
    <n v="3.9"/>
    <x v="1"/>
    <x v="0"/>
    <x v="339"/>
    <x v="3"/>
    <x v="4"/>
    <x v="1"/>
    <n v="58"/>
    <x v="2"/>
    <n v="24.379310344827584"/>
    <x v="2"/>
    <n v="0.64536741214057503"/>
    <s v="Viewers"/>
  </r>
  <r>
    <n v="9149"/>
    <s v="Angelica"/>
    <x v="228"/>
    <d v="2024-12-17T00:00:00"/>
    <n v="15.99"/>
    <n v="348"/>
    <x v="3"/>
    <n v="2"/>
    <n v="6"/>
    <b v="1"/>
    <n v="378"/>
    <n v="56"/>
    <x v="4"/>
    <x v="1"/>
    <x v="3"/>
    <x v="87"/>
    <n v="4.5"/>
    <x v="1"/>
    <x v="0"/>
    <x v="340"/>
    <x v="2"/>
    <x v="2"/>
    <x v="3"/>
    <n v="712"/>
    <x v="2"/>
    <n v="3.4213483146067416"/>
    <x v="0"/>
    <n v="0.8018433179723502"/>
    <s v="Viewers"/>
  </r>
  <r>
    <n v="8651"/>
    <s v="Dawn"/>
    <x v="268"/>
    <d v="2024-11-26T00:00:00"/>
    <n v="15.99"/>
    <n v="380"/>
    <x v="6"/>
    <n v="5"/>
    <n v="5"/>
    <b v="0"/>
    <n v="334"/>
    <n v="175"/>
    <x v="6"/>
    <x v="2"/>
    <x v="1"/>
    <x v="1"/>
    <n v="3.1"/>
    <x v="0"/>
    <x v="0"/>
    <x v="341"/>
    <x v="4"/>
    <x v="4"/>
    <x v="0"/>
    <n v="99"/>
    <x v="2"/>
    <n v="26.868686868686869"/>
    <x v="2"/>
    <n v="0.74656188605108054"/>
    <s v="Viewers"/>
  </r>
  <r>
    <n v="1495"/>
    <s v="Timothy"/>
    <x v="268"/>
    <d v="2024-11-22T00:00:00"/>
    <n v="15.99"/>
    <n v="254"/>
    <x v="6"/>
    <n v="3"/>
    <n v="2"/>
    <b v="0"/>
    <n v="544"/>
    <n v="89"/>
    <x v="6"/>
    <x v="1"/>
    <x v="4"/>
    <x v="28"/>
    <n v="3.1"/>
    <x v="0"/>
    <x v="0"/>
    <x v="342"/>
    <x v="0"/>
    <x v="1"/>
    <x v="0"/>
    <n v="95"/>
    <x v="2"/>
    <n v="18.715789473684211"/>
    <x v="2"/>
    <n v="0.40126382306477093"/>
    <s v="Viewers"/>
  </r>
  <r>
    <n v="7359"/>
    <s v="Kevin"/>
    <x v="269"/>
    <d v="2024-12-17T00:00:00"/>
    <n v="15.99"/>
    <n v="477"/>
    <x v="0"/>
    <n v="2"/>
    <n v="3"/>
    <b v="1"/>
    <n v="899"/>
    <n v="97"/>
    <x v="0"/>
    <x v="2"/>
    <x v="4"/>
    <x v="19"/>
    <n v="4.7"/>
    <x v="1"/>
    <x v="0"/>
    <x v="32"/>
    <x v="3"/>
    <x v="3"/>
    <x v="2"/>
    <n v="638"/>
    <x v="2"/>
    <n v="5.2335423197492164"/>
    <x v="1"/>
    <n v="0.47891566265060243"/>
    <s v="Viewers"/>
  </r>
  <r>
    <n v="6525"/>
    <s v="Paul"/>
    <x v="270"/>
    <d v="2024-11-22T00:00:00"/>
    <n v="15.99"/>
    <n v="385"/>
    <x v="5"/>
    <n v="3"/>
    <n v="1"/>
    <b v="0"/>
    <n v="807"/>
    <n v="188"/>
    <x v="0"/>
    <x v="2"/>
    <x v="5"/>
    <x v="20"/>
    <n v="3.4"/>
    <x v="0"/>
    <x v="0"/>
    <x v="343"/>
    <x v="4"/>
    <x v="0"/>
    <x v="3"/>
    <n v="667"/>
    <x v="2"/>
    <n v="4.0404797601199398"/>
    <x v="0"/>
    <n v="0.38693467336683418"/>
    <s v="Viewers"/>
  </r>
  <r>
    <n v="7207"/>
    <s v="Christina"/>
    <x v="268"/>
    <d v="2024-12-17T00:00:00"/>
    <n v="7.99"/>
    <n v="336"/>
    <x v="2"/>
    <n v="1"/>
    <n v="2"/>
    <b v="0"/>
    <n v="235"/>
    <n v="25"/>
    <x v="4"/>
    <x v="2"/>
    <x v="5"/>
    <x v="97"/>
    <n v="3.9"/>
    <x v="0"/>
    <x v="0"/>
    <x v="344"/>
    <x v="3"/>
    <x v="0"/>
    <x v="0"/>
    <n v="120"/>
    <x v="0"/>
    <n v="19.600000000000001"/>
    <x v="2"/>
    <n v="1.2923076923076924"/>
    <s v="Viewers"/>
  </r>
  <r>
    <n v="2361"/>
    <s v="Karen"/>
    <x v="264"/>
    <d v="2024-11-25T00:00:00"/>
    <n v="15.99"/>
    <n v="171"/>
    <x v="0"/>
    <n v="2"/>
    <n v="3"/>
    <b v="0"/>
    <n v="763"/>
    <n v="16"/>
    <x v="2"/>
    <x v="0"/>
    <x v="3"/>
    <x v="71"/>
    <n v="3.4"/>
    <x v="1"/>
    <x v="0"/>
    <x v="238"/>
    <x v="4"/>
    <x v="1"/>
    <x v="1"/>
    <n v="618"/>
    <x v="2"/>
    <n v="1.936893203883495"/>
    <x v="0"/>
    <n v="0.21951219512195122"/>
    <s v="Viewers"/>
  </r>
  <r>
    <n v="8766"/>
    <s v="Anna"/>
    <x v="271"/>
    <d v="2024-11-27T00:00:00"/>
    <n v="15.99"/>
    <n v="33"/>
    <x v="3"/>
    <n v="1"/>
    <n v="4"/>
    <b v="1"/>
    <n v="475"/>
    <n v="151"/>
    <x v="1"/>
    <x v="2"/>
    <x v="5"/>
    <x v="88"/>
    <n v="4.7"/>
    <x v="1"/>
    <x v="0"/>
    <x v="345"/>
    <x v="2"/>
    <x v="3"/>
    <x v="0"/>
    <n v="425"/>
    <x v="2"/>
    <n v="0.54352941176470593"/>
    <x v="0"/>
    <n v="5.2715654952076675E-2"/>
    <s v=" Browsers"/>
  </r>
  <r>
    <n v="7236"/>
    <s v="Mary"/>
    <x v="272"/>
    <d v="2024-12-10T00:00:00"/>
    <n v="7.99"/>
    <n v="193"/>
    <x v="6"/>
    <n v="3"/>
    <n v="6"/>
    <b v="1"/>
    <n v="453"/>
    <n v="113"/>
    <x v="2"/>
    <x v="3"/>
    <x v="5"/>
    <x v="98"/>
    <n v="3.5"/>
    <x v="1"/>
    <x v="0"/>
    <x v="346"/>
    <x v="3"/>
    <x v="1"/>
    <x v="1"/>
    <n v="241"/>
    <x v="0"/>
    <n v="5.605809128630705"/>
    <x v="1"/>
    <n v="0.3409893992932862"/>
    <s v="Viewers"/>
  </r>
  <r>
    <n v="8605"/>
    <s v="Jessica"/>
    <x v="257"/>
    <d v="2024-12-01T00:00:00"/>
    <n v="11.99"/>
    <n v="153"/>
    <x v="4"/>
    <n v="2"/>
    <n v="2"/>
    <b v="1"/>
    <n v="40"/>
    <n v="106"/>
    <x v="3"/>
    <x v="1"/>
    <x v="5"/>
    <x v="52"/>
    <n v="4.4000000000000004"/>
    <x v="1"/>
    <x v="0"/>
    <x v="347"/>
    <x v="4"/>
    <x v="1"/>
    <x v="3"/>
    <n v="550"/>
    <x v="1"/>
    <n v="1.9472727272727273"/>
    <x v="0"/>
    <n v="1.047945205479452"/>
    <s v="Viewers"/>
  </r>
  <r>
    <n v="1055"/>
    <s v="Taylor"/>
    <x v="128"/>
    <d v="2024-12-12T00:00:00"/>
    <n v="15.99"/>
    <n v="140"/>
    <x v="4"/>
    <n v="5"/>
    <n v="5"/>
    <b v="1"/>
    <n v="112"/>
    <n v="30"/>
    <x v="6"/>
    <x v="2"/>
    <x v="0"/>
    <x v="22"/>
    <n v="3.1"/>
    <x v="1"/>
    <x v="0"/>
    <x v="348"/>
    <x v="1"/>
    <x v="0"/>
    <x v="1"/>
    <n v="661"/>
    <x v="2"/>
    <n v="1.4826021180030258"/>
    <x v="0"/>
    <n v="0.9859154929577465"/>
    <s v="Viewers"/>
  </r>
  <r>
    <n v="7986"/>
    <s v="Douglas"/>
    <x v="119"/>
    <d v="2024-12-10T00:00:00"/>
    <n v="15.99"/>
    <n v="196"/>
    <x v="5"/>
    <n v="2"/>
    <n v="2"/>
    <b v="1"/>
    <n v="102"/>
    <n v="66"/>
    <x v="4"/>
    <x v="3"/>
    <x v="3"/>
    <x v="17"/>
    <n v="3.7"/>
    <x v="0"/>
    <x v="0"/>
    <x v="349"/>
    <x v="4"/>
    <x v="3"/>
    <x v="3"/>
    <n v="687"/>
    <x v="2"/>
    <n v="1.9970887918486173"/>
    <x v="0"/>
    <n v="1.1666666666666667"/>
    <s v="Viewers"/>
  </r>
  <r>
    <n v="6170"/>
    <s v="Sarah"/>
    <x v="226"/>
    <d v="2024-11-22T00:00:00"/>
    <n v="15.99"/>
    <n v="298"/>
    <x v="4"/>
    <n v="5"/>
    <n v="1"/>
    <b v="1"/>
    <n v="943"/>
    <n v="187"/>
    <x v="2"/>
    <x v="3"/>
    <x v="3"/>
    <x v="22"/>
    <n v="3.7"/>
    <x v="0"/>
    <x v="0"/>
    <x v="350"/>
    <x v="1"/>
    <x v="3"/>
    <x v="0"/>
    <n v="154"/>
    <x v="2"/>
    <n v="13.545454545454545"/>
    <x v="1"/>
    <n v="0.26371681415929205"/>
    <s v="Viewers"/>
  </r>
  <r>
    <n v="7172"/>
    <s v="Felicia"/>
    <x v="273"/>
    <d v="2024-11-22T00:00:00"/>
    <n v="11.99"/>
    <n v="477"/>
    <x v="3"/>
    <n v="5"/>
    <n v="4"/>
    <b v="0"/>
    <n v="426"/>
    <n v="137"/>
    <x v="6"/>
    <x v="2"/>
    <x v="0"/>
    <x v="97"/>
    <n v="5"/>
    <x v="0"/>
    <x v="0"/>
    <x v="351"/>
    <x v="2"/>
    <x v="3"/>
    <x v="2"/>
    <n v="502"/>
    <x v="1"/>
    <n v="6.6513944223107577"/>
    <x v="1"/>
    <n v="0.84724689165186506"/>
    <s v="Viewers"/>
  </r>
  <r>
    <n v="7408"/>
    <s v="Aaron"/>
    <x v="274"/>
    <d v="2024-11-24T00:00:00"/>
    <n v="15.99"/>
    <n v="308"/>
    <x v="6"/>
    <n v="1"/>
    <n v="2"/>
    <b v="1"/>
    <n v="202"/>
    <n v="12"/>
    <x v="3"/>
    <x v="3"/>
    <x v="3"/>
    <x v="68"/>
    <n v="4.5"/>
    <x v="0"/>
    <x v="0"/>
    <x v="352"/>
    <x v="1"/>
    <x v="1"/>
    <x v="2"/>
    <n v="698"/>
    <x v="2"/>
    <n v="3.0888252148997135"/>
    <x v="0"/>
    <n v="1.4392523364485981"/>
    <s v="Viewers"/>
  </r>
  <r>
    <n v="7274"/>
    <s v="Joseph"/>
    <x v="275"/>
    <d v="2024-12-06T00:00:00"/>
    <n v="11.99"/>
    <n v="193"/>
    <x v="3"/>
    <n v="4"/>
    <n v="4"/>
    <b v="0"/>
    <n v="364"/>
    <n v="181"/>
    <x v="6"/>
    <x v="2"/>
    <x v="4"/>
    <x v="82"/>
    <n v="4.7"/>
    <x v="0"/>
    <x v="0"/>
    <x v="353"/>
    <x v="1"/>
    <x v="4"/>
    <x v="3"/>
    <n v="604"/>
    <x v="1"/>
    <n v="2.2367549668874172"/>
    <x v="0"/>
    <n v="0.3541284403669725"/>
    <s v="Viewers"/>
  </r>
  <r>
    <n v="6001"/>
    <s v="Vickie"/>
    <x v="276"/>
    <d v="2024-11-28T00:00:00"/>
    <n v="15.99"/>
    <n v="420"/>
    <x v="3"/>
    <n v="3"/>
    <n v="3"/>
    <b v="1"/>
    <n v="562"/>
    <n v="67"/>
    <x v="0"/>
    <x v="1"/>
    <x v="4"/>
    <x v="99"/>
    <n v="3.2"/>
    <x v="1"/>
    <x v="0"/>
    <x v="354"/>
    <x v="2"/>
    <x v="3"/>
    <x v="1"/>
    <n v="87"/>
    <x v="2"/>
    <n v="33.793103448275865"/>
    <x v="2"/>
    <n v="0.66772655007949122"/>
    <s v="Viewers"/>
  </r>
  <r>
    <n v="9418"/>
    <s v="Stacey"/>
    <x v="277"/>
    <d v="2024-11-26T00:00:00"/>
    <n v="7.99"/>
    <n v="128"/>
    <x v="0"/>
    <n v="5"/>
    <n v="6"/>
    <b v="1"/>
    <n v="481"/>
    <n v="128"/>
    <x v="3"/>
    <x v="2"/>
    <x v="1"/>
    <x v="83"/>
    <n v="3.3"/>
    <x v="1"/>
    <x v="0"/>
    <x v="355"/>
    <x v="4"/>
    <x v="2"/>
    <x v="2"/>
    <n v="128"/>
    <x v="0"/>
    <n v="7"/>
    <x v="1"/>
    <n v="0.21018062397372742"/>
    <s v="Viewers"/>
  </r>
  <r>
    <n v="9354"/>
    <s v="Timothy"/>
    <x v="244"/>
    <d v="2024-11-30T00:00:00"/>
    <n v="11.99"/>
    <n v="133"/>
    <x v="0"/>
    <n v="4"/>
    <n v="6"/>
    <b v="0"/>
    <n v="469"/>
    <n v="182"/>
    <x v="4"/>
    <x v="0"/>
    <x v="4"/>
    <x v="26"/>
    <n v="4.4000000000000004"/>
    <x v="0"/>
    <x v="0"/>
    <x v="356"/>
    <x v="4"/>
    <x v="0"/>
    <x v="3"/>
    <n v="498"/>
    <x v="1"/>
    <n v="1.8694779116465865"/>
    <x v="0"/>
    <n v="0.20430107526881722"/>
    <s v="Viewers"/>
  </r>
  <r>
    <n v="8122"/>
    <s v="Alison"/>
    <x v="278"/>
    <d v="2024-11-29T00:00:00"/>
    <n v="15.99"/>
    <n v="413"/>
    <x v="2"/>
    <n v="5"/>
    <n v="2"/>
    <b v="0"/>
    <n v="708"/>
    <n v="4"/>
    <x v="2"/>
    <x v="2"/>
    <x v="5"/>
    <x v="12"/>
    <n v="4.3"/>
    <x v="1"/>
    <x v="0"/>
    <x v="357"/>
    <x v="0"/>
    <x v="4"/>
    <x v="1"/>
    <n v="79"/>
    <x v="2"/>
    <n v="36.594936708860757"/>
    <x v="2"/>
    <n v="0.5800561797752809"/>
    <s v="Viewers"/>
  </r>
  <r>
    <n v="1765"/>
    <s v="Harold"/>
    <x v="279"/>
    <d v="2024-11-24T00:00:00"/>
    <n v="11.99"/>
    <n v="28"/>
    <x v="3"/>
    <n v="4"/>
    <n v="1"/>
    <b v="1"/>
    <n v="990"/>
    <n v="88"/>
    <x v="2"/>
    <x v="2"/>
    <x v="5"/>
    <x v="28"/>
    <n v="5"/>
    <x v="0"/>
    <x v="0"/>
    <x v="358"/>
    <x v="4"/>
    <x v="0"/>
    <x v="0"/>
    <n v="69"/>
    <x v="1"/>
    <n v="2.8405797101449273"/>
    <x v="0"/>
    <n v="2.5974025974025976E-2"/>
    <s v=" Browsers"/>
  </r>
  <r>
    <n v="5352"/>
    <s v="Andrew"/>
    <x v="280"/>
    <d v="2024-12-14T00:00:00"/>
    <n v="15.99"/>
    <n v="453"/>
    <x v="1"/>
    <n v="5"/>
    <n v="3"/>
    <b v="1"/>
    <n v="236"/>
    <n v="121"/>
    <x v="0"/>
    <x v="3"/>
    <x v="2"/>
    <x v="6"/>
    <n v="3.7"/>
    <x v="0"/>
    <x v="0"/>
    <x v="359"/>
    <x v="1"/>
    <x v="4"/>
    <x v="2"/>
    <n v="333"/>
    <x v="2"/>
    <n v="9.5225225225225234"/>
    <x v="1"/>
    <n v="1.26890756302521"/>
    <s v="Viewers"/>
  </r>
  <r>
    <n v="7578"/>
    <s v="Stephanie"/>
    <x v="113"/>
    <d v="2024-12-03T00:00:00"/>
    <n v="11.99"/>
    <n v="186"/>
    <x v="1"/>
    <n v="2"/>
    <n v="5"/>
    <b v="1"/>
    <n v="784"/>
    <n v="29"/>
    <x v="0"/>
    <x v="1"/>
    <x v="1"/>
    <x v="24"/>
    <n v="4.3"/>
    <x v="1"/>
    <x v="0"/>
    <x v="360"/>
    <x v="1"/>
    <x v="2"/>
    <x v="2"/>
    <n v="427"/>
    <x v="1"/>
    <n v="3.0491803278688523"/>
    <x v="0"/>
    <n v="0.22878228782287824"/>
    <s v="Viewers"/>
  </r>
  <r>
    <n v="8912"/>
    <s v="Scott"/>
    <x v="216"/>
    <d v="2024-11-21T00:00:00"/>
    <n v="15.99"/>
    <n v="287"/>
    <x v="6"/>
    <n v="3"/>
    <n v="6"/>
    <b v="0"/>
    <n v="714"/>
    <n v="3"/>
    <x v="3"/>
    <x v="1"/>
    <x v="2"/>
    <x v="30"/>
    <n v="4.3"/>
    <x v="1"/>
    <x v="0"/>
    <x v="361"/>
    <x v="4"/>
    <x v="3"/>
    <x v="2"/>
    <n v="77"/>
    <x v="2"/>
    <n v="26.09090909090909"/>
    <x v="2"/>
    <n v="0.40027894002789399"/>
    <s v="Viewers"/>
  </r>
  <r>
    <n v="6641"/>
    <s v="Ashley"/>
    <x v="71"/>
    <d v="2024-12-08T00:00:00"/>
    <n v="7.99"/>
    <n v="45"/>
    <x v="4"/>
    <n v="4"/>
    <n v="3"/>
    <b v="0"/>
    <n v="420"/>
    <n v="87"/>
    <x v="2"/>
    <x v="3"/>
    <x v="2"/>
    <x v="81"/>
    <n v="3.3"/>
    <x v="1"/>
    <x v="0"/>
    <x v="362"/>
    <x v="3"/>
    <x v="4"/>
    <x v="1"/>
    <n v="141"/>
    <x v="0"/>
    <n v="2.2340425531914896"/>
    <x v="0"/>
    <n v="8.8757396449704137E-2"/>
    <s v=" Browsers"/>
  </r>
  <r>
    <n v="9664"/>
    <s v="Rick"/>
    <x v="199"/>
    <d v="2024-11-22T00:00:00"/>
    <n v="11.99"/>
    <n v="463"/>
    <x v="5"/>
    <n v="5"/>
    <n v="4"/>
    <b v="0"/>
    <n v="961"/>
    <n v="9"/>
    <x v="2"/>
    <x v="3"/>
    <x v="3"/>
    <x v="12"/>
    <n v="3.4"/>
    <x v="1"/>
    <x v="0"/>
    <x v="363"/>
    <x v="3"/>
    <x v="2"/>
    <x v="1"/>
    <n v="500"/>
    <x v="1"/>
    <n v="6.4820000000000002"/>
    <x v="1"/>
    <n v="0.477319587628866"/>
    <s v="Viewers"/>
  </r>
  <r>
    <n v="9134"/>
    <s v="Stephanie"/>
    <x v="281"/>
    <d v="2024-11-19T00:00:00"/>
    <n v="15.99"/>
    <n v="241"/>
    <x v="2"/>
    <n v="1"/>
    <n v="5"/>
    <b v="1"/>
    <n v="775"/>
    <n v="194"/>
    <x v="6"/>
    <x v="1"/>
    <x v="0"/>
    <x v="43"/>
    <n v="3.1"/>
    <x v="0"/>
    <x v="0"/>
    <x v="364"/>
    <x v="3"/>
    <x v="4"/>
    <x v="2"/>
    <n v="663"/>
    <x v="2"/>
    <n v="2.5444947209653095"/>
    <x v="0"/>
    <n v="0.24871001031991744"/>
    <s v="Viewers"/>
  </r>
  <r>
    <n v="6663"/>
    <s v="Douglas"/>
    <x v="149"/>
    <d v="2024-12-07T00:00:00"/>
    <n v="7.99"/>
    <n v="11"/>
    <x v="3"/>
    <n v="4"/>
    <n v="1"/>
    <b v="1"/>
    <n v="773"/>
    <n v="139"/>
    <x v="5"/>
    <x v="1"/>
    <x v="1"/>
    <x v="30"/>
    <n v="4.0999999999999996"/>
    <x v="0"/>
    <x v="0"/>
    <x v="365"/>
    <x v="4"/>
    <x v="4"/>
    <x v="1"/>
    <n v="202"/>
    <x v="0"/>
    <n v="0.38118811881188119"/>
    <x v="0"/>
    <n v="1.2061403508771929E-2"/>
    <s v=" Browsers"/>
  </r>
  <r>
    <n v="9800"/>
    <s v="Troy"/>
    <x v="53"/>
    <d v="2024-12-05T00:00:00"/>
    <n v="15.99"/>
    <n v="123"/>
    <x v="4"/>
    <n v="1"/>
    <n v="1"/>
    <b v="1"/>
    <n v="841"/>
    <n v="45"/>
    <x v="2"/>
    <x v="0"/>
    <x v="0"/>
    <x v="24"/>
    <n v="4.3"/>
    <x v="1"/>
    <x v="0"/>
    <x v="70"/>
    <x v="0"/>
    <x v="0"/>
    <x v="0"/>
    <n v="705"/>
    <x v="2"/>
    <n v="1.2212765957446809"/>
    <x v="0"/>
    <n v="0.13882618510158012"/>
    <s v=" Browsers"/>
  </r>
  <r>
    <n v="2363"/>
    <s v="Cindy"/>
    <x v="282"/>
    <d v="2024-12-01T00:00:00"/>
    <n v="7.99"/>
    <n v="411"/>
    <x v="3"/>
    <n v="3"/>
    <n v="2"/>
    <b v="1"/>
    <n v="412"/>
    <n v="20"/>
    <x v="4"/>
    <x v="0"/>
    <x v="3"/>
    <x v="43"/>
    <n v="4.7"/>
    <x v="1"/>
    <x v="0"/>
    <x v="366"/>
    <x v="0"/>
    <x v="1"/>
    <x v="1"/>
    <n v="560"/>
    <x v="0"/>
    <n v="5.1375000000000002"/>
    <x v="1"/>
    <n v="0.95138888888888884"/>
    <s v="Viewers"/>
  </r>
  <r>
    <n v="4875"/>
    <s v="Christopher"/>
    <x v="283"/>
    <d v="2024-11-23T00:00:00"/>
    <n v="7.99"/>
    <n v="469"/>
    <x v="5"/>
    <n v="2"/>
    <n v="1"/>
    <b v="0"/>
    <n v="160"/>
    <n v="79"/>
    <x v="5"/>
    <x v="1"/>
    <x v="5"/>
    <x v="10"/>
    <n v="4.5"/>
    <x v="1"/>
    <x v="0"/>
    <x v="367"/>
    <x v="0"/>
    <x v="1"/>
    <x v="0"/>
    <n v="216"/>
    <x v="0"/>
    <n v="15.199074074074074"/>
    <x v="2"/>
    <n v="1.9623430962343096"/>
    <s v="Viewers"/>
  </r>
  <r>
    <n v="8961"/>
    <s v="Nathan"/>
    <x v="273"/>
    <d v="2024-12-07T00:00:00"/>
    <n v="11.99"/>
    <n v="120"/>
    <x v="4"/>
    <n v="3"/>
    <n v="6"/>
    <b v="0"/>
    <n v="346"/>
    <n v="125"/>
    <x v="0"/>
    <x v="3"/>
    <x v="1"/>
    <x v="14"/>
    <n v="4.0999999999999996"/>
    <x v="0"/>
    <x v="0"/>
    <x v="368"/>
    <x v="1"/>
    <x v="1"/>
    <x v="2"/>
    <n v="517"/>
    <x v="1"/>
    <n v="1.6247582205029012"/>
    <x v="0"/>
    <n v="0.25477707006369427"/>
    <s v="Viewers"/>
  </r>
  <r>
    <n v="1539"/>
    <s v="Linda"/>
    <x v="284"/>
    <d v="2024-11-29T00:00:00"/>
    <n v="15.99"/>
    <n v="348"/>
    <x v="1"/>
    <n v="1"/>
    <n v="5"/>
    <b v="1"/>
    <n v="266"/>
    <n v="94"/>
    <x v="4"/>
    <x v="1"/>
    <x v="4"/>
    <x v="45"/>
    <n v="4.3"/>
    <x v="1"/>
    <x v="0"/>
    <x v="369"/>
    <x v="3"/>
    <x v="3"/>
    <x v="2"/>
    <n v="92"/>
    <x v="2"/>
    <n v="26.478260869565219"/>
    <x v="2"/>
    <n v="0.96666666666666667"/>
    <s v="Viewers"/>
  </r>
  <r>
    <n v="4037"/>
    <s v="Tina"/>
    <x v="285"/>
    <d v="2024-12-14T00:00:00"/>
    <n v="11.99"/>
    <n v="103"/>
    <x v="6"/>
    <n v="4"/>
    <n v="4"/>
    <b v="0"/>
    <n v="305"/>
    <n v="191"/>
    <x v="1"/>
    <x v="0"/>
    <x v="5"/>
    <x v="25"/>
    <n v="4.7"/>
    <x v="1"/>
    <x v="0"/>
    <x v="370"/>
    <x v="4"/>
    <x v="2"/>
    <x v="3"/>
    <n v="380"/>
    <x v="1"/>
    <n v="1.8973684210526316"/>
    <x v="0"/>
    <n v="0.20766129032258066"/>
    <s v="Viewers"/>
  </r>
  <r>
    <n v="4239"/>
    <s v="Christopher"/>
    <x v="111"/>
    <d v="2024-11-23T00:00:00"/>
    <n v="7.99"/>
    <n v="470"/>
    <x v="5"/>
    <n v="2"/>
    <n v="3"/>
    <b v="0"/>
    <n v="89"/>
    <n v="135"/>
    <x v="3"/>
    <x v="1"/>
    <x v="2"/>
    <x v="30"/>
    <n v="4.5"/>
    <x v="0"/>
    <x v="0"/>
    <x v="371"/>
    <x v="0"/>
    <x v="2"/>
    <x v="2"/>
    <n v="5"/>
    <x v="0"/>
    <n v="658"/>
    <x v="2"/>
    <n v="2.0982142857142856"/>
    <s v="Viewers"/>
  </r>
  <r>
    <n v="4364"/>
    <s v="Victor"/>
    <x v="166"/>
    <d v="2024-12-01T00:00:00"/>
    <n v="7.99"/>
    <n v="241"/>
    <x v="6"/>
    <n v="3"/>
    <n v="6"/>
    <b v="0"/>
    <n v="905"/>
    <n v="127"/>
    <x v="3"/>
    <x v="0"/>
    <x v="3"/>
    <x v="67"/>
    <n v="4"/>
    <x v="0"/>
    <x v="0"/>
    <x v="372"/>
    <x v="1"/>
    <x v="0"/>
    <x v="2"/>
    <n v="35"/>
    <x v="0"/>
    <n v="48.2"/>
    <x v="2"/>
    <n v="0.23352713178294573"/>
    <s v="Viewers"/>
  </r>
  <r>
    <n v="8946"/>
    <s v="Judy"/>
    <x v="15"/>
    <d v="2024-12-14T00:00:00"/>
    <n v="15.99"/>
    <n v="277"/>
    <x v="6"/>
    <n v="3"/>
    <n v="5"/>
    <b v="0"/>
    <n v="959"/>
    <n v="174"/>
    <x v="0"/>
    <x v="0"/>
    <x v="5"/>
    <x v="82"/>
    <n v="3.4"/>
    <x v="1"/>
    <x v="0"/>
    <x v="373"/>
    <x v="0"/>
    <x v="1"/>
    <x v="0"/>
    <n v="210"/>
    <x v="2"/>
    <n v="9.2333333333333325"/>
    <x v="1"/>
    <n v="0.2444836716681377"/>
    <s v="Viewers"/>
  </r>
  <r>
    <n v="5911"/>
    <s v="Stephanie"/>
    <x v="286"/>
    <d v="2024-12-10T00:00:00"/>
    <n v="7.99"/>
    <n v="158"/>
    <x v="6"/>
    <n v="3"/>
    <n v="1"/>
    <b v="1"/>
    <n v="426"/>
    <n v="7"/>
    <x v="6"/>
    <x v="3"/>
    <x v="5"/>
    <x v="58"/>
    <n v="3.6"/>
    <x v="0"/>
    <x v="0"/>
    <x v="374"/>
    <x v="4"/>
    <x v="4"/>
    <x v="2"/>
    <n v="343"/>
    <x v="0"/>
    <n v="3.2244897959183674"/>
    <x v="0"/>
    <n v="0.36489607390300233"/>
    <s v="Viewers"/>
  </r>
  <r>
    <n v="8033"/>
    <s v="Rhonda"/>
    <x v="287"/>
    <d v="2024-11-28T00:00:00"/>
    <n v="15.99"/>
    <n v="23"/>
    <x v="6"/>
    <n v="1"/>
    <n v="1"/>
    <b v="0"/>
    <n v="585"/>
    <n v="97"/>
    <x v="4"/>
    <x v="1"/>
    <x v="0"/>
    <x v="73"/>
    <n v="3.4"/>
    <x v="1"/>
    <x v="0"/>
    <x v="375"/>
    <x v="4"/>
    <x v="1"/>
    <x v="1"/>
    <n v="315"/>
    <x v="2"/>
    <n v="0.51111111111111107"/>
    <x v="0"/>
    <n v="3.3724340175953077E-2"/>
    <s v=" Browsers"/>
  </r>
  <r>
    <n v="6603"/>
    <s v="Amanda"/>
    <x v="27"/>
    <d v="2024-12-07T00:00:00"/>
    <n v="11.99"/>
    <n v="200"/>
    <x v="6"/>
    <n v="4"/>
    <n v="5"/>
    <b v="0"/>
    <n v="65"/>
    <n v="11"/>
    <x v="4"/>
    <x v="3"/>
    <x v="5"/>
    <x v="55"/>
    <n v="3.2"/>
    <x v="1"/>
    <x v="0"/>
    <x v="376"/>
    <x v="1"/>
    <x v="1"/>
    <x v="3"/>
    <n v="312"/>
    <x v="1"/>
    <n v="4.4871794871794872"/>
    <x v="0"/>
    <n v="2.6315789473684212"/>
    <s v="Viewers"/>
  </r>
  <r>
    <n v="9630"/>
    <s v="William"/>
    <x v="178"/>
    <d v="2024-11-26T00:00:00"/>
    <n v="7.99"/>
    <n v="264"/>
    <x v="1"/>
    <n v="5"/>
    <n v="6"/>
    <b v="0"/>
    <n v="367"/>
    <n v="163"/>
    <x v="5"/>
    <x v="3"/>
    <x v="5"/>
    <x v="51"/>
    <n v="3.5"/>
    <x v="1"/>
    <x v="0"/>
    <x v="377"/>
    <x v="3"/>
    <x v="3"/>
    <x v="0"/>
    <n v="544"/>
    <x v="0"/>
    <n v="3.3970588235294121"/>
    <x v="0"/>
    <n v="0.49811320754716981"/>
    <s v="Viewers"/>
  </r>
  <r>
    <n v="1691"/>
    <s v="Elizabeth"/>
    <x v="288"/>
    <d v="2024-12-07T00:00:00"/>
    <n v="11.99"/>
    <n v="309"/>
    <x v="2"/>
    <n v="4"/>
    <n v="4"/>
    <b v="0"/>
    <n v="891"/>
    <n v="93"/>
    <x v="1"/>
    <x v="3"/>
    <x v="3"/>
    <x v="15"/>
    <n v="4"/>
    <x v="1"/>
    <x v="0"/>
    <x v="378"/>
    <x v="2"/>
    <x v="4"/>
    <x v="2"/>
    <n v="460"/>
    <x v="1"/>
    <n v="4.7021739130434783"/>
    <x v="0"/>
    <n v="0.31402439024390244"/>
    <s v="Viewers"/>
  </r>
  <r>
    <n v="5590"/>
    <s v="Jennifer"/>
    <x v="289"/>
    <d v="2024-12-15T00:00:00"/>
    <n v="7.99"/>
    <n v="30"/>
    <x v="3"/>
    <n v="2"/>
    <n v="6"/>
    <b v="0"/>
    <n v="468"/>
    <n v="196"/>
    <x v="2"/>
    <x v="0"/>
    <x v="0"/>
    <x v="64"/>
    <n v="4.5"/>
    <x v="0"/>
    <x v="0"/>
    <x v="379"/>
    <x v="0"/>
    <x v="2"/>
    <x v="3"/>
    <n v="141"/>
    <x v="0"/>
    <n v="1.4893617021276595"/>
    <x v="0"/>
    <n v="4.5180722891566265E-2"/>
    <s v=" Browsers"/>
  </r>
  <r>
    <n v="8645"/>
    <s v="Daniel"/>
    <x v="290"/>
    <d v="2024-11-29T00:00:00"/>
    <n v="11.99"/>
    <n v="289"/>
    <x v="2"/>
    <n v="4"/>
    <n v="3"/>
    <b v="1"/>
    <n v="999"/>
    <n v="22"/>
    <x v="0"/>
    <x v="0"/>
    <x v="2"/>
    <x v="16"/>
    <n v="4.3"/>
    <x v="1"/>
    <x v="0"/>
    <x v="380"/>
    <x v="2"/>
    <x v="4"/>
    <x v="0"/>
    <n v="226"/>
    <x v="1"/>
    <n v="8.9513274336283182"/>
    <x v="1"/>
    <n v="0.28305582761998044"/>
    <s v="Viewers"/>
  </r>
  <r>
    <n v="7663"/>
    <s v="David"/>
    <x v="169"/>
    <d v="2024-11-28T00:00:00"/>
    <n v="7.99"/>
    <n v="432"/>
    <x v="3"/>
    <n v="5"/>
    <n v="4"/>
    <b v="1"/>
    <n v="263"/>
    <n v="55"/>
    <x v="6"/>
    <x v="2"/>
    <x v="4"/>
    <x v="46"/>
    <n v="3.5"/>
    <x v="1"/>
    <x v="0"/>
    <x v="381"/>
    <x v="1"/>
    <x v="3"/>
    <x v="2"/>
    <n v="207"/>
    <x v="0"/>
    <n v="14.608695652173912"/>
    <x v="1"/>
    <n v="1.3584905660377358"/>
    <s v="Viewers"/>
  </r>
  <r>
    <n v="2647"/>
    <s v="John"/>
    <x v="291"/>
    <d v="2024-12-17T00:00:00"/>
    <n v="7.99"/>
    <n v="393"/>
    <x v="4"/>
    <n v="4"/>
    <n v="2"/>
    <b v="1"/>
    <n v="487"/>
    <n v="105"/>
    <x v="1"/>
    <x v="0"/>
    <x v="5"/>
    <x v="33"/>
    <n v="3.4"/>
    <x v="0"/>
    <x v="0"/>
    <x v="382"/>
    <x v="4"/>
    <x v="0"/>
    <x v="2"/>
    <n v="147"/>
    <x v="0"/>
    <n v="18.714285714285715"/>
    <x v="2"/>
    <n v="0.66385135135135132"/>
    <s v="Viewers"/>
  </r>
  <r>
    <n v="6539"/>
    <s v="Katherine"/>
    <x v="292"/>
    <d v="2024-12-01T00:00:00"/>
    <n v="11.99"/>
    <n v="203"/>
    <x v="4"/>
    <n v="1"/>
    <n v="3"/>
    <b v="0"/>
    <n v="961"/>
    <n v="41"/>
    <x v="4"/>
    <x v="1"/>
    <x v="1"/>
    <x v="24"/>
    <n v="4.2"/>
    <x v="1"/>
    <x v="0"/>
    <x v="383"/>
    <x v="2"/>
    <x v="4"/>
    <x v="0"/>
    <n v="226"/>
    <x v="1"/>
    <n v="6.2876106194690271"/>
    <x v="1"/>
    <n v="0.20259481037924151"/>
    <s v="Viewers"/>
  </r>
  <r>
    <n v="3472"/>
    <s v="James"/>
    <x v="293"/>
    <d v="2024-11-23T00:00:00"/>
    <n v="7.99"/>
    <n v="43"/>
    <x v="5"/>
    <n v="4"/>
    <n v="1"/>
    <b v="0"/>
    <n v="973"/>
    <n v="7"/>
    <x v="2"/>
    <x v="2"/>
    <x v="0"/>
    <x v="24"/>
    <n v="4.0999999999999996"/>
    <x v="1"/>
    <x v="0"/>
    <x v="165"/>
    <x v="0"/>
    <x v="4"/>
    <x v="2"/>
    <n v="431"/>
    <x v="0"/>
    <n v="0.69837587006960555"/>
    <x v="0"/>
    <n v="4.3877551020408162E-2"/>
    <s v=" Browsers"/>
  </r>
  <r>
    <n v="4314"/>
    <s v="Alicia"/>
    <x v="294"/>
    <d v="2024-12-15T00:00:00"/>
    <n v="7.99"/>
    <n v="311"/>
    <x v="6"/>
    <n v="3"/>
    <n v="5"/>
    <b v="1"/>
    <n v="724"/>
    <n v="191"/>
    <x v="0"/>
    <x v="0"/>
    <x v="0"/>
    <x v="38"/>
    <n v="4.7"/>
    <x v="1"/>
    <x v="0"/>
    <x v="384"/>
    <x v="2"/>
    <x v="0"/>
    <x v="2"/>
    <n v="524"/>
    <x v="0"/>
    <n v="4.1545801526717554"/>
    <x v="0"/>
    <n v="0.33989071038251367"/>
    <s v="Viewers"/>
  </r>
  <r>
    <n v="6739"/>
    <s v="Richard"/>
    <x v="295"/>
    <d v="2024-12-01T00:00:00"/>
    <n v="11.99"/>
    <n v="23"/>
    <x v="3"/>
    <n v="5"/>
    <n v="3"/>
    <b v="0"/>
    <n v="725"/>
    <n v="168"/>
    <x v="0"/>
    <x v="1"/>
    <x v="0"/>
    <x v="14"/>
    <n v="3.6"/>
    <x v="1"/>
    <x v="0"/>
    <x v="385"/>
    <x v="3"/>
    <x v="2"/>
    <x v="0"/>
    <n v="124"/>
    <x v="1"/>
    <n v="1.2983870967741935"/>
    <x v="0"/>
    <n v="2.5755879059350503E-2"/>
    <s v=" Browsers"/>
  </r>
  <r>
    <n v="6368"/>
    <s v="Robert"/>
    <x v="296"/>
    <d v="2024-12-14T00:00:00"/>
    <n v="11.99"/>
    <n v="370"/>
    <x v="5"/>
    <n v="3"/>
    <n v="4"/>
    <b v="1"/>
    <n v="973"/>
    <n v="152"/>
    <x v="1"/>
    <x v="2"/>
    <x v="0"/>
    <x v="25"/>
    <n v="3.1"/>
    <x v="1"/>
    <x v="0"/>
    <x v="386"/>
    <x v="4"/>
    <x v="3"/>
    <x v="3"/>
    <n v="474"/>
    <x v="1"/>
    <n v="5.4641350210970465"/>
    <x v="1"/>
    <n v="0.3288888888888889"/>
    <s v="Viewers"/>
  </r>
  <r>
    <n v="7309"/>
    <s v="Emily"/>
    <x v="297"/>
    <d v="2024-11-19T00:00:00"/>
    <n v="15.99"/>
    <n v="343"/>
    <x v="3"/>
    <n v="2"/>
    <n v="2"/>
    <b v="0"/>
    <n v="830"/>
    <n v="172"/>
    <x v="1"/>
    <x v="2"/>
    <x v="1"/>
    <x v="33"/>
    <n v="4.9000000000000004"/>
    <x v="0"/>
    <x v="0"/>
    <x v="387"/>
    <x v="2"/>
    <x v="3"/>
    <x v="2"/>
    <n v="142"/>
    <x v="2"/>
    <n v="16.908450704225352"/>
    <x v="2"/>
    <n v="0.34231536926147704"/>
    <s v="Viewers"/>
  </r>
  <r>
    <n v="3976"/>
    <s v="Catherine"/>
    <x v="298"/>
    <d v="2024-12-03T00:00:00"/>
    <n v="7.99"/>
    <n v="391"/>
    <x v="2"/>
    <n v="4"/>
    <n v="6"/>
    <b v="0"/>
    <n v="726"/>
    <n v="176"/>
    <x v="1"/>
    <x v="1"/>
    <x v="5"/>
    <x v="15"/>
    <n v="3.8"/>
    <x v="0"/>
    <x v="0"/>
    <x v="194"/>
    <x v="3"/>
    <x v="3"/>
    <x v="3"/>
    <n v="392"/>
    <x v="0"/>
    <n v="6.9821428571428568"/>
    <x v="1"/>
    <n v="0.43348115299334811"/>
    <s v="Viewers"/>
  </r>
  <r>
    <n v="7230"/>
    <s v="Jeffrey"/>
    <x v="299"/>
    <d v="2024-12-13T00:00:00"/>
    <n v="11.99"/>
    <n v="405"/>
    <x v="1"/>
    <n v="3"/>
    <n v="3"/>
    <b v="0"/>
    <n v="90"/>
    <n v="151"/>
    <x v="1"/>
    <x v="1"/>
    <x v="1"/>
    <x v="61"/>
    <n v="4.0999999999999996"/>
    <x v="0"/>
    <x v="0"/>
    <x v="388"/>
    <x v="2"/>
    <x v="0"/>
    <x v="0"/>
    <n v="176"/>
    <x v="1"/>
    <n v="16.107954545454547"/>
    <x v="2"/>
    <n v="1.6804979253112033"/>
    <s v="Viewers"/>
  </r>
  <r>
    <n v="8888"/>
    <s v="Eric"/>
    <x v="300"/>
    <d v="2024-12-13T00:00:00"/>
    <n v="15.99"/>
    <n v="14"/>
    <x v="4"/>
    <n v="5"/>
    <n v="1"/>
    <b v="0"/>
    <n v="617"/>
    <n v="128"/>
    <x v="3"/>
    <x v="1"/>
    <x v="5"/>
    <x v="97"/>
    <n v="3.5"/>
    <x v="0"/>
    <x v="0"/>
    <x v="389"/>
    <x v="0"/>
    <x v="0"/>
    <x v="1"/>
    <n v="235"/>
    <x v="2"/>
    <n v="0.41702127659574473"/>
    <x v="0"/>
    <n v="1.8791946308724831E-2"/>
    <s v=" Browsers"/>
  </r>
  <r>
    <n v="1194"/>
    <s v="Richard"/>
    <x v="76"/>
    <d v="2024-12-02T00:00:00"/>
    <n v="7.99"/>
    <n v="11"/>
    <x v="4"/>
    <n v="4"/>
    <n v="6"/>
    <b v="0"/>
    <n v="246"/>
    <n v="96"/>
    <x v="6"/>
    <x v="0"/>
    <x v="3"/>
    <x v="2"/>
    <n v="4.5999999999999996"/>
    <x v="1"/>
    <x v="0"/>
    <x v="390"/>
    <x v="3"/>
    <x v="4"/>
    <x v="2"/>
    <n v="43"/>
    <x v="0"/>
    <n v="1.7906976744186045"/>
    <x v="0"/>
    <n v="3.2163742690058478E-2"/>
    <s v=" Browsers"/>
  </r>
  <r>
    <n v="6983"/>
    <s v="Jennifer"/>
    <x v="301"/>
    <d v="2024-12-07T00:00:00"/>
    <n v="11.99"/>
    <n v="335"/>
    <x v="2"/>
    <n v="1"/>
    <n v="2"/>
    <b v="1"/>
    <n v="484"/>
    <n v="54"/>
    <x v="2"/>
    <x v="0"/>
    <x v="5"/>
    <x v="82"/>
    <n v="4"/>
    <x v="1"/>
    <x v="0"/>
    <x v="391"/>
    <x v="0"/>
    <x v="3"/>
    <x v="1"/>
    <n v="101"/>
    <x v="1"/>
    <n v="23.217821782178216"/>
    <x v="2"/>
    <n v="0.62267657992565051"/>
    <s v="Viewers"/>
  </r>
  <r>
    <n v="1413"/>
    <s v="Charles"/>
    <x v="302"/>
    <d v="2024-11-30T00:00:00"/>
    <n v="11.99"/>
    <n v="408"/>
    <x v="2"/>
    <n v="3"/>
    <n v="5"/>
    <b v="1"/>
    <n v="418"/>
    <n v="198"/>
    <x v="0"/>
    <x v="0"/>
    <x v="3"/>
    <x v="13"/>
    <n v="3"/>
    <x v="0"/>
    <x v="0"/>
    <x v="392"/>
    <x v="0"/>
    <x v="2"/>
    <x v="3"/>
    <n v="711"/>
    <x v="1"/>
    <n v="4.0168776371308015"/>
    <x v="0"/>
    <n v="0.66233766233766234"/>
    <s v="Viewers"/>
  </r>
  <r>
    <n v="9509"/>
    <s v="Samantha"/>
    <x v="237"/>
    <d v="2024-11-26T00:00:00"/>
    <n v="11.99"/>
    <n v="302"/>
    <x v="0"/>
    <n v="2"/>
    <n v="2"/>
    <b v="0"/>
    <n v="431"/>
    <n v="116"/>
    <x v="3"/>
    <x v="1"/>
    <x v="5"/>
    <x v="48"/>
    <n v="3.9"/>
    <x v="1"/>
    <x v="0"/>
    <x v="393"/>
    <x v="2"/>
    <x v="3"/>
    <x v="2"/>
    <n v="121"/>
    <x v="1"/>
    <n v="17.471074380165291"/>
    <x v="2"/>
    <n v="0.55210237659963435"/>
    <s v="Viewers"/>
  </r>
  <r>
    <n v="6330"/>
    <s v="Meghan"/>
    <x v="303"/>
    <d v="2024-12-04T00:00:00"/>
    <n v="7.99"/>
    <n v="329"/>
    <x v="2"/>
    <n v="4"/>
    <n v="1"/>
    <b v="1"/>
    <n v="973"/>
    <n v="163"/>
    <x v="0"/>
    <x v="3"/>
    <x v="4"/>
    <x v="18"/>
    <n v="4.2"/>
    <x v="1"/>
    <x v="0"/>
    <x v="394"/>
    <x v="4"/>
    <x v="2"/>
    <x v="1"/>
    <n v="314"/>
    <x v="0"/>
    <n v="7.3343949044585992"/>
    <x v="1"/>
    <n v="0.289612676056338"/>
    <s v="Viewers"/>
  </r>
  <r>
    <n v="2504"/>
    <s v="Calvin"/>
    <x v="304"/>
    <d v="2024-12-15T00:00:00"/>
    <n v="11.99"/>
    <n v="328"/>
    <x v="5"/>
    <n v="4"/>
    <n v="6"/>
    <b v="1"/>
    <n v="858"/>
    <n v="159"/>
    <x v="2"/>
    <x v="0"/>
    <x v="1"/>
    <x v="100"/>
    <n v="4.5999999999999996"/>
    <x v="1"/>
    <x v="0"/>
    <x v="395"/>
    <x v="0"/>
    <x v="3"/>
    <x v="3"/>
    <n v="115"/>
    <x v="1"/>
    <n v="19.96521739130435"/>
    <x v="2"/>
    <n v="0.3225172074729597"/>
    <s v="Viewers"/>
  </r>
  <r>
    <n v="6593"/>
    <s v="Richard"/>
    <x v="168"/>
    <d v="2024-12-07T00:00:00"/>
    <n v="11.99"/>
    <n v="353"/>
    <x v="1"/>
    <n v="3"/>
    <n v="6"/>
    <b v="0"/>
    <n v="637"/>
    <n v="160"/>
    <x v="2"/>
    <x v="1"/>
    <x v="4"/>
    <x v="79"/>
    <n v="5"/>
    <x v="1"/>
    <x v="0"/>
    <x v="396"/>
    <x v="1"/>
    <x v="3"/>
    <x v="0"/>
    <n v="116"/>
    <x v="1"/>
    <n v="21.301724137931032"/>
    <x v="2"/>
    <n v="0.44291091593475534"/>
    <s v="Viewers"/>
  </r>
  <r>
    <n v="9537"/>
    <s v="Richard"/>
    <x v="150"/>
    <d v="2024-11-20T00:00:00"/>
    <n v="11.99"/>
    <n v="386"/>
    <x v="5"/>
    <n v="3"/>
    <n v="3"/>
    <b v="0"/>
    <n v="693"/>
    <n v="61"/>
    <x v="2"/>
    <x v="3"/>
    <x v="0"/>
    <x v="60"/>
    <n v="3.8"/>
    <x v="0"/>
    <x v="0"/>
    <x v="397"/>
    <x v="2"/>
    <x v="0"/>
    <x v="3"/>
    <n v="274"/>
    <x v="1"/>
    <n v="9.8613138686131379"/>
    <x v="1"/>
    <n v="0.51193633952254647"/>
    <s v="Viewers"/>
  </r>
  <r>
    <n v="9628"/>
    <s v="Maria"/>
    <x v="305"/>
    <d v="2024-12-11T00:00:00"/>
    <n v="7.99"/>
    <n v="401"/>
    <x v="5"/>
    <n v="5"/>
    <n v="6"/>
    <b v="0"/>
    <n v="308"/>
    <n v="103"/>
    <x v="0"/>
    <x v="2"/>
    <x v="2"/>
    <x v="25"/>
    <n v="3.1"/>
    <x v="1"/>
    <x v="0"/>
    <x v="398"/>
    <x v="3"/>
    <x v="0"/>
    <x v="2"/>
    <n v="411"/>
    <x v="0"/>
    <n v="6.8296836982968365"/>
    <x v="1"/>
    <n v="0.97566909975669103"/>
    <s v="Viewers"/>
  </r>
  <r>
    <n v="4024"/>
    <s v="Sarah"/>
    <x v="306"/>
    <d v="2024-12-07T00:00:00"/>
    <n v="7.99"/>
    <n v="286"/>
    <x v="1"/>
    <n v="3"/>
    <n v="1"/>
    <b v="0"/>
    <n v="843"/>
    <n v="26"/>
    <x v="2"/>
    <x v="0"/>
    <x v="1"/>
    <x v="17"/>
    <n v="3.5"/>
    <x v="0"/>
    <x v="0"/>
    <x v="399"/>
    <x v="4"/>
    <x v="4"/>
    <x v="2"/>
    <n v="596"/>
    <x v="0"/>
    <n v="3.3590604026845639"/>
    <x v="0"/>
    <n v="0.32911392405063289"/>
    <s v="Viewers"/>
  </r>
  <r>
    <n v="5321"/>
    <s v="Joseph"/>
    <x v="307"/>
    <d v="2024-12-10T00:00:00"/>
    <n v="7.99"/>
    <n v="20"/>
    <x v="6"/>
    <n v="5"/>
    <n v="2"/>
    <b v="0"/>
    <n v="895"/>
    <n v="40"/>
    <x v="1"/>
    <x v="3"/>
    <x v="4"/>
    <x v="28"/>
    <n v="3.8"/>
    <x v="0"/>
    <x v="0"/>
    <x v="307"/>
    <x v="1"/>
    <x v="4"/>
    <x v="3"/>
    <n v="346"/>
    <x v="0"/>
    <n v="0.40462427745664736"/>
    <x v="0"/>
    <n v="2.1390374331550801E-2"/>
    <s v=" Browsers"/>
  </r>
  <r>
    <n v="3926"/>
    <s v="Sheri"/>
    <x v="308"/>
    <d v="2024-11-25T00:00:00"/>
    <n v="7.99"/>
    <n v="167"/>
    <x v="6"/>
    <n v="3"/>
    <n v="1"/>
    <b v="1"/>
    <n v="466"/>
    <n v="69"/>
    <x v="6"/>
    <x v="3"/>
    <x v="2"/>
    <x v="89"/>
    <n v="4.3"/>
    <x v="0"/>
    <x v="0"/>
    <x v="400"/>
    <x v="2"/>
    <x v="0"/>
    <x v="1"/>
    <n v="5"/>
    <x v="0"/>
    <n v="233.79999999999998"/>
    <x v="2"/>
    <n v="0.3121495327102804"/>
    <s v="Viewers"/>
  </r>
  <r>
    <n v="8738"/>
    <s v="Ashley"/>
    <x v="146"/>
    <d v="2024-11-29T00:00:00"/>
    <n v="7.99"/>
    <n v="427"/>
    <x v="6"/>
    <n v="1"/>
    <n v="1"/>
    <b v="1"/>
    <n v="886"/>
    <n v="17"/>
    <x v="2"/>
    <x v="1"/>
    <x v="2"/>
    <x v="81"/>
    <n v="4.0999999999999996"/>
    <x v="0"/>
    <x v="0"/>
    <x v="401"/>
    <x v="2"/>
    <x v="3"/>
    <x v="3"/>
    <n v="69"/>
    <x v="0"/>
    <n v="43.318840579710141"/>
    <x v="2"/>
    <n v="0.47286821705426357"/>
    <s v="Viewers"/>
  </r>
  <r>
    <n v="2701"/>
    <s v="Victor"/>
    <x v="169"/>
    <d v="2024-12-01T00:00:00"/>
    <n v="11.99"/>
    <n v="13"/>
    <x v="1"/>
    <n v="4"/>
    <n v="6"/>
    <b v="1"/>
    <n v="537"/>
    <n v="121"/>
    <x v="4"/>
    <x v="3"/>
    <x v="3"/>
    <x v="71"/>
    <n v="3.1"/>
    <x v="1"/>
    <x v="0"/>
    <x v="402"/>
    <x v="1"/>
    <x v="4"/>
    <x v="2"/>
    <n v="210"/>
    <x v="1"/>
    <n v="0.43333333333333335"/>
    <x v="0"/>
    <n v="1.9756838905775075E-2"/>
    <s v=" Browsers"/>
  </r>
  <r>
    <n v="5339"/>
    <s v="Tommy"/>
    <x v="309"/>
    <d v="2024-12-14T00:00:00"/>
    <n v="15.99"/>
    <n v="53"/>
    <x v="0"/>
    <n v="5"/>
    <n v="5"/>
    <b v="0"/>
    <n v="524"/>
    <n v="161"/>
    <x v="6"/>
    <x v="3"/>
    <x v="1"/>
    <x v="15"/>
    <n v="4.9000000000000004"/>
    <x v="0"/>
    <x v="0"/>
    <x v="403"/>
    <x v="1"/>
    <x v="3"/>
    <x v="3"/>
    <n v="299"/>
    <x v="2"/>
    <n v="1.2408026755852843"/>
    <x v="0"/>
    <n v="7.7372262773722625E-2"/>
    <s v=" Browsers"/>
  </r>
  <r>
    <n v="1612"/>
    <s v="Trevor"/>
    <x v="194"/>
    <d v="2024-12-04T00:00:00"/>
    <n v="7.99"/>
    <n v="197"/>
    <x v="0"/>
    <n v="1"/>
    <n v="2"/>
    <b v="1"/>
    <n v="409"/>
    <n v="22"/>
    <x v="3"/>
    <x v="1"/>
    <x v="1"/>
    <x v="61"/>
    <n v="4.3"/>
    <x v="1"/>
    <x v="0"/>
    <x v="404"/>
    <x v="4"/>
    <x v="0"/>
    <x v="2"/>
    <n v="561"/>
    <x v="0"/>
    <n v="2.4581105169340463"/>
    <x v="0"/>
    <n v="0.45707656612529002"/>
    <s v="Viewers"/>
  </r>
  <r>
    <n v="5407"/>
    <s v="William"/>
    <x v="67"/>
    <d v="2024-12-04T00:00:00"/>
    <n v="7.99"/>
    <n v="429"/>
    <x v="4"/>
    <n v="3"/>
    <n v="5"/>
    <b v="0"/>
    <n v="988"/>
    <n v="115"/>
    <x v="0"/>
    <x v="2"/>
    <x v="3"/>
    <x v="96"/>
    <n v="4.3"/>
    <x v="1"/>
    <x v="0"/>
    <x v="405"/>
    <x v="3"/>
    <x v="1"/>
    <x v="0"/>
    <n v="418"/>
    <x v="0"/>
    <n v="7.1842105263157894"/>
    <x v="1"/>
    <n v="0.38893925657298278"/>
    <s v="Viewers"/>
  </r>
  <r>
    <n v="8225"/>
    <s v="Darrell"/>
    <x v="310"/>
    <d v="2024-11-24T00:00:00"/>
    <n v="15.99"/>
    <n v="282"/>
    <x v="4"/>
    <n v="1"/>
    <n v="1"/>
    <b v="1"/>
    <n v="386"/>
    <n v="177"/>
    <x v="5"/>
    <x v="0"/>
    <x v="3"/>
    <x v="71"/>
    <n v="3.4"/>
    <x v="1"/>
    <x v="0"/>
    <x v="406"/>
    <x v="3"/>
    <x v="4"/>
    <x v="3"/>
    <n v="200"/>
    <x v="2"/>
    <n v="9.8699999999999992"/>
    <x v="1"/>
    <n v="0.5008880994671403"/>
    <s v="Viewers"/>
  </r>
  <r>
    <n v="4714"/>
    <s v="Dana"/>
    <x v="311"/>
    <d v="2024-11-20T00:00:00"/>
    <n v="11.99"/>
    <n v="248"/>
    <x v="2"/>
    <n v="5"/>
    <n v="6"/>
    <b v="0"/>
    <n v="996"/>
    <n v="24"/>
    <x v="4"/>
    <x v="1"/>
    <x v="1"/>
    <x v="56"/>
    <n v="3.3"/>
    <x v="1"/>
    <x v="0"/>
    <x v="407"/>
    <x v="1"/>
    <x v="1"/>
    <x v="1"/>
    <n v="38"/>
    <x v="1"/>
    <n v="45.684210526315788"/>
    <x v="2"/>
    <n v="0.24313725490196078"/>
    <s v="Viewers"/>
  </r>
  <r>
    <n v="3826"/>
    <s v="Richard"/>
    <x v="312"/>
    <d v="2024-12-16T00:00:00"/>
    <n v="11.99"/>
    <n v="406"/>
    <x v="3"/>
    <n v="3"/>
    <n v="3"/>
    <b v="0"/>
    <n v="369"/>
    <n v="13"/>
    <x v="0"/>
    <x v="3"/>
    <x v="2"/>
    <x v="45"/>
    <n v="4.7"/>
    <x v="0"/>
    <x v="0"/>
    <x v="408"/>
    <x v="4"/>
    <x v="4"/>
    <x v="0"/>
    <n v="75"/>
    <x v="1"/>
    <n v="37.893333333333338"/>
    <x v="2"/>
    <n v="1.0628272251308901"/>
    <s v="Viewers"/>
  </r>
  <r>
    <n v="3781"/>
    <s v="Jasmine"/>
    <x v="313"/>
    <d v="2024-12-17T00:00:00"/>
    <n v="15.99"/>
    <n v="249"/>
    <x v="6"/>
    <n v="1"/>
    <n v="4"/>
    <b v="1"/>
    <n v="713"/>
    <n v="125"/>
    <x v="2"/>
    <x v="0"/>
    <x v="1"/>
    <x v="49"/>
    <n v="4.8"/>
    <x v="0"/>
    <x v="0"/>
    <x v="409"/>
    <x v="3"/>
    <x v="2"/>
    <x v="2"/>
    <n v="18"/>
    <x v="2"/>
    <n v="96.833333333333329"/>
    <x v="2"/>
    <n v="0.29713603818615753"/>
    <s v="Viewers"/>
  </r>
  <r>
    <n v="5635"/>
    <s v="Chelsea"/>
    <x v="140"/>
    <d v="2024-11-24T00:00:00"/>
    <n v="7.99"/>
    <n v="12"/>
    <x v="4"/>
    <n v="2"/>
    <n v="4"/>
    <b v="0"/>
    <n v="928"/>
    <n v="147"/>
    <x v="4"/>
    <x v="1"/>
    <x v="4"/>
    <x v="92"/>
    <n v="4.7"/>
    <x v="0"/>
    <x v="0"/>
    <x v="410"/>
    <x v="4"/>
    <x v="1"/>
    <x v="0"/>
    <n v="403"/>
    <x v="0"/>
    <n v="0.20843672456575682"/>
    <x v="0"/>
    <n v="1.1162790697674419E-2"/>
    <s v=" Browsers"/>
  </r>
  <r>
    <n v="2291"/>
    <s v="Courtney"/>
    <x v="275"/>
    <d v="2024-12-01T00:00:00"/>
    <n v="7.99"/>
    <n v="57"/>
    <x v="0"/>
    <n v="2"/>
    <n v="6"/>
    <b v="1"/>
    <n v="869"/>
    <n v="107"/>
    <x v="4"/>
    <x v="2"/>
    <x v="3"/>
    <x v="79"/>
    <n v="4.3"/>
    <x v="0"/>
    <x v="0"/>
    <x v="411"/>
    <x v="1"/>
    <x v="2"/>
    <x v="3"/>
    <n v="599"/>
    <x v="0"/>
    <n v="0.666110183639399"/>
    <x v="0"/>
    <n v="5.8401639344262297E-2"/>
    <s v=" Browsers"/>
  </r>
  <r>
    <n v="3119"/>
    <s v="Stacey"/>
    <x v="314"/>
    <d v="2024-12-13T00:00:00"/>
    <n v="7.99"/>
    <n v="247"/>
    <x v="6"/>
    <n v="5"/>
    <n v="6"/>
    <b v="1"/>
    <n v="563"/>
    <n v="185"/>
    <x v="4"/>
    <x v="1"/>
    <x v="2"/>
    <x v="20"/>
    <n v="4.8"/>
    <x v="0"/>
    <x v="0"/>
    <x v="412"/>
    <x v="2"/>
    <x v="3"/>
    <x v="1"/>
    <n v="86"/>
    <x v="0"/>
    <n v="20.104651162790695"/>
    <x v="2"/>
    <n v="0.3302139037433155"/>
    <s v="Viewers"/>
  </r>
  <r>
    <n v="5280"/>
    <s v="Kristy"/>
    <x v="45"/>
    <d v="2024-11-29T00:00:00"/>
    <n v="7.99"/>
    <n v="25"/>
    <x v="4"/>
    <n v="5"/>
    <n v="2"/>
    <b v="1"/>
    <n v="429"/>
    <n v="138"/>
    <x v="4"/>
    <x v="2"/>
    <x v="4"/>
    <x v="42"/>
    <n v="3.5"/>
    <x v="0"/>
    <x v="0"/>
    <x v="413"/>
    <x v="0"/>
    <x v="4"/>
    <x v="0"/>
    <n v="615"/>
    <x v="0"/>
    <n v="0.28455284552845528"/>
    <x v="0"/>
    <n v="4.4091710758377423E-2"/>
    <s v=" Browsers"/>
  </r>
  <r>
    <n v="2546"/>
    <s v="Terri"/>
    <x v="315"/>
    <d v="2024-12-03T00:00:00"/>
    <n v="15.99"/>
    <n v="425"/>
    <x v="5"/>
    <n v="3"/>
    <n v="6"/>
    <b v="0"/>
    <n v="236"/>
    <n v="37"/>
    <x v="4"/>
    <x v="1"/>
    <x v="4"/>
    <x v="77"/>
    <n v="4"/>
    <x v="0"/>
    <x v="0"/>
    <x v="414"/>
    <x v="0"/>
    <x v="1"/>
    <x v="1"/>
    <n v="566"/>
    <x v="2"/>
    <n v="5.2561837455830389"/>
    <x v="1"/>
    <n v="1.5567765567765568"/>
    <s v="Viewers"/>
  </r>
  <r>
    <n v="5975"/>
    <s v="Jessica"/>
    <x v="162"/>
    <d v="2024-12-17T00:00:00"/>
    <n v="7.99"/>
    <n v="315"/>
    <x v="3"/>
    <n v="2"/>
    <n v="5"/>
    <b v="1"/>
    <n v="889"/>
    <n v="80"/>
    <x v="5"/>
    <x v="2"/>
    <x v="1"/>
    <x v="64"/>
    <n v="4.4000000000000004"/>
    <x v="1"/>
    <x v="0"/>
    <x v="415"/>
    <x v="2"/>
    <x v="4"/>
    <x v="3"/>
    <n v="450"/>
    <x v="0"/>
    <n v="4.8999999999999995"/>
    <x v="0"/>
    <n v="0.32507739938080493"/>
    <s v="Viewers"/>
  </r>
  <r>
    <n v="9113"/>
    <s v="Aaron"/>
    <x v="316"/>
    <d v="2024-11-30T00:00:00"/>
    <n v="7.99"/>
    <n v="466"/>
    <x v="5"/>
    <n v="4"/>
    <n v="4"/>
    <b v="0"/>
    <n v="785"/>
    <n v="12"/>
    <x v="2"/>
    <x v="1"/>
    <x v="3"/>
    <x v="43"/>
    <n v="4.9000000000000004"/>
    <x v="0"/>
    <x v="0"/>
    <x v="416"/>
    <x v="1"/>
    <x v="4"/>
    <x v="1"/>
    <n v="78"/>
    <x v="0"/>
    <n v="41.820512820512825"/>
    <x v="2"/>
    <n v="0.58469259723964873"/>
    <s v="Viewers"/>
  </r>
  <r>
    <n v="6250"/>
    <s v="Madison"/>
    <x v="70"/>
    <d v="2024-11-22T00:00:00"/>
    <n v="15.99"/>
    <n v="207"/>
    <x v="2"/>
    <n v="3"/>
    <n v="6"/>
    <b v="0"/>
    <n v="909"/>
    <n v="164"/>
    <x v="1"/>
    <x v="2"/>
    <x v="0"/>
    <x v="100"/>
    <n v="4.2"/>
    <x v="1"/>
    <x v="0"/>
    <x v="417"/>
    <x v="3"/>
    <x v="3"/>
    <x v="3"/>
    <n v="137"/>
    <x v="2"/>
    <n v="10.576642335766422"/>
    <x v="1"/>
    <n v="0.19291705498602049"/>
    <s v="Viewers"/>
  </r>
  <r>
    <n v="6190"/>
    <s v="Alyssa"/>
    <x v="225"/>
    <d v="2024-12-08T00:00:00"/>
    <n v="7.99"/>
    <n v="248"/>
    <x v="1"/>
    <n v="5"/>
    <n v="2"/>
    <b v="0"/>
    <n v="142"/>
    <n v="22"/>
    <x v="0"/>
    <x v="1"/>
    <x v="2"/>
    <x v="43"/>
    <n v="4.2"/>
    <x v="0"/>
    <x v="0"/>
    <x v="418"/>
    <x v="4"/>
    <x v="4"/>
    <x v="0"/>
    <n v="21"/>
    <x v="0"/>
    <n v="82.666666666666671"/>
    <x v="2"/>
    <n v="1.5121951219512195"/>
    <s v="Viewers"/>
  </r>
  <r>
    <n v="5713"/>
    <s v="Carlos"/>
    <x v="290"/>
    <d v="2024-11-24T00:00:00"/>
    <n v="7.99"/>
    <n v="278"/>
    <x v="1"/>
    <n v="5"/>
    <n v="1"/>
    <b v="0"/>
    <n v="743"/>
    <n v="180"/>
    <x v="0"/>
    <x v="3"/>
    <x v="0"/>
    <x v="13"/>
    <n v="4.3"/>
    <x v="1"/>
    <x v="0"/>
    <x v="419"/>
    <x v="1"/>
    <x v="3"/>
    <x v="2"/>
    <n v="221"/>
    <x v="0"/>
    <n v="8.8054298642533926"/>
    <x v="1"/>
    <n v="0.30119176598049835"/>
    <s v="Viewers"/>
  </r>
  <r>
    <n v="1932"/>
    <s v="Scott"/>
    <x v="317"/>
    <d v="2024-12-17T00:00:00"/>
    <n v="7.99"/>
    <n v="315"/>
    <x v="3"/>
    <n v="1"/>
    <n v="2"/>
    <b v="0"/>
    <n v="40"/>
    <n v="188"/>
    <x v="6"/>
    <x v="1"/>
    <x v="5"/>
    <x v="89"/>
    <n v="3.7"/>
    <x v="1"/>
    <x v="0"/>
    <x v="420"/>
    <x v="0"/>
    <x v="3"/>
    <x v="0"/>
    <n v="331"/>
    <x v="0"/>
    <n v="6.6616314199395772"/>
    <x v="1"/>
    <n v="1.381578947368421"/>
    <s v="Viewers"/>
  </r>
  <r>
    <n v="6527"/>
    <s v="Debra"/>
    <x v="318"/>
    <d v="2024-11-23T00:00:00"/>
    <n v="7.99"/>
    <n v="190"/>
    <x v="6"/>
    <n v="4"/>
    <n v="1"/>
    <b v="1"/>
    <n v="400"/>
    <n v="151"/>
    <x v="4"/>
    <x v="0"/>
    <x v="1"/>
    <x v="64"/>
    <n v="4.3"/>
    <x v="0"/>
    <x v="0"/>
    <x v="421"/>
    <x v="1"/>
    <x v="4"/>
    <x v="0"/>
    <n v="548"/>
    <x v="0"/>
    <n v="2.4270072992700729"/>
    <x v="0"/>
    <n v="0.34482758620689657"/>
    <s v="Viewers"/>
  </r>
  <r>
    <n v="9363"/>
    <s v="Ashley"/>
    <x v="319"/>
    <d v="2024-11-23T00:00:00"/>
    <n v="11.99"/>
    <n v="190"/>
    <x v="4"/>
    <n v="2"/>
    <n v="1"/>
    <b v="0"/>
    <n v="359"/>
    <n v="192"/>
    <x v="5"/>
    <x v="0"/>
    <x v="4"/>
    <x v="11"/>
    <n v="4.4000000000000004"/>
    <x v="1"/>
    <x v="0"/>
    <x v="422"/>
    <x v="0"/>
    <x v="3"/>
    <x v="3"/>
    <n v="49"/>
    <x v="1"/>
    <n v="27.142857142857142"/>
    <x v="2"/>
    <n v="0.34482758620689657"/>
    <s v="Viewers"/>
  </r>
  <r>
    <n v="5019"/>
    <s v="Elizabeth"/>
    <x v="312"/>
    <d v="2024-12-12T00:00:00"/>
    <n v="15.99"/>
    <n v="408"/>
    <x v="3"/>
    <n v="4"/>
    <n v="3"/>
    <b v="0"/>
    <n v="711"/>
    <n v="23"/>
    <x v="5"/>
    <x v="2"/>
    <x v="5"/>
    <x v="15"/>
    <n v="3.6"/>
    <x v="1"/>
    <x v="0"/>
    <x v="423"/>
    <x v="3"/>
    <x v="1"/>
    <x v="1"/>
    <n v="71"/>
    <x v="2"/>
    <n v="40.225352112676056"/>
    <x v="2"/>
    <n v="0.55585831062670299"/>
    <s v="Viewers"/>
  </r>
  <r>
    <n v="9258"/>
    <s v="Bianca"/>
    <x v="198"/>
    <d v="2024-12-06T00:00:00"/>
    <n v="15.99"/>
    <n v="227"/>
    <x v="3"/>
    <n v="2"/>
    <n v="1"/>
    <b v="0"/>
    <n v="581"/>
    <n v="146"/>
    <x v="5"/>
    <x v="0"/>
    <x v="3"/>
    <x v="86"/>
    <n v="4.4000000000000004"/>
    <x v="0"/>
    <x v="0"/>
    <x v="424"/>
    <x v="0"/>
    <x v="2"/>
    <x v="1"/>
    <n v="284"/>
    <x v="2"/>
    <n v="5.5950704225352119"/>
    <x v="1"/>
    <n v="0.31224209078404402"/>
    <s v="Viewers"/>
  </r>
  <r>
    <n v="7512"/>
    <s v="Joann"/>
    <x v="320"/>
    <d v="2024-11-24T00:00:00"/>
    <n v="11.99"/>
    <n v="479"/>
    <x v="5"/>
    <n v="2"/>
    <n v="4"/>
    <b v="1"/>
    <n v="923"/>
    <n v="182"/>
    <x v="3"/>
    <x v="1"/>
    <x v="0"/>
    <x v="31"/>
    <n v="4.9000000000000004"/>
    <x v="1"/>
    <x v="0"/>
    <x v="425"/>
    <x v="3"/>
    <x v="4"/>
    <x v="3"/>
    <n v="347"/>
    <x v="1"/>
    <n v="9.662824207492795"/>
    <x v="1"/>
    <n v="0.43348416289592762"/>
    <s v="Viewers"/>
  </r>
  <r>
    <n v="8195"/>
    <s v="Gail"/>
    <x v="241"/>
    <d v="2024-11-20T00:00:00"/>
    <n v="11.99"/>
    <n v="415"/>
    <x v="1"/>
    <n v="3"/>
    <n v="1"/>
    <b v="0"/>
    <n v="381"/>
    <n v="78"/>
    <x v="5"/>
    <x v="1"/>
    <x v="2"/>
    <x v="0"/>
    <n v="4.4000000000000004"/>
    <x v="1"/>
    <x v="0"/>
    <x v="426"/>
    <x v="4"/>
    <x v="4"/>
    <x v="2"/>
    <n v="583"/>
    <x v="1"/>
    <n v="4.9828473413379069"/>
    <x v="0"/>
    <n v="0.9041394335511983"/>
    <s v="Viewers"/>
  </r>
  <r>
    <n v="8242"/>
    <s v="Daniel"/>
    <x v="91"/>
    <d v="2024-12-04T00:00:00"/>
    <n v="11.99"/>
    <n v="204"/>
    <x v="6"/>
    <n v="4"/>
    <n v="4"/>
    <b v="1"/>
    <n v="706"/>
    <n v="153"/>
    <x v="1"/>
    <x v="0"/>
    <x v="0"/>
    <x v="43"/>
    <n v="3.7"/>
    <x v="1"/>
    <x v="0"/>
    <x v="427"/>
    <x v="0"/>
    <x v="4"/>
    <x v="0"/>
    <n v="716"/>
    <x v="1"/>
    <n v="1.994413407821229"/>
    <x v="0"/>
    <n v="0.23748544819557627"/>
    <s v="Viewers"/>
  </r>
  <r>
    <n v="2220"/>
    <s v="Felicia"/>
    <x v="87"/>
    <d v="2024-11-28T00:00:00"/>
    <n v="15.99"/>
    <n v="205"/>
    <x v="5"/>
    <n v="3"/>
    <n v="1"/>
    <b v="1"/>
    <n v="792"/>
    <n v="103"/>
    <x v="5"/>
    <x v="0"/>
    <x v="2"/>
    <x v="50"/>
    <n v="3.9"/>
    <x v="1"/>
    <x v="0"/>
    <x v="428"/>
    <x v="3"/>
    <x v="4"/>
    <x v="1"/>
    <n v="404"/>
    <x v="2"/>
    <n v="3.5519801980198018"/>
    <x v="0"/>
    <n v="0.22905027932960895"/>
    <s v="Viewers"/>
  </r>
  <r>
    <n v="9308"/>
    <s v="Jennifer"/>
    <x v="136"/>
    <d v="2024-11-25T00:00:00"/>
    <n v="11.99"/>
    <n v="64"/>
    <x v="3"/>
    <n v="2"/>
    <n v="3"/>
    <b v="1"/>
    <n v="221"/>
    <n v="4"/>
    <x v="0"/>
    <x v="0"/>
    <x v="2"/>
    <x v="51"/>
    <n v="3.7"/>
    <x v="1"/>
    <x v="0"/>
    <x v="73"/>
    <x v="4"/>
    <x v="2"/>
    <x v="3"/>
    <n v="56"/>
    <x v="1"/>
    <n v="8"/>
    <x v="1"/>
    <n v="0.28444444444444444"/>
    <s v="Viewers"/>
  </r>
  <r>
    <n v="3437"/>
    <s v="Susan"/>
    <x v="255"/>
    <d v="2024-12-05T00:00:00"/>
    <n v="7.99"/>
    <n v="281"/>
    <x v="2"/>
    <n v="2"/>
    <n v="4"/>
    <b v="0"/>
    <n v="770"/>
    <n v="74"/>
    <x v="4"/>
    <x v="1"/>
    <x v="1"/>
    <x v="32"/>
    <n v="4"/>
    <x v="0"/>
    <x v="0"/>
    <x v="429"/>
    <x v="3"/>
    <x v="0"/>
    <x v="0"/>
    <n v="681"/>
    <x v="0"/>
    <n v="2.8883994126284875"/>
    <x v="0"/>
    <n v="0.33293838862559244"/>
    <s v="Viewers"/>
  </r>
  <r>
    <n v="8305"/>
    <s v="Ashley"/>
    <x v="281"/>
    <d v="2024-12-06T00:00:00"/>
    <n v="11.99"/>
    <n v="78"/>
    <x v="5"/>
    <n v="4"/>
    <n v="5"/>
    <b v="0"/>
    <n v="914"/>
    <n v="22"/>
    <x v="6"/>
    <x v="1"/>
    <x v="1"/>
    <x v="31"/>
    <n v="4.5"/>
    <x v="0"/>
    <x v="0"/>
    <x v="430"/>
    <x v="0"/>
    <x v="0"/>
    <x v="0"/>
    <n v="680"/>
    <x v="1"/>
    <n v="0.80294117647058827"/>
    <x v="0"/>
    <n v="8.3333333333333329E-2"/>
    <s v=" Browsers"/>
  </r>
  <r>
    <n v="6773"/>
    <s v="Jeffrey"/>
    <x v="321"/>
    <d v="2024-11-29T00:00:00"/>
    <n v="7.99"/>
    <n v="343"/>
    <x v="1"/>
    <n v="4"/>
    <n v="1"/>
    <b v="1"/>
    <n v="492"/>
    <n v="187"/>
    <x v="0"/>
    <x v="0"/>
    <x v="5"/>
    <x v="100"/>
    <n v="4.9000000000000004"/>
    <x v="1"/>
    <x v="0"/>
    <x v="431"/>
    <x v="1"/>
    <x v="3"/>
    <x v="0"/>
    <n v="297"/>
    <x v="0"/>
    <n v="8.084175084175083"/>
    <x v="1"/>
    <n v="0.50515463917525771"/>
    <s v="Viewers"/>
  </r>
  <r>
    <n v="3010"/>
    <s v="Amanda"/>
    <x v="322"/>
    <d v="2024-11-24T00:00:00"/>
    <n v="11.99"/>
    <n v="318"/>
    <x v="2"/>
    <n v="1"/>
    <n v="5"/>
    <b v="0"/>
    <n v="925"/>
    <n v="191"/>
    <x v="4"/>
    <x v="0"/>
    <x v="2"/>
    <x v="11"/>
    <n v="4.5999999999999996"/>
    <x v="1"/>
    <x v="0"/>
    <x v="432"/>
    <x v="4"/>
    <x v="1"/>
    <x v="3"/>
    <n v="21"/>
    <x v="1"/>
    <n v="106"/>
    <x v="2"/>
    <n v="0.28494623655913981"/>
    <s v="Viewers"/>
  </r>
  <r>
    <n v="3622"/>
    <s v="Paul"/>
    <x v="187"/>
    <d v="2024-12-09T00:00:00"/>
    <n v="7.99"/>
    <n v="444"/>
    <x v="1"/>
    <n v="3"/>
    <n v="5"/>
    <b v="0"/>
    <n v="183"/>
    <n v="195"/>
    <x v="6"/>
    <x v="3"/>
    <x v="2"/>
    <x v="58"/>
    <n v="4.7"/>
    <x v="0"/>
    <x v="0"/>
    <x v="433"/>
    <x v="2"/>
    <x v="1"/>
    <x v="2"/>
    <n v="115"/>
    <x v="0"/>
    <n v="27.026086956521741"/>
    <x v="2"/>
    <n v="1.1746031746031746"/>
    <s v="Viewers"/>
  </r>
  <r>
    <n v="6006"/>
    <s v="Mark"/>
    <x v="323"/>
    <d v="2024-11-19T00:00:00"/>
    <n v="11.99"/>
    <n v="171"/>
    <x v="4"/>
    <n v="3"/>
    <n v="1"/>
    <b v="1"/>
    <n v="889"/>
    <n v="54"/>
    <x v="6"/>
    <x v="3"/>
    <x v="1"/>
    <x v="6"/>
    <n v="3.3"/>
    <x v="1"/>
    <x v="0"/>
    <x v="434"/>
    <x v="0"/>
    <x v="3"/>
    <x v="0"/>
    <n v="73"/>
    <x v="1"/>
    <n v="16.397260273972602"/>
    <x v="2"/>
    <n v="0.18133616118769882"/>
    <s v="Viewers"/>
  </r>
  <r>
    <n v="1338"/>
    <s v="Lisa"/>
    <x v="47"/>
    <d v="2024-12-02T00:00:00"/>
    <n v="15.99"/>
    <n v="309"/>
    <x v="6"/>
    <n v="5"/>
    <n v="4"/>
    <b v="0"/>
    <n v="174"/>
    <n v="172"/>
    <x v="4"/>
    <x v="3"/>
    <x v="4"/>
    <x v="5"/>
    <n v="3.1"/>
    <x v="1"/>
    <x v="0"/>
    <x v="435"/>
    <x v="2"/>
    <x v="4"/>
    <x v="2"/>
    <n v="617"/>
    <x v="2"/>
    <n v="3.5056726094003241"/>
    <x v="0"/>
    <n v="0.89306358381502893"/>
    <s v="Viewers"/>
  </r>
  <r>
    <n v="6722"/>
    <s v="Matthew"/>
    <x v="324"/>
    <d v="2024-11-27T00:00:00"/>
    <n v="15.99"/>
    <n v="447"/>
    <x v="5"/>
    <n v="5"/>
    <n v="2"/>
    <b v="0"/>
    <n v="709"/>
    <n v="93"/>
    <x v="3"/>
    <x v="1"/>
    <x v="1"/>
    <x v="93"/>
    <n v="4.8"/>
    <x v="1"/>
    <x v="0"/>
    <x v="436"/>
    <x v="2"/>
    <x v="1"/>
    <x v="1"/>
    <n v="569"/>
    <x v="2"/>
    <n v="5.4991212653778554"/>
    <x v="1"/>
    <n v="0.55735660847880297"/>
    <s v="Viewers"/>
  </r>
  <r>
    <n v="5871"/>
    <s v="Travis"/>
    <x v="325"/>
    <d v="2024-12-04T00:00:00"/>
    <n v="7.99"/>
    <n v="120"/>
    <x v="6"/>
    <n v="3"/>
    <n v="5"/>
    <b v="1"/>
    <n v="783"/>
    <n v="81"/>
    <x v="1"/>
    <x v="0"/>
    <x v="2"/>
    <x v="64"/>
    <n v="4.3"/>
    <x v="0"/>
    <x v="0"/>
    <x v="437"/>
    <x v="3"/>
    <x v="4"/>
    <x v="3"/>
    <n v="144"/>
    <x v="0"/>
    <n v="5.833333333333333"/>
    <x v="1"/>
    <n v="0.1388888888888889"/>
    <s v=" Browsers"/>
  </r>
  <r>
    <n v="9290"/>
    <s v="Reginald"/>
    <x v="326"/>
    <d v="2024-12-08T00:00:00"/>
    <n v="15.99"/>
    <n v="168"/>
    <x v="0"/>
    <n v="5"/>
    <n v="4"/>
    <b v="1"/>
    <n v="304"/>
    <n v="196"/>
    <x v="0"/>
    <x v="1"/>
    <x v="3"/>
    <x v="52"/>
    <n v="4.0999999999999996"/>
    <x v="0"/>
    <x v="0"/>
    <x v="438"/>
    <x v="2"/>
    <x v="0"/>
    <x v="3"/>
    <n v="395"/>
    <x v="2"/>
    <n v="2.9772151898734176"/>
    <x v="0"/>
    <n v="0.33600000000000002"/>
    <s v="Viewers"/>
  </r>
  <r>
    <n v="8567"/>
    <s v="Jennifer"/>
    <x v="15"/>
    <d v="2024-12-13T00:00:00"/>
    <n v="7.99"/>
    <n v="203"/>
    <x v="2"/>
    <n v="1"/>
    <n v="3"/>
    <b v="1"/>
    <n v="738"/>
    <n v="96"/>
    <x v="4"/>
    <x v="3"/>
    <x v="5"/>
    <x v="95"/>
    <n v="4"/>
    <x v="0"/>
    <x v="0"/>
    <x v="439"/>
    <x v="3"/>
    <x v="2"/>
    <x v="3"/>
    <n v="209"/>
    <x v="0"/>
    <n v="6.7990430622009566"/>
    <x v="1"/>
    <n v="0.24340527577937651"/>
    <s v="Viewers"/>
  </r>
  <r>
    <n v="5253"/>
    <s v="Debra"/>
    <x v="327"/>
    <d v="2024-11-24T00:00:00"/>
    <n v="11.99"/>
    <n v="436"/>
    <x v="5"/>
    <n v="5"/>
    <n v="5"/>
    <b v="1"/>
    <n v="228"/>
    <n v="110"/>
    <x v="4"/>
    <x v="3"/>
    <x v="0"/>
    <x v="18"/>
    <n v="4.5"/>
    <x v="1"/>
    <x v="0"/>
    <x v="440"/>
    <x v="1"/>
    <x v="0"/>
    <x v="2"/>
    <n v="353"/>
    <x v="1"/>
    <n v="8.6458923512747869"/>
    <x v="1"/>
    <n v="1.2899408284023668"/>
    <s v="Viewers"/>
  </r>
  <r>
    <n v="8172"/>
    <s v="Ian"/>
    <x v="328"/>
    <d v="2024-12-17T00:00:00"/>
    <n v="11.99"/>
    <n v="195"/>
    <x v="6"/>
    <n v="5"/>
    <n v="6"/>
    <b v="1"/>
    <n v="997"/>
    <n v="107"/>
    <x v="1"/>
    <x v="2"/>
    <x v="5"/>
    <x v="18"/>
    <n v="4.9000000000000004"/>
    <x v="0"/>
    <x v="0"/>
    <x v="441"/>
    <x v="4"/>
    <x v="3"/>
    <x v="1"/>
    <n v="271"/>
    <x v="1"/>
    <n v="5.03690036900369"/>
    <x v="1"/>
    <n v="0.1766304347826087"/>
    <s v="Viewers"/>
  </r>
  <r>
    <n v="2154"/>
    <s v="Cassie"/>
    <x v="329"/>
    <d v="2024-12-05T00:00:00"/>
    <n v="7.99"/>
    <n v="454"/>
    <x v="1"/>
    <n v="5"/>
    <n v="1"/>
    <b v="1"/>
    <n v="722"/>
    <n v="98"/>
    <x v="2"/>
    <x v="2"/>
    <x v="2"/>
    <x v="58"/>
    <n v="3.4"/>
    <x v="0"/>
    <x v="0"/>
    <x v="442"/>
    <x v="4"/>
    <x v="0"/>
    <x v="1"/>
    <n v="360"/>
    <x v="0"/>
    <n v="8.8277777777777775"/>
    <x v="1"/>
    <n v="0.5536585365853659"/>
    <s v="Viewers"/>
  </r>
  <r>
    <n v="5013"/>
    <s v="Claudia"/>
    <x v="330"/>
    <d v="2024-11-24T00:00:00"/>
    <n v="15.99"/>
    <n v="187"/>
    <x v="1"/>
    <n v="1"/>
    <n v="1"/>
    <b v="0"/>
    <n v="316"/>
    <n v="10"/>
    <x v="2"/>
    <x v="0"/>
    <x v="4"/>
    <x v="39"/>
    <n v="4.7"/>
    <x v="0"/>
    <x v="0"/>
    <x v="443"/>
    <x v="0"/>
    <x v="4"/>
    <x v="0"/>
    <n v="456"/>
    <x v="2"/>
    <n v="2.8706140350877196"/>
    <x v="0"/>
    <n v="0.57361963190184051"/>
    <s v="Viewers"/>
  </r>
  <r>
    <n v="4211"/>
    <s v="Kristina"/>
    <x v="331"/>
    <d v="2024-12-01T00:00:00"/>
    <n v="7.99"/>
    <n v="277"/>
    <x v="6"/>
    <n v="1"/>
    <n v="3"/>
    <b v="1"/>
    <n v="455"/>
    <n v="120"/>
    <x v="6"/>
    <x v="0"/>
    <x v="3"/>
    <x v="92"/>
    <n v="4.7"/>
    <x v="0"/>
    <x v="0"/>
    <x v="444"/>
    <x v="3"/>
    <x v="2"/>
    <x v="3"/>
    <n v="55"/>
    <x v="0"/>
    <n v="35.254545454545458"/>
    <x v="2"/>
    <n v="0.48173913043478261"/>
    <s v="Viewers"/>
  </r>
  <r>
    <n v="4408"/>
    <s v="Melissa"/>
    <x v="332"/>
    <d v="2024-11-30T00:00:00"/>
    <n v="7.99"/>
    <n v="257"/>
    <x v="6"/>
    <n v="3"/>
    <n v="6"/>
    <b v="1"/>
    <n v="985"/>
    <n v="97"/>
    <x v="2"/>
    <x v="2"/>
    <x v="2"/>
    <x v="51"/>
    <n v="3.9"/>
    <x v="1"/>
    <x v="0"/>
    <x v="445"/>
    <x v="1"/>
    <x v="2"/>
    <x v="2"/>
    <n v="429"/>
    <x v="0"/>
    <n v="4.1934731934731939"/>
    <x v="0"/>
    <n v="0.23752310536044363"/>
    <s v="Viewers"/>
  </r>
  <r>
    <n v="8473"/>
    <s v="Desiree"/>
    <x v="152"/>
    <d v="2024-12-12T00:00:00"/>
    <n v="11.99"/>
    <n v="12"/>
    <x v="3"/>
    <n v="4"/>
    <n v="6"/>
    <b v="0"/>
    <n v="718"/>
    <n v="100"/>
    <x v="6"/>
    <x v="1"/>
    <x v="2"/>
    <x v="50"/>
    <n v="4.0999999999999996"/>
    <x v="0"/>
    <x v="0"/>
    <x v="446"/>
    <x v="0"/>
    <x v="2"/>
    <x v="2"/>
    <n v="656"/>
    <x v="1"/>
    <n v="0.12804878048780488"/>
    <x v="0"/>
    <n v="1.4669926650366748E-2"/>
    <s v=" Browsers"/>
  </r>
  <r>
    <n v="7510"/>
    <s v="Audrey"/>
    <x v="333"/>
    <d v="2024-11-29T00:00:00"/>
    <n v="7.99"/>
    <n v="362"/>
    <x v="6"/>
    <n v="2"/>
    <n v="4"/>
    <b v="1"/>
    <n v="923"/>
    <n v="57"/>
    <x v="6"/>
    <x v="0"/>
    <x v="1"/>
    <x v="11"/>
    <n v="4.8"/>
    <x v="0"/>
    <x v="0"/>
    <x v="447"/>
    <x v="3"/>
    <x v="0"/>
    <x v="3"/>
    <n v="684"/>
    <x v="0"/>
    <n v="3.7046783625730995"/>
    <x v="0"/>
    <n v="0.3693877551020408"/>
    <s v="Viewers"/>
  </r>
  <r>
    <n v="5376"/>
    <s v="John"/>
    <x v="334"/>
    <d v="2024-11-26T00:00:00"/>
    <n v="7.99"/>
    <n v="89"/>
    <x v="6"/>
    <n v="2"/>
    <n v="4"/>
    <b v="1"/>
    <n v="174"/>
    <n v="178"/>
    <x v="5"/>
    <x v="0"/>
    <x v="5"/>
    <x v="34"/>
    <n v="3.7"/>
    <x v="0"/>
    <x v="0"/>
    <x v="448"/>
    <x v="3"/>
    <x v="0"/>
    <x v="2"/>
    <n v="599"/>
    <x v="0"/>
    <n v="1.0400667779632722"/>
    <x v="0"/>
    <n v="0.25284090909090912"/>
    <s v="Viewers"/>
  </r>
  <r>
    <n v="8005"/>
    <s v="Ryan"/>
    <x v="253"/>
    <d v="2024-12-14T00:00:00"/>
    <n v="7.99"/>
    <n v="123"/>
    <x v="3"/>
    <n v="5"/>
    <n v="5"/>
    <b v="1"/>
    <n v="253"/>
    <n v="157"/>
    <x v="2"/>
    <x v="0"/>
    <x v="3"/>
    <x v="26"/>
    <n v="4"/>
    <x v="0"/>
    <x v="0"/>
    <x v="449"/>
    <x v="2"/>
    <x v="3"/>
    <x v="0"/>
    <n v="647"/>
    <x v="0"/>
    <n v="1.3307573415765068"/>
    <x v="0"/>
    <n v="0.3"/>
    <s v="Viewers"/>
  </r>
  <r>
    <n v="7439"/>
    <s v="Kim"/>
    <x v="335"/>
    <d v="2024-12-05T00:00:00"/>
    <n v="15.99"/>
    <n v="427"/>
    <x v="5"/>
    <n v="1"/>
    <n v="1"/>
    <b v="0"/>
    <n v="479"/>
    <n v="98"/>
    <x v="0"/>
    <x v="0"/>
    <x v="4"/>
    <x v="57"/>
    <n v="3.8"/>
    <x v="1"/>
    <x v="0"/>
    <x v="450"/>
    <x v="4"/>
    <x v="4"/>
    <x v="0"/>
    <n v="468"/>
    <x v="2"/>
    <n v="6.3867521367521363"/>
    <x v="1"/>
    <n v="0.74003466204506063"/>
    <s v="Viewers"/>
  </r>
  <r>
    <n v="3699"/>
    <s v="Lindsey"/>
    <x v="266"/>
    <d v="2024-11-24T00:00:00"/>
    <n v="15.99"/>
    <n v="439"/>
    <x v="6"/>
    <n v="2"/>
    <n v="4"/>
    <b v="0"/>
    <n v="932"/>
    <n v="98"/>
    <x v="6"/>
    <x v="3"/>
    <x v="0"/>
    <x v="27"/>
    <n v="4.9000000000000004"/>
    <x v="0"/>
    <x v="0"/>
    <x v="451"/>
    <x v="4"/>
    <x v="0"/>
    <x v="3"/>
    <n v="548"/>
    <x v="2"/>
    <n v="5.6076642335766422"/>
    <x v="1"/>
    <n v="0.4262135922330097"/>
    <s v="Viewers"/>
  </r>
  <r>
    <n v="3162"/>
    <s v="Michael"/>
    <x v="91"/>
    <d v="2024-12-13T00:00:00"/>
    <n v="15.99"/>
    <n v="396"/>
    <x v="4"/>
    <n v="3"/>
    <n v="3"/>
    <b v="1"/>
    <n v="175"/>
    <n v="17"/>
    <x v="0"/>
    <x v="2"/>
    <x v="5"/>
    <x v="17"/>
    <n v="3.4"/>
    <x v="0"/>
    <x v="0"/>
    <x v="452"/>
    <x v="0"/>
    <x v="0"/>
    <x v="1"/>
    <n v="725"/>
    <x v="2"/>
    <n v="3.8234482758620691"/>
    <x v="0"/>
    <n v="2.0625"/>
    <s v="Viewers"/>
  </r>
  <r>
    <n v="8798"/>
    <s v="Pamela"/>
    <x v="336"/>
    <d v="2024-12-15T00:00:00"/>
    <n v="15.99"/>
    <n v="453"/>
    <x v="4"/>
    <n v="5"/>
    <n v="2"/>
    <b v="1"/>
    <n v="591"/>
    <n v="169"/>
    <x v="1"/>
    <x v="0"/>
    <x v="4"/>
    <x v="35"/>
    <n v="4.0999999999999996"/>
    <x v="1"/>
    <x v="0"/>
    <x v="453"/>
    <x v="4"/>
    <x v="1"/>
    <x v="1"/>
    <n v="605"/>
    <x v="2"/>
    <n v="5.2413223140495866"/>
    <x v="1"/>
    <n v="0.59605263157894739"/>
    <s v="Viewers"/>
  </r>
  <r>
    <n v="6400"/>
    <s v="Jonathan"/>
    <x v="185"/>
    <d v="2024-12-14T00:00:00"/>
    <n v="11.99"/>
    <n v="356"/>
    <x v="4"/>
    <n v="3"/>
    <n v="2"/>
    <b v="1"/>
    <n v="776"/>
    <n v="40"/>
    <x v="0"/>
    <x v="2"/>
    <x v="2"/>
    <x v="2"/>
    <n v="3.4"/>
    <x v="1"/>
    <x v="0"/>
    <x v="454"/>
    <x v="4"/>
    <x v="0"/>
    <x v="1"/>
    <n v="291"/>
    <x v="1"/>
    <n v="8.5635738831615118"/>
    <x v="1"/>
    <n v="0.43627450980392157"/>
    <s v="Viewers"/>
  </r>
  <r>
    <n v="9404"/>
    <s v="Michael"/>
    <x v="337"/>
    <d v="2024-12-03T00:00:00"/>
    <n v="15.99"/>
    <n v="192"/>
    <x v="2"/>
    <n v="1"/>
    <n v="3"/>
    <b v="1"/>
    <n v="229"/>
    <n v="54"/>
    <x v="5"/>
    <x v="0"/>
    <x v="3"/>
    <x v="62"/>
    <n v="3.1"/>
    <x v="0"/>
    <x v="0"/>
    <x v="455"/>
    <x v="2"/>
    <x v="3"/>
    <x v="3"/>
    <n v="450"/>
    <x v="2"/>
    <n v="2.9866666666666664"/>
    <x v="0"/>
    <n v="0.67844522968197885"/>
    <s v="Viewers"/>
  </r>
  <r>
    <n v="8151"/>
    <s v="Mark"/>
    <x v="338"/>
    <d v="2024-11-24T00:00:00"/>
    <n v="11.99"/>
    <n v="483"/>
    <x v="6"/>
    <n v="3"/>
    <n v="6"/>
    <b v="0"/>
    <n v="730"/>
    <n v="98"/>
    <x v="1"/>
    <x v="3"/>
    <x v="2"/>
    <x v="94"/>
    <n v="3.8"/>
    <x v="0"/>
    <x v="0"/>
    <x v="398"/>
    <x v="1"/>
    <x v="0"/>
    <x v="1"/>
    <n v="155"/>
    <x v="1"/>
    <n v="21.812903225806451"/>
    <x v="2"/>
    <n v="0.58333333333333337"/>
    <s v="Viewers"/>
  </r>
  <r>
    <n v="7742"/>
    <s v="James"/>
    <x v="249"/>
    <d v="2024-11-22T00:00:00"/>
    <n v="11.99"/>
    <n v="17"/>
    <x v="5"/>
    <n v="2"/>
    <n v="3"/>
    <b v="1"/>
    <n v="312"/>
    <n v="114"/>
    <x v="0"/>
    <x v="0"/>
    <x v="1"/>
    <x v="48"/>
    <n v="3.6"/>
    <x v="1"/>
    <x v="0"/>
    <x v="456"/>
    <x v="4"/>
    <x v="2"/>
    <x v="2"/>
    <n v="56"/>
    <x v="1"/>
    <n v="2.125"/>
    <x v="0"/>
    <n v="3.9906103286384977E-2"/>
    <s v=" Browsers"/>
  </r>
  <r>
    <n v="4553"/>
    <s v="Janet"/>
    <x v="339"/>
    <d v="2024-11-27T00:00:00"/>
    <n v="7.99"/>
    <n v="272"/>
    <x v="3"/>
    <n v="1"/>
    <n v="6"/>
    <b v="0"/>
    <n v="356"/>
    <n v="126"/>
    <x v="3"/>
    <x v="1"/>
    <x v="2"/>
    <x v="42"/>
    <n v="4.3"/>
    <x v="1"/>
    <x v="0"/>
    <x v="457"/>
    <x v="2"/>
    <x v="1"/>
    <x v="2"/>
    <n v="531"/>
    <x v="0"/>
    <n v="3.5856873822975515"/>
    <x v="0"/>
    <n v="0.56431535269709543"/>
    <s v="Viewers"/>
  </r>
  <r>
    <n v="6919"/>
    <s v="Jane"/>
    <x v="152"/>
    <d v="2024-11-24T00:00:00"/>
    <n v="7.99"/>
    <n v="195"/>
    <x v="0"/>
    <n v="4"/>
    <n v="3"/>
    <b v="1"/>
    <n v="49"/>
    <n v="30"/>
    <x v="1"/>
    <x v="0"/>
    <x v="1"/>
    <x v="53"/>
    <n v="4.4000000000000004"/>
    <x v="0"/>
    <x v="0"/>
    <x v="458"/>
    <x v="2"/>
    <x v="2"/>
    <x v="2"/>
    <n v="638"/>
    <x v="0"/>
    <n v="2.1394984326018811"/>
    <x v="0"/>
    <n v="2.4683544303797467"/>
    <s v="Viewers"/>
  </r>
  <r>
    <n v="7168"/>
    <s v="Tammy"/>
    <x v="33"/>
    <d v="2024-11-21T00:00:00"/>
    <n v="11.99"/>
    <n v="416"/>
    <x v="2"/>
    <n v="3"/>
    <n v="1"/>
    <b v="1"/>
    <n v="774"/>
    <n v="55"/>
    <x v="6"/>
    <x v="0"/>
    <x v="5"/>
    <x v="81"/>
    <n v="3.3"/>
    <x v="0"/>
    <x v="0"/>
    <x v="459"/>
    <x v="0"/>
    <x v="2"/>
    <x v="1"/>
    <n v="316"/>
    <x v="1"/>
    <n v="9.2151898734177209"/>
    <x v="1"/>
    <n v="0.50180940892641734"/>
    <s v="Viewers"/>
  </r>
  <r>
    <n v="6474"/>
    <s v="Christopher"/>
    <x v="340"/>
    <d v="2024-11-19T00:00:00"/>
    <n v="15.99"/>
    <n v="459"/>
    <x v="3"/>
    <n v="5"/>
    <n v="5"/>
    <b v="1"/>
    <n v="961"/>
    <n v="173"/>
    <x v="2"/>
    <x v="0"/>
    <x v="1"/>
    <x v="92"/>
    <n v="3.7"/>
    <x v="0"/>
    <x v="0"/>
    <x v="96"/>
    <x v="1"/>
    <x v="4"/>
    <x v="0"/>
    <n v="385"/>
    <x v="2"/>
    <n v="8.3454545454545457"/>
    <x v="1"/>
    <n v="0.40476190476190477"/>
    <s v="Viewers"/>
  </r>
  <r>
    <n v="4242"/>
    <s v="Robert"/>
    <x v="341"/>
    <d v="2024-12-15T00:00:00"/>
    <n v="7.99"/>
    <n v="168"/>
    <x v="4"/>
    <n v="5"/>
    <n v="3"/>
    <b v="1"/>
    <n v="539"/>
    <n v="48"/>
    <x v="1"/>
    <x v="2"/>
    <x v="0"/>
    <x v="45"/>
    <n v="4.3"/>
    <x v="0"/>
    <x v="0"/>
    <x v="460"/>
    <x v="4"/>
    <x v="1"/>
    <x v="0"/>
    <n v="405"/>
    <x v="0"/>
    <n v="2.9037037037037039"/>
    <x v="0"/>
    <n v="0.28620102214650767"/>
    <s v="Viewers"/>
  </r>
  <r>
    <n v="3395"/>
    <s v="Michael"/>
    <x v="157"/>
    <d v="2024-11-29T00:00:00"/>
    <n v="7.99"/>
    <n v="307"/>
    <x v="6"/>
    <n v="5"/>
    <n v="6"/>
    <b v="0"/>
    <n v="340"/>
    <n v="174"/>
    <x v="3"/>
    <x v="3"/>
    <x v="2"/>
    <x v="17"/>
    <n v="4.5"/>
    <x v="1"/>
    <x v="0"/>
    <x v="461"/>
    <x v="2"/>
    <x v="2"/>
    <x v="1"/>
    <n v="248"/>
    <x v="0"/>
    <n v="8.6653225806451601"/>
    <x v="1"/>
    <n v="0.59727626459143968"/>
    <s v="Viewers"/>
  </r>
  <r>
    <n v="8694"/>
    <s v="Norma"/>
    <x v="342"/>
    <d v="2024-12-03T00:00:00"/>
    <n v="15.99"/>
    <n v="270"/>
    <x v="5"/>
    <n v="2"/>
    <n v="3"/>
    <b v="1"/>
    <n v="836"/>
    <n v="67"/>
    <x v="4"/>
    <x v="0"/>
    <x v="5"/>
    <x v="82"/>
    <n v="4.5"/>
    <x v="1"/>
    <x v="0"/>
    <x v="462"/>
    <x v="2"/>
    <x v="2"/>
    <x v="2"/>
    <n v="355"/>
    <x v="2"/>
    <n v="5.323943661971831"/>
    <x v="1"/>
    <n v="0.29900332225913623"/>
    <s v="Viewers"/>
  </r>
  <r>
    <n v="7150"/>
    <s v="Matthew"/>
    <x v="64"/>
    <d v="2024-12-07T00:00:00"/>
    <n v="7.99"/>
    <n v="358"/>
    <x v="0"/>
    <n v="4"/>
    <n v="6"/>
    <b v="1"/>
    <n v="746"/>
    <n v="200"/>
    <x v="3"/>
    <x v="1"/>
    <x v="4"/>
    <x v="93"/>
    <n v="3.9"/>
    <x v="1"/>
    <x v="0"/>
    <x v="463"/>
    <x v="3"/>
    <x v="3"/>
    <x v="0"/>
    <n v="604"/>
    <x v="0"/>
    <n v="4.1490066225165556"/>
    <x v="0"/>
    <n v="0.3784355179704017"/>
    <s v="Viewers"/>
  </r>
  <r>
    <n v="4111"/>
    <s v="Tyler"/>
    <x v="343"/>
    <d v="2024-11-27T00:00:00"/>
    <n v="11.99"/>
    <n v="301"/>
    <x v="2"/>
    <n v="2"/>
    <n v="2"/>
    <b v="1"/>
    <n v="939"/>
    <n v="21"/>
    <x v="5"/>
    <x v="2"/>
    <x v="2"/>
    <x v="75"/>
    <n v="4.9000000000000004"/>
    <x v="0"/>
    <x v="0"/>
    <x v="464"/>
    <x v="2"/>
    <x v="4"/>
    <x v="2"/>
    <n v="218"/>
    <x v="1"/>
    <n v="9.6651376146788994"/>
    <x v="1"/>
    <n v="0.31354166666666666"/>
    <s v="Viewers"/>
  </r>
  <r>
    <n v="3532"/>
    <s v="Richard"/>
    <x v="344"/>
    <d v="2024-12-15T00:00:00"/>
    <n v="7.99"/>
    <n v="277"/>
    <x v="0"/>
    <n v="2"/>
    <n v="4"/>
    <b v="0"/>
    <n v="659"/>
    <n v="150"/>
    <x v="0"/>
    <x v="1"/>
    <x v="4"/>
    <x v="37"/>
    <n v="3.9"/>
    <x v="1"/>
    <x v="0"/>
    <x v="465"/>
    <x v="2"/>
    <x v="3"/>
    <x v="1"/>
    <n v="686"/>
    <x v="0"/>
    <n v="2.8265306122448979"/>
    <x v="0"/>
    <n v="0.34239802224969096"/>
    <s v="Viewers"/>
  </r>
  <r>
    <n v="5375"/>
    <s v="Wendy"/>
    <x v="53"/>
    <d v="2024-11-30T00:00:00"/>
    <n v="15.99"/>
    <n v="423"/>
    <x v="2"/>
    <n v="5"/>
    <n v="2"/>
    <b v="1"/>
    <n v="435"/>
    <n v="108"/>
    <x v="2"/>
    <x v="1"/>
    <x v="4"/>
    <x v="52"/>
    <n v="4.5999999999999996"/>
    <x v="0"/>
    <x v="0"/>
    <x v="466"/>
    <x v="3"/>
    <x v="3"/>
    <x v="2"/>
    <n v="700"/>
    <x v="2"/>
    <n v="4.2300000000000004"/>
    <x v="0"/>
    <n v="0.77900552486187846"/>
    <s v="Viewers"/>
  </r>
  <r>
    <n v="8881"/>
    <s v="Taylor"/>
    <x v="279"/>
    <d v="2024-11-24T00:00:00"/>
    <n v="11.99"/>
    <n v="197"/>
    <x v="1"/>
    <n v="1"/>
    <n v="5"/>
    <b v="0"/>
    <n v="292"/>
    <n v="169"/>
    <x v="6"/>
    <x v="3"/>
    <x v="4"/>
    <x v="20"/>
    <n v="4.5"/>
    <x v="0"/>
    <x v="0"/>
    <x v="467"/>
    <x v="1"/>
    <x v="3"/>
    <x v="2"/>
    <n v="69"/>
    <x v="1"/>
    <n v="19.985507246376809"/>
    <x v="2"/>
    <n v="0.42733188720173537"/>
    <s v="Viewers"/>
  </r>
  <r>
    <n v="1235"/>
    <s v="William"/>
    <x v="340"/>
    <d v="2024-11-27T00:00:00"/>
    <n v="15.99"/>
    <n v="100"/>
    <x v="3"/>
    <n v="2"/>
    <n v="6"/>
    <b v="1"/>
    <n v="103"/>
    <n v="36"/>
    <x v="3"/>
    <x v="1"/>
    <x v="2"/>
    <x v="53"/>
    <n v="3.7"/>
    <x v="0"/>
    <x v="0"/>
    <x v="400"/>
    <x v="4"/>
    <x v="4"/>
    <x v="0"/>
    <n v="393"/>
    <x v="2"/>
    <n v="1.7811704834605597"/>
    <x v="0"/>
    <n v="0.71942446043165464"/>
    <s v="Viewers"/>
  </r>
  <r>
    <n v="2533"/>
    <s v="Danielle"/>
    <x v="143"/>
    <d v="2024-11-23T00:00:00"/>
    <n v="15.99"/>
    <n v="338"/>
    <x v="0"/>
    <n v="4"/>
    <n v="2"/>
    <b v="0"/>
    <n v="525"/>
    <n v="140"/>
    <x v="4"/>
    <x v="2"/>
    <x v="5"/>
    <x v="100"/>
    <n v="4.5999999999999996"/>
    <x v="1"/>
    <x v="0"/>
    <x v="468"/>
    <x v="2"/>
    <x v="2"/>
    <x v="3"/>
    <n v="386"/>
    <x v="2"/>
    <n v="6.1295336787564763"/>
    <x v="1"/>
    <n v="0.50827067669172932"/>
    <s v="Viewers"/>
  </r>
  <r>
    <n v="2734"/>
    <s v="Bruce"/>
    <x v="345"/>
    <d v="2024-12-01T00:00:00"/>
    <n v="11.99"/>
    <n v="130"/>
    <x v="3"/>
    <n v="1"/>
    <n v="1"/>
    <b v="1"/>
    <n v="428"/>
    <n v="119"/>
    <x v="6"/>
    <x v="2"/>
    <x v="5"/>
    <x v="56"/>
    <n v="4.5"/>
    <x v="1"/>
    <x v="0"/>
    <x v="469"/>
    <x v="4"/>
    <x v="0"/>
    <x v="3"/>
    <n v="178"/>
    <x v="1"/>
    <n v="5.1123595505617985"/>
    <x v="1"/>
    <n v="0.23765996343692869"/>
    <s v="Viewers"/>
  </r>
  <r>
    <n v="4129"/>
    <s v="Erin"/>
    <x v="74"/>
    <d v="2024-11-25T00:00:00"/>
    <n v="11.99"/>
    <n v="383"/>
    <x v="4"/>
    <n v="5"/>
    <n v="4"/>
    <b v="1"/>
    <n v="711"/>
    <n v="147"/>
    <x v="6"/>
    <x v="0"/>
    <x v="2"/>
    <x v="53"/>
    <n v="3.9"/>
    <x v="1"/>
    <x v="0"/>
    <x v="470"/>
    <x v="3"/>
    <x v="2"/>
    <x v="1"/>
    <n v="330"/>
    <x v="1"/>
    <n v="8.1242424242424232"/>
    <x v="1"/>
    <n v="0.44638694638694637"/>
    <s v="Viewers"/>
  </r>
  <r>
    <n v="3762"/>
    <s v="Michelle"/>
    <x v="263"/>
    <d v="2024-11-30T00:00:00"/>
    <n v="11.99"/>
    <n v="411"/>
    <x v="0"/>
    <n v="5"/>
    <n v="6"/>
    <b v="1"/>
    <n v="887"/>
    <n v="37"/>
    <x v="4"/>
    <x v="0"/>
    <x v="5"/>
    <x v="29"/>
    <n v="3.9"/>
    <x v="1"/>
    <x v="0"/>
    <x v="471"/>
    <x v="1"/>
    <x v="3"/>
    <x v="0"/>
    <n v="338"/>
    <x v="1"/>
    <n v="8.5118343195266277"/>
    <x v="1"/>
    <n v="0.44480519480519481"/>
    <s v="Viewers"/>
  </r>
  <r>
    <n v="4341"/>
    <s v="Marie"/>
    <x v="178"/>
    <d v="2024-12-07T00:00:00"/>
    <n v="11.99"/>
    <n v="347"/>
    <x v="4"/>
    <n v="4"/>
    <n v="2"/>
    <b v="1"/>
    <n v="546"/>
    <n v="12"/>
    <x v="4"/>
    <x v="0"/>
    <x v="3"/>
    <x v="97"/>
    <n v="3.1"/>
    <x v="0"/>
    <x v="0"/>
    <x v="472"/>
    <x v="0"/>
    <x v="0"/>
    <x v="1"/>
    <n v="555"/>
    <x v="1"/>
    <n v="4.3765765765765758"/>
    <x v="0"/>
    <n v="0.62186379928315416"/>
    <s v="Viewers"/>
  </r>
  <r>
    <n v="6638"/>
    <s v="Cory"/>
    <x v="346"/>
    <d v="2024-12-11T00:00:00"/>
    <n v="11.99"/>
    <n v="302"/>
    <x v="5"/>
    <n v="4"/>
    <n v="2"/>
    <b v="1"/>
    <n v="417"/>
    <n v="143"/>
    <x v="1"/>
    <x v="1"/>
    <x v="2"/>
    <x v="31"/>
    <n v="4.7"/>
    <x v="0"/>
    <x v="0"/>
    <x v="473"/>
    <x v="0"/>
    <x v="4"/>
    <x v="3"/>
    <n v="436"/>
    <x v="1"/>
    <n v="4.8486238532110093"/>
    <x v="0"/>
    <n v="0.53928571428571426"/>
    <s v="Viewers"/>
  </r>
  <r>
    <n v="5861"/>
    <s v="Angela"/>
    <x v="324"/>
    <d v="2024-12-03T00:00:00"/>
    <n v="15.99"/>
    <n v="361"/>
    <x v="6"/>
    <n v="3"/>
    <n v="6"/>
    <b v="0"/>
    <n v="407"/>
    <n v="126"/>
    <x v="5"/>
    <x v="1"/>
    <x v="3"/>
    <x v="54"/>
    <n v="4.3"/>
    <x v="0"/>
    <x v="0"/>
    <x v="474"/>
    <x v="3"/>
    <x v="0"/>
    <x v="0"/>
    <n v="575"/>
    <x v="2"/>
    <n v="4.3947826086956523"/>
    <x v="0"/>
    <n v="0.67729831144465291"/>
    <s v="Viewers"/>
  </r>
  <r>
    <n v="8815"/>
    <s v="Brian"/>
    <x v="347"/>
    <d v="2024-12-01T00:00:00"/>
    <n v="7.99"/>
    <n v="148"/>
    <x v="3"/>
    <n v="1"/>
    <n v="1"/>
    <b v="1"/>
    <n v="579"/>
    <n v="121"/>
    <x v="6"/>
    <x v="3"/>
    <x v="3"/>
    <x v="39"/>
    <n v="3.6"/>
    <x v="0"/>
    <x v="0"/>
    <x v="475"/>
    <x v="2"/>
    <x v="3"/>
    <x v="1"/>
    <n v="384"/>
    <x v="0"/>
    <n v="2.697916666666667"/>
    <x v="0"/>
    <n v="0.21142857142857144"/>
    <s v="Viewers"/>
  </r>
  <r>
    <n v="8793"/>
    <s v="Lisa"/>
    <x v="15"/>
    <d v="2024-11-21T00:00:00"/>
    <n v="7.99"/>
    <n v="162"/>
    <x v="2"/>
    <n v="2"/>
    <n v="5"/>
    <b v="1"/>
    <n v="672"/>
    <n v="57"/>
    <x v="4"/>
    <x v="1"/>
    <x v="2"/>
    <x v="88"/>
    <n v="4.3"/>
    <x v="0"/>
    <x v="0"/>
    <x v="476"/>
    <x v="3"/>
    <x v="2"/>
    <x v="3"/>
    <n v="187"/>
    <x v="0"/>
    <n v="6.0641711229946518"/>
    <x v="1"/>
    <n v="0.22222222222222221"/>
    <s v="Viewers"/>
  </r>
  <r>
    <n v="3469"/>
    <s v="Kimberly"/>
    <x v="101"/>
    <d v="2024-12-18T00:00:00"/>
    <n v="7.99"/>
    <n v="379"/>
    <x v="1"/>
    <n v="3"/>
    <n v="5"/>
    <b v="1"/>
    <n v="377"/>
    <n v="153"/>
    <x v="4"/>
    <x v="3"/>
    <x v="2"/>
    <x v="79"/>
    <n v="3.6"/>
    <x v="1"/>
    <x v="0"/>
    <x v="477"/>
    <x v="0"/>
    <x v="2"/>
    <x v="3"/>
    <n v="500"/>
    <x v="0"/>
    <n v="5.306"/>
    <x v="1"/>
    <n v="0.71509433962264146"/>
    <s v="Viewers"/>
  </r>
  <r>
    <n v="3654"/>
    <s v="James"/>
    <x v="348"/>
    <d v="2024-12-14T00:00:00"/>
    <n v="15.99"/>
    <n v="373"/>
    <x v="5"/>
    <n v="2"/>
    <n v="6"/>
    <b v="1"/>
    <n v="818"/>
    <n v="34"/>
    <x v="1"/>
    <x v="0"/>
    <x v="4"/>
    <x v="10"/>
    <n v="3.8"/>
    <x v="1"/>
    <x v="0"/>
    <x v="478"/>
    <x v="1"/>
    <x v="3"/>
    <x v="1"/>
    <n v="294"/>
    <x v="2"/>
    <n v="8.8809523809523814"/>
    <x v="1"/>
    <n v="0.43779342723004694"/>
    <s v="Viewers"/>
  </r>
  <r>
    <n v="9555"/>
    <s v="Brian"/>
    <x v="349"/>
    <d v="2024-11-22T00:00:00"/>
    <n v="11.99"/>
    <n v="354"/>
    <x v="3"/>
    <n v="1"/>
    <n v="1"/>
    <b v="1"/>
    <n v="225"/>
    <n v="1"/>
    <x v="2"/>
    <x v="3"/>
    <x v="0"/>
    <x v="75"/>
    <n v="4.3"/>
    <x v="1"/>
    <x v="0"/>
    <x v="479"/>
    <x v="4"/>
    <x v="4"/>
    <x v="1"/>
    <n v="112"/>
    <x v="1"/>
    <n v="22.125"/>
    <x v="2"/>
    <n v="1.5663716814159292"/>
    <s v="Viewers"/>
  </r>
  <r>
    <n v="4028"/>
    <s v="Juan"/>
    <x v="350"/>
    <d v="2024-12-09T00:00:00"/>
    <n v="7.99"/>
    <n v="76"/>
    <x v="4"/>
    <n v="2"/>
    <n v="4"/>
    <b v="1"/>
    <n v="324"/>
    <n v="113"/>
    <x v="4"/>
    <x v="2"/>
    <x v="5"/>
    <x v="62"/>
    <n v="4.9000000000000004"/>
    <x v="0"/>
    <x v="0"/>
    <x v="480"/>
    <x v="3"/>
    <x v="1"/>
    <x v="2"/>
    <n v="219"/>
    <x v="0"/>
    <n v="2.4292237442922375"/>
    <x v="0"/>
    <n v="0.17391304347826086"/>
    <s v="Viewers"/>
  </r>
  <r>
    <n v="9499"/>
    <s v="Kevin"/>
    <x v="241"/>
    <d v="2024-12-14T00:00:00"/>
    <n v="11.99"/>
    <n v="316"/>
    <x v="0"/>
    <n v="1"/>
    <n v="3"/>
    <b v="0"/>
    <n v="793"/>
    <n v="141"/>
    <x v="0"/>
    <x v="0"/>
    <x v="1"/>
    <x v="72"/>
    <n v="3.4"/>
    <x v="0"/>
    <x v="0"/>
    <x v="481"/>
    <x v="1"/>
    <x v="3"/>
    <x v="2"/>
    <n v="607"/>
    <x v="1"/>
    <n v="3.6441515650741354"/>
    <x v="0"/>
    <n v="0.33832976445396146"/>
    <s v="Viewers"/>
  </r>
  <r>
    <n v="8628"/>
    <s v="Lori"/>
    <x v="51"/>
    <d v="2024-11-29T00:00:00"/>
    <n v="11.99"/>
    <n v="331"/>
    <x v="4"/>
    <n v="4"/>
    <n v="2"/>
    <b v="1"/>
    <n v="133"/>
    <n v="143"/>
    <x v="2"/>
    <x v="0"/>
    <x v="3"/>
    <x v="93"/>
    <n v="4.5999999999999996"/>
    <x v="1"/>
    <x v="0"/>
    <x v="482"/>
    <x v="3"/>
    <x v="4"/>
    <x v="0"/>
    <n v="704"/>
    <x v="1"/>
    <n v="3.2911931818181821"/>
    <x v="0"/>
    <n v="1.1992753623188406"/>
    <s v="Viewers"/>
  </r>
  <r>
    <n v="9942"/>
    <s v="Michael"/>
    <x v="250"/>
    <d v="2024-11-20T00:00:00"/>
    <n v="15.99"/>
    <n v="418"/>
    <x v="3"/>
    <n v="1"/>
    <n v="5"/>
    <b v="1"/>
    <n v="260"/>
    <n v="161"/>
    <x v="1"/>
    <x v="3"/>
    <x v="4"/>
    <x v="77"/>
    <n v="3.6"/>
    <x v="1"/>
    <x v="0"/>
    <x v="483"/>
    <x v="2"/>
    <x v="1"/>
    <x v="0"/>
    <n v="474"/>
    <x v="2"/>
    <n v="6.1729957805907176"/>
    <x v="1"/>
    <n v="0.99287410926365793"/>
    <s v="Viewers"/>
  </r>
  <r>
    <n v="4044"/>
    <s v="Cameron"/>
    <x v="351"/>
    <d v="2024-11-23T00:00:00"/>
    <n v="15.99"/>
    <n v="309"/>
    <x v="6"/>
    <n v="5"/>
    <n v="5"/>
    <b v="0"/>
    <n v="851"/>
    <n v="166"/>
    <x v="6"/>
    <x v="3"/>
    <x v="3"/>
    <x v="29"/>
    <n v="4"/>
    <x v="1"/>
    <x v="0"/>
    <x v="484"/>
    <x v="3"/>
    <x v="3"/>
    <x v="3"/>
    <n v="538"/>
    <x v="2"/>
    <n v="4.0204460966542745"/>
    <x v="0"/>
    <n v="0.30383480825958703"/>
    <s v="Viewers"/>
  </r>
  <r>
    <n v="8143"/>
    <s v="Mark"/>
    <x v="352"/>
    <d v="2024-12-11T00:00:00"/>
    <n v="7.99"/>
    <n v="252"/>
    <x v="1"/>
    <n v="3"/>
    <n v="5"/>
    <b v="1"/>
    <n v="105"/>
    <n v="118"/>
    <x v="5"/>
    <x v="1"/>
    <x v="1"/>
    <x v="64"/>
    <n v="4.4000000000000004"/>
    <x v="1"/>
    <x v="0"/>
    <x v="485"/>
    <x v="3"/>
    <x v="1"/>
    <x v="2"/>
    <n v="196"/>
    <x v="0"/>
    <n v="9"/>
    <x v="1"/>
    <n v="1.1300448430493273"/>
    <s v="Viewers"/>
  </r>
  <r>
    <n v="3984"/>
    <s v="Daniel"/>
    <x v="353"/>
    <d v="2024-12-01T00:00:00"/>
    <n v="15.99"/>
    <n v="146"/>
    <x v="5"/>
    <n v="4"/>
    <n v="6"/>
    <b v="0"/>
    <n v="646"/>
    <n v="139"/>
    <x v="5"/>
    <x v="0"/>
    <x v="1"/>
    <x v="21"/>
    <n v="3.7"/>
    <x v="1"/>
    <x v="0"/>
    <x v="486"/>
    <x v="4"/>
    <x v="2"/>
    <x v="0"/>
    <n v="621"/>
    <x v="2"/>
    <n v="1.6457326892109503"/>
    <x v="0"/>
    <n v="0.1859872611464968"/>
    <s v="Viewers"/>
  </r>
  <r>
    <n v="9294"/>
    <s v="Jerry"/>
    <x v="128"/>
    <d v="2024-11-21T00:00:00"/>
    <n v="11.99"/>
    <n v="352"/>
    <x v="4"/>
    <n v="4"/>
    <n v="4"/>
    <b v="1"/>
    <n v="358"/>
    <n v="6"/>
    <x v="1"/>
    <x v="1"/>
    <x v="2"/>
    <x v="7"/>
    <n v="3.8"/>
    <x v="0"/>
    <x v="0"/>
    <x v="149"/>
    <x v="0"/>
    <x v="1"/>
    <x v="1"/>
    <n v="640"/>
    <x v="1"/>
    <n v="3.85"/>
    <x v="0"/>
    <n v="0.96703296703296704"/>
    <s v="Viewers"/>
  </r>
  <r>
    <n v="4769"/>
    <s v="Michael"/>
    <x v="354"/>
    <d v="2024-12-17T00:00:00"/>
    <n v="7.99"/>
    <n v="43"/>
    <x v="6"/>
    <n v="5"/>
    <n v="3"/>
    <b v="1"/>
    <n v="336"/>
    <n v="135"/>
    <x v="0"/>
    <x v="0"/>
    <x v="4"/>
    <x v="85"/>
    <n v="4"/>
    <x v="1"/>
    <x v="0"/>
    <x v="487"/>
    <x v="0"/>
    <x v="2"/>
    <x v="0"/>
    <n v="286"/>
    <x v="0"/>
    <n v="1.0524475524475525"/>
    <x v="0"/>
    <n v="9.1295116772823773E-2"/>
    <s v=" Browsers"/>
  </r>
  <r>
    <n v="8864"/>
    <s v="Michael"/>
    <x v="355"/>
    <d v="2024-11-29T00:00:00"/>
    <n v="11.99"/>
    <n v="440"/>
    <x v="1"/>
    <n v="4"/>
    <n v="3"/>
    <b v="1"/>
    <n v="80"/>
    <n v="143"/>
    <x v="2"/>
    <x v="3"/>
    <x v="1"/>
    <x v="99"/>
    <n v="3.4"/>
    <x v="0"/>
    <x v="0"/>
    <x v="488"/>
    <x v="4"/>
    <x v="0"/>
    <x v="0"/>
    <n v="254"/>
    <x v="1"/>
    <n v="12.125984251968504"/>
    <x v="1"/>
    <n v="1.9730941704035874"/>
    <s v="Viewers"/>
  </r>
  <r>
    <n v="1857"/>
    <s v="Brittney"/>
    <x v="356"/>
    <d v="2024-11-23T00:00:00"/>
    <n v="15.99"/>
    <n v="376"/>
    <x v="6"/>
    <n v="2"/>
    <n v="2"/>
    <b v="0"/>
    <n v="326"/>
    <n v="89"/>
    <x v="3"/>
    <x v="3"/>
    <x v="3"/>
    <x v="0"/>
    <n v="4.5999999999999996"/>
    <x v="1"/>
    <x v="0"/>
    <x v="489"/>
    <x v="3"/>
    <x v="4"/>
    <x v="0"/>
    <n v="172"/>
    <x v="2"/>
    <n v="15.302325581395348"/>
    <x v="2"/>
    <n v="0.90602409638554215"/>
    <s v="Viewers"/>
  </r>
  <r>
    <n v="5566"/>
    <s v="Brian"/>
    <x v="81"/>
    <d v="2024-12-07T00:00:00"/>
    <n v="11.99"/>
    <n v="137"/>
    <x v="0"/>
    <n v="3"/>
    <n v="6"/>
    <b v="1"/>
    <n v="699"/>
    <n v="70"/>
    <x v="5"/>
    <x v="0"/>
    <x v="3"/>
    <x v="14"/>
    <n v="3.9"/>
    <x v="1"/>
    <x v="0"/>
    <x v="490"/>
    <x v="3"/>
    <x v="0"/>
    <x v="1"/>
    <n v="355"/>
    <x v="1"/>
    <n v="2.7014084507042253"/>
    <x v="0"/>
    <n v="0.17815344603381014"/>
    <s v="Viewers"/>
  </r>
  <r>
    <n v="1373"/>
    <s v="Elizabeth"/>
    <x v="151"/>
    <d v="2024-12-12T00:00:00"/>
    <n v="7.99"/>
    <n v="301"/>
    <x v="0"/>
    <n v="2"/>
    <n v="5"/>
    <b v="0"/>
    <n v="89"/>
    <n v="55"/>
    <x v="0"/>
    <x v="2"/>
    <x v="5"/>
    <x v="84"/>
    <n v="4.2"/>
    <x v="1"/>
    <x v="0"/>
    <x v="491"/>
    <x v="3"/>
    <x v="4"/>
    <x v="0"/>
    <n v="640"/>
    <x v="0"/>
    <n v="3.2921874999999998"/>
    <x v="0"/>
    <n v="2.0902777777777777"/>
    <s v="Viewers"/>
  </r>
  <r>
    <n v="6345"/>
    <s v="Thomas"/>
    <x v="201"/>
    <d v="2024-12-09T00:00:00"/>
    <n v="7.99"/>
    <n v="410"/>
    <x v="3"/>
    <n v="1"/>
    <n v="1"/>
    <b v="1"/>
    <n v="909"/>
    <n v="99"/>
    <x v="1"/>
    <x v="0"/>
    <x v="2"/>
    <x v="46"/>
    <n v="3.2"/>
    <x v="0"/>
    <x v="0"/>
    <x v="492"/>
    <x v="2"/>
    <x v="1"/>
    <x v="1"/>
    <n v="708"/>
    <x v="0"/>
    <n v="4.0536723163841808"/>
    <x v="0"/>
    <n v="0.40674603174603174"/>
    <s v="Viewers"/>
  </r>
  <r>
    <n v="3234"/>
    <s v="Jessica"/>
    <x v="357"/>
    <d v="2024-12-07T00:00:00"/>
    <n v="11.99"/>
    <n v="298"/>
    <x v="4"/>
    <n v="2"/>
    <n v="1"/>
    <b v="0"/>
    <n v="918"/>
    <n v="153"/>
    <x v="4"/>
    <x v="0"/>
    <x v="3"/>
    <x v="64"/>
    <n v="4.4000000000000004"/>
    <x v="1"/>
    <x v="0"/>
    <x v="493"/>
    <x v="2"/>
    <x v="2"/>
    <x v="2"/>
    <n v="341"/>
    <x v="1"/>
    <n v="6.1173020527859236"/>
    <x v="1"/>
    <n v="0.27824463118580767"/>
    <s v="Viewers"/>
  </r>
  <r>
    <n v="6998"/>
    <s v="Joshua"/>
    <x v="358"/>
    <d v="2024-12-02T00:00:00"/>
    <n v="7.99"/>
    <n v="54"/>
    <x v="2"/>
    <n v="4"/>
    <n v="5"/>
    <b v="1"/>
    <n v="285"/>
    <n v="66"/>
    <x v="3"/>
    <x v="2"/>
    <x v="4"/>
    <x v="80"/>
    <n v="3.8"/>
    <x v="0"/>
    <x v="0"/>
    <x v="494"/>
    <x v="4"/>
    <x v="3"/>
    <x v="0"/>
    <n v="255"/>
    <x v="0"/>
    <n v="1.4823529411764704"/>
    <x v="0"/>
    <n v="0.15384615384615385"/>
    <s v="Viewers"/>
  </r>
  <r>
    <n v="5809"/>
    <s v="Melissa"/>
    <x v="316"/>
    <d v="2024-11-19T00:00:00"/>
    <n v="7.99"/>
    <n v="486"/>
    <x v="4"/>
    <n v="4"/>
    <n v="3"/>
    <b v="0"/>
    <n v="463"/>
    <n v="171"/>
    <x v="2"/>
    <x v="1"/>
    <x v="5"/>
    <x v="95"/>
    <n v="3.2"/>
    <x v="0"/>
    <x v="0"/>
    <x v="495"/>
    <x v="1"/>
    <x v="4"/>
    <x v="1"/>
    <n v="67"/>
    <x v="0"/>
    <n v="50.776119402985074"/>
    <x v="2"/>
    <n v="0.7665615141955836"/>
    <s v="Viewers"/>
  </r>
  <r>
    <n v="6522"/>
    <s v="Bryan"/>
    <x v="337"/>
    <d v="2024-11-27T00:00:00"/>
    <n v="11.99"/>
    <n v="38"/>
    <x v="5"/>
    <n v="1"/>
    <n v="4"/>
    <b v="1"/>
    <n v="875"/>
    <n v="115"/>
    <x v="1"/>
    <x v="3"/>
    <x v="1"/>
    <x v="100"/>
    <n v="4.7"/>
    <x v="1"/>
    <x v="0"/>
    <x v="496"/>
    <x v="2"/>
    <x v="2"/>
    <x v="0"/>
    <n v="444"/>
    <x v="1"/>
    <n v="0.59909909909909909"/>
    <x v="0"/>
    <n v="3.8383838383838381E-2"/>
    <s v=" Browsers"/>
  </r>
  <r>
    <n v="3892"/>
    <s v="Amanda"/>
    <x v="244"/>
    <d v="2024-12-03T00:00:00"/>
    <n v="7.99"/>
    <n v="442"/>
    <x v="0"/>
    <n v="3"/>
    <n v="6"/>
    <b v="1"/>
    <n v="875"/>
    <n v="70"/>
    <x v="1"/>
    <x v="0"/>
    <x v="1"/>
    <x v="41"/>
    <n v="3.7"/>
    <x v="0"/>
    <x v="0"/>
    <x v="497"/>
    <x v="1"/>
    <x v="0"/>
    <x v="1"/>
    <n v="501"/>
    <x v="0"/>
    <n v="6.1756487025948106"/>
    <x v="1"/>
    <n v="0.46772486772486771"/>
    <s v="Viewers"/>
  </r>
  <r>
    <n v="4427"/>
    <s v="Walter"/>
    <x v="8"/>
    <d v="2024-11-28T00:00:00"/>
    <n v="7.99"/>
    <n v="474"/>
    <x v="4"/>
    <n v="3"/>
    <n v="5"/>
    <b v="1"/>
    <n v="341"/>
    <n v="165"/>
    <x v="4"/>
    <x v="3"/>
    <x v="2"/>
    <x v="55"/>
    <n v="4.8"/>
    <x v="0"/>
    <x v="0"/>
    <x v="498"/>
    <x v="0"/>
    <x v="3"/>
    <x v="1"/>
    <n v="530"/>
    <x v="0"/>
    <n v="6.2603773584905662"/>
    <x v="1"/>
    <n v="0.93675889328063244"/>
    <s v="Viewers"/>
  </r>
  <r>
    <n v="8145"/>
    <s v="Samuel"/>
    <x v="359"/>
    <d v="2024-11-21T00:00:00"/>
    <n v="15.99"/>
    <n v="96"/>
    <x v="5"/>
    <n v="5"/>
    <n v="1"/>
    <b v="1"/>
    <n v="273"/>
    <n v="79"/>
    <x v="2"/>
    <x v="0"/>
    <x v="4"/>
    <x v="22"/>
    <n v="4.3"/>
    <x v="0"/>
    <x v="0"/>
    <x v="223"/>
    <x v="1"/>
    <x v="1"/>
    <x v="3"/>
    <n v="650"/>
    <x v="2"/>
    <n v="1.0338461538461539"/>
    <x v="0"/>
    <n v="0.27272727272727271"/>
    <s v="Viewers"/>
  </r>
  <r>
    <n v="1150"/>
    <s v="John"/>
    <x v="231"/>
    <d v="2024-11-29T00:00:00"/>
    <n v="11.99"/>
    <n v="160"/>
    <x v="4"/>
    <n v="5"/>
    <n v="5"/>
    <b v="1"/>
    <n v="352"/>
    <n v="31"/>
    <x v="3"/>
    <x v="0"/>
    <x v="0"/>
    <x v="86"/>
    <n v="3.7"/>
    <x v="1"/>
    <x v="0"/>
    <x v="499"/>
    <x v="4"/>
    <x v="1"/>
    <x v="3"/>
    <n v="403"/>
    <x v="1"/>
    <n v="2.7791563275434243"/>
    <x v="0"/>
    <n v="0.4177545691906005"/>
    <s v="Viewers"/>
  </r>
  <r>
    <n v="7366"/>
    <s v="Dylan"/>
    <x v="338"/>
    <d v="2024-12-15T00:00:00"/>
    <n v="7.99"/>
    <n v="451"/>
    <x v="5"/>
    <n v="3"/>
    <n v="3"/>
    <b v="0"/>
    <n v="588"/>
    <n v="147"/>
    <x v="5"/>
    <x v="1"/>
    <x v="1"/>
    <x v="100"/>
    <n v="3.3"/>
    <x v="1"/>
    <x v="0"/>
    <x v="500"/>
    <x v="4"/>
    <x v="3"/>
    <x v="1"/>
    <n v="176"/>
    <x v="0"/>
    <n v="17.9375"/>
    <x v="2"/>
    <n v="0.61360544217687074"/>
    <s v="Viewers"/>
  </r>
  <r>
    <n v="3004"/>
    <s v="Joseph"/>
    <x v="360"/>
    <d v="2024-12-18T00:00:00"/>
    <n v="11.99"/>
    <n v="184"/>
    <x v="3"/>
    <n v="3"/>
    <n v="4"/>
    <b v="0"/>
    <n v="233"/>
    <n v="15"/>
    <x v="1"/>
    <x v="3"/>
    <x v="2"/>
    <x v="72"/>
    <n v="3.5"/>
    <x v="1"/>
    <x v="0"/>
    <x v="501"/>
    <x v="2"/>
    <x v="3"/>
    <x v="0"/>
    <n v="57"/>
    <x v="1"/>
    <n v="22.596491228070178"/>
    <x v="2"/>
    <n v="0.74193548387096775"/>
    <s v="Viewers"/>
  </r>
  <r>
    <n v="9934"/>
    <s v="Heather"/>
    <x v="263"/>
    <d v="2024-12-16T00:00:00"/>
    <n v="15.99"/>
    <n v="50"/>
    <x v="1"/>
    <n v="2"/>
    <n v="6"/>
    <b v="1"/>
    <n v="159"/>
    <n v="131"/>
    <x v="4"/>
    <x v="1"/>
    <x v="2"/>
    <x v="77"/>
    <n v="3.8"/>
    <x v="0"/>
    <x v="0"/>
    <x v="502"/>
    <x v="1"/>
    <x v="1"/>
    <x v="3"/>
    <n v="354"/>
    <x v="2"/>
    <n v="0.98870056497175141"/>
    <x v="0"/>
    <n v="0.17241379310344829"/>
    <s v="Viewers"/>
  </r>
  <r>
    <n v="1228"/>
    <s v="Cassandra"/>
    <x v="361"/>
    <d v="2024-12-14T00:00:00"/>
    <n v="7.99"/>
    <n v="299"/>
    <x v="4"/>
    <n v="3"/>
    <n v="1"/>
    <b v="0"/>
    <n v="488"/>
    <n v="135"/>
    <x v="5"/>
    <x v="1"/>
    <x v="1"/>
    <x v="90"/>
    <n v="4.8"/>
    <x v="0"/>
    <x v="0"/>
    <x v="503"/>
    <x v="1"/>
    <x v="3"/>
    <x v="3"/>
    <n v="626"/>
    <x v="0"/>
    <n v="3.3434504792332267"/>
    <x v="0"/>
    <n v="0.4799357945425361"/>
    <s v="Viewers"/>
  </r>
  <r>
    <n v="5806"/>
    <s v="Marisa"/>
    <x v="362"/>
    <d v="2024-12-15T00:00:00"/>
    <n v="7.99"/>
    <n v="495"/>
    <x v="1"/>
    <n v="5"/>
    <n v="6"/>
    <b v="0"/>
    <n v="522"/>
    <n v="32"/>
    <x v="4"/>
    <x v="3"/>
    <x v="5"/>
    <x v="81"/>
    <n v="3.9"/>
    <x v="1"/>
    <x v="0"/>
    <x v="504"/>
    <x v="4"/>
    <x v="4"/>
    <x v="3"/>
    <n v="136"/>
    <x v="0"/>
    <n v="25.477941176470591"/>
    <x v="2"/>
    <n v="0.89350180505415167"/>
    <s v="Viewers"/>
  </r>
  <r>
    <n v="7538"/>
    <s v="Samantha"/>
    <x v="363"/>
    <d v="2024-11-26T00:00:00"/>
    <n v="7.99"/>
    <n v="132"/>
    <x v="4"/>
    <n v="4"/>
    <n v="5"/>
    <b v="1"/>
    <n v="30"/>
    <n v="177"/>
    <x v="0"/>
    <x v="0"/>
    <x v="5"/>
    <x v="97"/>
    <n v="5"/>
    <x v="0"/>
    <x v="0"/>
    <x v="505"/>
    <x v="2"/>
    <x v="3"/>
    <x v="1"/>
    <n v="198"/>
    <x v="0"/>
    <n v="4.666666666666667"/>
    <x v="0"/>
    <n v="0.6376811594202898"/>
    <s v="Viewers"/>
  </r>
  <r>
    <n v="1035"/>
    <s v="Katherine"/>
    <x v="38"/>
    <d v="2024-11-22T00:00:00"/>
    <n v="11.99"/>
    <n v="395"/>
    <x v="6"/>
    <n v="2"/>
    <n v="4"/>
    <b v="1"/>
    <n v="139"/>
    <n v="29"/>
    <x v="5"/>
    <x v="1"/>
    <x v="3"/>
    <x v="52"/>
    <n v="3.9"/>
    <x v="1"/>
    <x v="0"/>
    <x v="506"/>
    <x v="4"/>
    <x v="3"/>
    <x v="2"/>
    <n v="280"/>
    <x v="1"/>
    <n v="9.875"/>
    <x v="1"/>
    <n v="2.3511904761904763"/>
    <s v="Viewers"/>
  </r>
  <r>
    <n v="8399"/>
    <s v="Diana"/>
    <x v="364"/>
    <d v="2024-12-03T00:00:00"/>
    <n v="11.99"/>
    <n v="34"/>
    <x v="0"/>
    <n v="1"/>
    <n v="2"/>
    <b v="1"/>
    <n v="393"/>
    <n v="130"/>
    <x v="2"/>
    <x v="3"/>
    <x v="2"/>
    <x v="95"/>
    <n v="3.9"/>
    <x v="0"/>
    <x v="0"/>
    <x v="507"/>
    <x v="3"/>
    <x v="0"/>
    <x v="0"/>
    <n v="639"/>
    <x v="1"/>
    <n v="0.37245696400625977"/>
    <x v="0"/>
    <n v="6.5009560229445512E-2"/>
    <s v=" Browsers"/>
  </r>
  <r>
    <n v="1912"/>
    <s v="Stephen"/>
    <x v="239"/>
    <d v="2024-12-14T00:00:00"/>
    <n v="11.99"/>
    <n v="348"/>
    <x v="6"/>
    <n v="1"/>
    <n v="4"/>
    <b v="0"/>
    <n v="792"/>
    <n v="67"/>
    <x v="4"/>
    <x v="3"/>
    <x v="5"/>
    <x v="22"/>
    <n v="4.0999999999999996"/>
    <x v="0"/>
    <x v="0"/>
    <x v="508"/>
    <x v="1"/>
    <x v="0"/>
    <x v="0"/>
    <n v="505"/>
    <x v="1"/>
    <n v="4.8237623762376236"/>
    <x v="0"/>
    <n v="0.4051222351571595"/>
    <s v="Viewers"/>
  </r>
  <r>
    <n v="6604"/>
    <s v="Lisa"/>
    <x v="365"/>
    <d v="2024-11-22T00:00:00"/>
    <n v="15.99"/>
    <n v="247"/>
    <x v="6"/>
    <n v="5"/>
    <n v="4"/>
    <b v="0"/>
    <n v="186"/>
    <n v="158"/>
    <x v="2"/>
    <x v="3"/>
    <x v="3"/>
    <x v="96"/>
    <n v="3.8"/>
    <x v="0"/>
    <x v="0"/>
    <x v="509"/>
    <x v="4"/>
    <x v="3"/>
    <x v="1"/>
    <n v="159"/>
    <x v="2"/>
    <n v="10.874213836477987"/>
    <x v="1"/>
    <n v="0.71802325581395354"/>
    <s v="Viewers"/>
  </r>
  <r>
    <n v="8952"/>
    <s v="Kristin"/>
    <x v="116"/>
    <d v="2024-11-22T00:00:00"/>
    <n v="11.99"/>
    <n v="216"/>
    <x v="6"/>
    <n v="1"/>
    <n v="1"/>
    <b v="0"/>
    <n v="872"/>
    <n v="150"/>
    <x v="6"/>
    <x v="2"/>
    <x v="4"/>
    <x v="95"/>
    <n v="3.8"/>
    <x v="1"/>
    <x v="0"/>
    <x v="510"/>
    <x v="4"/>
    <x v="2"/>
    <x v="0"/>
    <n v="653"/>
    <x v="1"/>
    <n v="2.3154670750382849"/>
    <x v="0"/>
    <n v="0.21135029354207435"/>
    <s v="Viewers"/>
  </r>
  <r>
    <n v="2549"/>
    <s v="Autumn"/>
    <x v="187"/>
    <d v="2024-11-26T00:00:00"/>
    <n v="11.99"/>
    <n v="299"/>
    <x v="5"/>
    <n v="4"/>
    <n v="6"/>
    <b v="0"/>
    <n v="77"/>
    <n v="191"/>
    <x v="4"/>
    <x v="3"/>
    <x v="4"/>
    <x v="26"/>
    <n v="3.4"/>
    <x v="1"/>
    <x v="0"/>
    <x v="511"/>
    <x v="1"/>
    <x v="3"/>
    <x v="3"/>
    <n v="102"/>
    <x v="1"/>
    <n v="20.519607843137255"/>
    <x v="2"/>
    <n v="1.1156716417910448"/>
    <s v="Viewers"/>
  </r>
  <r>
    <n v="8954"/>
    <s v="Melissa"/>
    <x v="347"/>
    <d v="2024-11-27T00:00:00"/>
    <n v="15.99"/>
    <n v="315"/>
    <x v="5"/>
    <n v="2"/>
    <n v="1"/>
    <b v="1"/>
    <n v="829"/>
    <n v="178"/>
    <x v="0"/>
    <x v="1"/>
    <x v="3"/>
    <x v="56"/>
    <n v="3.1"/>
    <x v="0"/>
    <x v="0"/>
    <x v="512"/>
    <x v="0"/>
    <x v="0"/>
    <x v="1"/>
    <n v="380"/>
    <x v="2"/>
    <n v="5.8026315789473681"/>
    <x v="1"/>
    <n v="0.3128103277060576"/>
    <s v="Viewers"/>
  </r>
  <r>
    <n v="1922"/>
    <s v="Tiffany"/>
    <x v="129"/>
    <d v="2024-12-03T00:00:00"/>
    <n v="11.99"/>
    <n v="35"/>
    <x v="3"/>
    <n v="2"/>
    <n v="4"/>
    <b v="0"/>
    <n v="821"/>
    <n v="7"/>
    <x v="3"/>
    <x v="1"/>
    <x v="2"/>
    <x v="20"/>
    <n v="3.3"/>
    <x v="0"/>
    <x v="0"/>
    <x v="513"/>
    <x v="2"/>
    <x v="0"/>
    <x v="3"/>
    <n v="2"/>
    <x v="1"/>
    <n v="122.5"/>
    <x v="2"/>
    <n v="4.2270531400966184E-2"/>
    <s v=" Browsers"/>
  </r>
  <r>
    <n v="9861"/>
    <s v="Ashley"/>
    <x v="327"/>
    <d v="2024-12-16T00:00:00"/>
    <n v="15.99"/>
    <n v="359"/>
    <x v="5"/>
    <n v="3"/>
    <n v="1"/>
    <b v="0"/>
    <n v="265"/>
    <n v="34"/>
    <x v="4"/>
    <x v="2"/>
    <x v="4"/>
    <x v="61"/>
    <n v="4.9000000000000004"/>
    <x v="1"/>
    <x v="0"/>
    <x v="514"/>
    <x v="0"/>
    <x v="1"/>
    <x v="2"/>
    <n v="375"/>
    <x v="2"/>
    <n v="6.7013333333333334"/>
    <x v="1"/>
    <n v="1.2006688963210703"/>
    <s v="Viewers"/>
  </r>
  <r>
    <n v="4383"/>
    <s v="Tracy"/>
    <x v="55"/>
    <d v="2024-11-30T00:00:00"/>
    <n v="15.99"/>
    <n v="361"/>
    <x v="0"/>
    <n v="4"/>
    <n v="5"/>
    <b v="1"/>
    <n v="416"/>
    <n v="143"/>
    <x v="4"/>
    <x v="2"/>
    <x v="5"/>
    <x v="33"/>
    <n v="3.7"/>
    <x v="0"/>
    <x v="0"/>
    <x v="515"/>
    <x v="2"/>
    <x v="2"/>
    <x v="2"/>
    <n v="83"/>
    <x v="2"/>
    <n v="30.445783132530121"/>
    <x v="2"/>
    <n v="0.64579606440071557"/>
    <s v="Viewers"/>
  </r>
  <r>
    <n v="4328"/>
    <s v="Amy"/>
    <x v="366"/>
    <d v="2024-11-24T00:00:00"/>
    <n v="11.99"/>
    <n v="273"/>
    <x v="0"/>
    <n v="3"/>
    <n v="4"/>
    <b v="1"/>
    <n v="253"/>
    <n v="70"/>
    <x v="5"/>
    <x v="0"/>
    <x v="4"/>
    <x v="19"/>
    <n v="4.9000000000000004"/>
    <x v="0"/>
    <x v="0"/>
    <x v="516"/>
    <x v="0"/>
    <x v="1"/>
    <x v="1"/>
    <n v="556"/>
    <x v="1"/>
    <n v="3.4370503597122299"/>
    <x v="0"/>
    <n v="0.84520123839009287"/>
    <s v="Viewers"/>
  </r>
  <r>
    <n v="4622"/>
    <s v="Nicholas"/>
    <x v="308"/>
    <d v="2024-12-15T00:00:00"/>
    <n v="7.99"/>
    <n v="47"/>
    <x v="0"/>
    <n v="2"/>
    <n v="4"/>
    <b v="1"/>
    <n v="770"/>
    <n v="2"/>
    <x v="4"/>
    <x v="2"/>
    <x v="4"/>
    <x v="63"/>
    <n v="4.7"/>
    <x v="1"/>
    <x v="0"/>
    <x v="517"/>
    <x v="1"/>
    <x v="3"/>
    <x v="3"/>
    <n v="25"/>
    <x v="0"/>
    <n v="13.16"/>
    <x v="1"/>
    <n v="6.0880829015544043E-2"/>
    <s v=" Browsers"/>
  </r>
  <r>
    <n v="7828"/>
    <s v="Angel"/>
    <x v="367"/>
    <d v="2024-12-02T00:00:00"/>
    <n v="7.99"/>
    <n v="477"/>
    <x v="4"/>
    <n v="5"/>
    <n v="5"/>
    <b v="0"/>
    <n v="969"/>
    <n v="12"/>
    <x v="6"/>
    <x v="1"/>
    <x v="4"/>
    <x v="86"/>
    <n v="4.7"/>
    <x v="0"/>
    <x v="0"/>
    <x v="518"/>
    <x v="4"/>
    <x v="1"/>
    <x v="0"/>
    <n v="604"/>
    <x v="0"/>
    <n v="5.5281456953642376"/>
    <x v="1"/>
    <n v="0.48623853211009177"/>
    <s v="Viewers"/>
  </r>
  <r>
    <n v="1393"/>
    <s v="Ryan"/>
    <x v="368"/>
    <d v="2024-12-03T00:00:00"/>
    <n v="7.99"/>
    <n v="418"/>
    <x v="0"/>
    <n v="3"/>
    <n v="4"/>
    <b v="1"/>
    <n v="701"/>
    <n v="125"/>
    <x v="3"/>
    <x v="1"/>
    <x v="0"/>
    <x v="53"/>
    <n v="4.8"/>
    <x v="1"/>
    <x v="0"/>
    <x v="204"/>
    <x v="4"/>
    <x v="1"/>
    <x v="1"/>
    <n v="686"/>
    <x v="0"/>
    <n v="4.2653061224489797"/>
    <x v="0"/>
    <n v="0.50605326876513312"/>
    <s v="Viewers"/>
  </r>
  <r>
    <n v="9239"/>
    <s v="Daniel"/>
    <x v="122"/>
    <d v="2024-11-25T00:00:00"/>
    <n v="15.99"/>
    <n v="274"/>
    <x v="1"/>
    <n v="5"/>
    <n v="6"/>
    <b v="0"/>
    <n v="732"/>
    <n v="105"/>
    <x v="2"/>
    <x v="0"/>
    <x v="0"/>
    <x v="58"/>
    <n v="4.0999999999999996"/>
    <x v="1"/>
    <x v="0"/>
    <x v="519"/>
    <x v="2"/>
    <x v="3"/>
    <x v="1"/>
    <n v="4"/>
    <x v="2"/>
    <n v="479.5"/>
    <x v="2"/>
    <n v="0.32735961768219835"/>
    <s v="Viewers"/>
  </r>
  <r>
    <n v="1636"/>
    <s v="Elizabeth"/>
    <x v="369"/>
    <d v="2024-12-06T00:00:00"/>
    <n v="11.99"/>
    <n v="102"/>
    <x v="6"/>
    <n v="5"/>
    <n v="2"/>
    <b v="0"/>
    <n v="989"/>
    <n v="44"/>
    <x v="4"/>
    <x v="3"/>
    <x v="4"/>
    <x v="40"/>
    <n v="4.8"/>
    <x v="0"/>
    <x v="0"/>
    <x v="520"/>
    <x v="1"/>
    <x v="0"/>
    <x v="0"/>
    <n v="559"/>
    <x v="1"/>
    <n v="1.2772808586762074"/>
    <x v="0"/>
    <n v="9.8741529525653432E-2"/>
    <s v=" Browsers"/>
  </r>
  <r>
    <n v="4401"/>
    <s v="Caitlin"/>
    <x v="370"/>
    <d v="2024-12-15T00:00:00"/>
    <n v="15.99"/>
    <n v="164"/>
    <x v="3"/>
    <n v="3"/>
    <n v="5"/>
    <b v="1"/>
    <n v="89"/>
    <n v="32"/>
    <x v="5"/>
    <x v="3"/>
    <x v="1"/>
    <x v="75"/>
    <n v="3"/>
    <x v="1"/>
    <x v="0"/>
    <x v="521"/>
    <x v="4"/>
    <x v="4"/>
    <x v="1"/>
    <n v="245"/>
    <x v="2"/>
    <n v="4.6857142857142859"/>
    <x v="0"/>
    <n v="1.3553719008264462"/>
    <s v="Viewers"/>
  </r>
  <r>
    <n v="7135"/>
    <s v="Johnathan"/>
    <x v="371"/>
    <d v="2024-12-17T00:00:00"/>
    <n v="15.99"/>
    <n v="478"/>
    <x v="1"/>
    <n v="4"/>
    <n v="5"/>
    <b v="1"/>
    <n v="578"/>
    <n v="117"/>
    <x v="5"/>
    <x v="2"/>
    <x v="0"/>
    <x v="21"/>
    <n v="4.9000000000000004"/>
    <x v="0"/>
    <x v="0"/>
    <x v="522"/>
    <x v="2"/>
    <x v="3"/>
    <x v="2"/>
    <n v="371"/>
    <x v="2"/>
    <n v="9.0188679245283012"/>
    <x v="1"/>
    <n v="0.68776978417266188"/>
    <s v="Viewers"/>
  </r>
  <r>
    <n v="8923"/>
    <s v="Douglas"/>
    <x v="158"/>
    <d v="2024-12-11T00:00:00"/>
    <n v="11.99"/>
    <n v="100"/>
    <x v="6"/>
    <n v="3"/>
    <n v="4"/>
    <b v="0"/>
    <n v="417"/>
    <n v="87"/>
    <x v="6"/>
    <x v="2"/>
    <x v="4"/>
    <x v="31"/>
    <n v="3.4"/>
    <x v="0"/>
    <x v="0"/>
    <x v="523"/>
    <x v="2"/>
    <x v="0"/>
    <x v="3"/>
    <n v="1"/>
    <x v="1"/>
    <n v="700"/>
    <x v="2"/>
    <n v="0.1984126984126984"/>
    <s v="Viewers"/>
  </r>
  <r>
    <n v="9748"/>
    <s v="Sherri"/>
    <x v="371"/>
    <d v="2024-12-07T00:00:00"/>
    <n v="15.99"/>
    <n v="264"/>
    <x v="6"/>
    <n v="2"/>
    <n v="6"/>
    <b v="0"/>
    <n v="474"/>
    <n v="10"/>
    <x v="0"/>
    <x v="3"/>
    <x v="1"/>
    <x v="57"/>
    <n v="4.7"/>
    <x v="1"/>
    <x v="0"/>
    <x v="524"/>
    <x v="0"/>
    <x v="0"/>
    <x v="2"/>
    <n v="361"/>
    <x v="2"/>
    <n v="5.1191135734072022"/>
    <x v="1"/>
    <n v="0.54545454545454541"/>
    <s v="Viewers"/>
  </r>
  <r>
    <n v="7046"/>
    <s v="Eric"/>
    <x v="372"/>
    <d v="2024-12-10T00:00:00"/>
    <n v="15.99"/>
    <n v="208"/>
    <x v="4"/>
    <n v="5"/>
    <n v="6"/>
    <b v="0"/>
    <n v="512"/>
    <n v="176"/>
    <x v="4"/>
    <x v="0"/>
    <x v="5"/>
    <x v="58"/>
    <n v="4.7"/>
    <x v="0"/>
    <x v="0"/>
    <x v="525"/>
    <x v="0"/>
    <x v="4"/>
    <x v="3"/>
    <n v="653"/>
    <x v="2"/>
    <n v="2.2297090352220521"/>
    <x v="0"/>
    <n v="0.30232558139534882"/>
    <s v="Viewers"/>
  </r>
  <r>
    <n v="9688"/>
    <s v="Mariah"/>
    <x v="280"/>
    <d v="2024-12-04T00:00:00"/>
    <n v="7.99"/>
    <n v="56"/>
    <x v="5"/>
    <n v="1"/>
    <n v="2"/>
    <b v="1"/>
    <n v="280"/>
    <n v="67"/>
    <x v="6"/>
    <x v="3"/>
    <x v="3"/>
    <x v="68"/>
    <n v="4.5999999999999996"/>
    <x v="0"/>
    <x v="0"/>
    <x v="526"/>
    <x v="0"/>
    <x v="1"/>
    <x v="2"/>
    <n v="323"/>
    <x v="0"/>
    <n v="1.2136222910216719"/>
    <x v="0"/>
    <n v="0.16138328530259366"/>
    <s v="Viewers"/>
  </r>
  <r>
    <n v="6720"/>
    <s v="Michael"/>
    <x v="373"/>
    <d v="2024-12-13T00:00:00"/>
    <n v="15.99"/>
    <n v="207"/>
    <x v="4"/>
    <n v="2"/>
    <n v="2"/>
    <b v="1"/>
    <n v="494"/>
    <n v="28"/>
    <x v="6"/>
    <x v="3"/>
    <x v="1"/>
    <x v="33"/>
    <n v="3.6"/>
    <x v="0"/>
    <x v="0"/>
    <x v="527"/>
    <x v="1"/>
    <x v="4"/>
    <x v="0"/>
    <n v="524"/>
    <x v="2"/>
    <n v="2.7652671755725189"/>
    <x v="0"/>
    <n v="0.39655172413793105"/>
    <s v="Viewers"/>
  </r>
  <r>
    <n v="2766"/>
    <s v="Jerome"/>
    <x v="374"/>
    <d v="2024-11-25T00:00:00"/>
    <n v="7.99"/>
    <n v="187"/>
    <x v="3"/>
    <n v="2"/>
    <n v="3"/>
    <b v="1"/>
    <n v="697"/>
    <n v="5"/>
    <x v="4"/>
    <x v="1"/>
    <x v="1"/>
    <x v="94"/>
    <n v="4.5"/>
    <x v="0"/>
    <x v="0"/>
    <x v="528"/>
    <x v="2"/>
    <x v="2"/>
    <x v="2"/>
    <n v="687"/>
    <x v="0"/>
    <n v="1.9053857350800583"/>
    <x v="0"/>
    <n v="0.26638176638176636"/>
    <s v="Viewers"/>
  </r>
  <r>
    <n v="3847"/>
    <s v="Cynthia"/>
    <x v="375"/>
    <d v="2024-11-23T00:00:00"/>
    <n v="11.99"/>
    <n v="62"/>
    <x v="0"/>
    <n v="3"/>
    <n v="1"/>
    <b v="1"/>
    <n v="879"/>
    <n v="128"/>
    <x v="3"/>
    <x v="0"/>
    <x v="2"/>
    <x v="2"/>
    <n v="3.4"/>
    <x v="0"/>
    <x v="0"/>
    <x v="529"/>
    <x v="3"/>
    <x v="1"/>
    <x v="0"/>
    <n v="263"/>
    <x v="1"/>
    <n v="1.6501901140684412"/>
    <x v="0"/>
    <n v="6.1569016881827213E-2"/>
    <s v=" Browsers"/>
  </r>
  <r>
    <n v="8554"/>
    <s v="James"/>
    <x v="9"/>
    <d v="2024-11-21T00:00:00"/>
    <n v="15.99"/>
    <n v="182"/>
    <x v="6"/>
    <n v="1"/>
    <n v="2"/>
    <b v="1"/>
    <n v="442"/>
    <n v="87"/>
    <x v="0"/>
    <x v="2"/>
    <x v="2"/>
    <x v="12"/>
    <n v="4.9000000000000004"/>
    <x v="0"/>
    <x v="0"/>
    <x v="530"/>
    <x v="1"/>
    <x v="3"/>
    <x v="1"/>
    <n v="355"/>
    <x v="2"/>
    <n v="3.5887323943661973"/>
    <x v="0"/>
    <n v="0.34404536862003782"/>
    <s v="Viewers"/>
  </r>
  <r>
    <n v="6569"/>
    <s v="Patrick"/>
    <x v="340"/>
    <d v="2024-11-25T00:00:00"/>
    <n v="7.99"/>
    <n v="468"/>
    <x v="6"/>
    <n v="2"/>
    <n v="3"/>
    <b v="0"/>
    <n v="514"/>
    <n v="46"/>
    <x v="1"/>
    <x v="1"/>
    <x v="4"/>
    <x v="98"/>
    <n v="3.2"/>
    <x v="0"/>
    <x v="0"/>
    <x v="531"/>
    <x v="0"/>
    <x v="1"/>
    <x v="3"/>
    <n v="391"/>
    <x v="0"/>
    <n v="8.3785166240409215"/>
    <x v="1"/>
    <n v="0.83571428571428574"/>
    <s v="Viewers"/>
  </r>
  <r>
    <n v="6391"/>
    <s v="Daniel"/>
    <x v="376"/>
    <d v="2024-11-24T00:00:00"/>
    <n v="15.99"/>
    <n v="389"/>
    <x v="1"/>
    <n v="2"/>
    <n v="2"/>
    <b v="0"/>
    <n v="120"/>
    <n v="191"/>
    <x v="2"/>
    <x v="1"/>
    <x v="4"/>
    <x v="100"/>
    <n v="3.8"/>
    <x v="1"/>
    <x v="0"/>
    <x v="532"/>
    <x v="1"/>
    <x v="2"/>
    <x v="2"/>
    <n v="197"/>
    <x v="2"/>
    <n v="13.822335025380712"/>
    <x v="1"/>
    <n v="1.2508038585209003"/>
    <s v="Viewers"/>
  </r>
  <r>
    <n v="4883"/>
    <s v="Devon"/>
    <x v="163"/>
    <d v="2024-12-09T00:00:00"/>
    <n v="15.99"/>
    <n v="155"/>
    <x v="0"/>
    <n v="4"/>
    <n v="5"/>
    <b v="0"/>
    <n v="573"/>
    <n v="190"/>
    <x v="3"/>
    <x v="3"/>
    <x v="3"/>
    <x v="89"/>
    <n v="3.5"/>
    <x v="1"/>
    <x v="0"/>
    <x v="533"/>
    <x v="4"/>
    <x v="0"/>
    <x v="0"/>
    <n v="306"/>
    <x v="2"/>
    <n v="3.5457516339869279"/>
    <x v="0"/>
    <n v="0.20314547837483618"/>
    <s v="Viewers"/>
  </r>
  <r>
    <n v="4530"/>
    <s v="Rebecca"/>
    <x v="377"/>
    <d v="2024-11-26T00:00:00"/>
    <n v="7.99"/>
    <n v="331"/>
    <x v="0"/>
    <n v="1"/>
    <n v="6"/>
    <b v="1"/>
    <n v="231"/>
    <n v="199"/>
    <x v="5"/>
    <x v="0"/>
    <x v="2"/>
    <x v="67"/>
    <n v="3.4"/>
    <x v="0"/>
    <x v="0"/>
    <x v="534"/>
    <x v="1"/>
    <x v="4"/>
    <x v="0"/>
    <n v="347"/>
    <x v="0"/>
    <n v="6.6772334293948132"/>
    <x v="1"/>
    <n v="0.76976744186046508"/>
    <s v="Viewers"/>
  </r>
  <r>
    <n v="6531"/>
    <s v="Amanda"/>
    <x v="147"/>
    <d v="2024-12-12T00:00:00"/>
    <n v="11.99"/>
    <n v="131"/>
    <x v="2"/>
    <n v="5"/>
    <n v="2"/>
    <b v="0"/>
    <n v="374"/>
    <n v="154"/>
    <x v="6"/>
    <x v="1"/>
    <x v="1"/>
    <x v="74"/>
    <n v="4.4000000000000004"/>
    <x v="0"/>
    <x v="0"/>
    <x v="62"/>
    <x v="3"/>
    <x v="0"/>
    <x v="2"/>
    <n v="674"/>
    <x v="1"/>
    <n v="1.3605341246290801"/>
    <x v="0"/>
    <n v="0.24810606060606061"/>
    <s v="Viewers"/>
  </r>
  <r>
    <n v="9701"/>
    <s v="Antonio"/>
    <x v="378"/>
    <d v="2024-11-26T00:00:00"/>
    <n v="7.99"/>
    <n v="376"/>
    <x v="2"/>
    <n v="3"/>
    <n v="6"/>
    <b v="0"/>
    <n v="727"/>
    <n v="13"/>
    <x v="2"/>
    <x v="3"/>
    <x v="1"/>
    <x v="78"/>
    <n v="3.4"/>
    <x v="0"/>
    <x v="0"/>
    <x v="412"/>
    <x v="1"/>
    <x v="1"/>
    <x v="2"/>
    <n v="620"/>
    <x v="0"/>
    <n v="4.2451612903225806"/>
    <x v="0"/>
    <n v="0.50810810810810814"/>
    <s v="Viewers"/>
  </r>
  <r>
    <n v="4702"/>
    <s v="Christina"/>
    <x v="379"/>
    <d v="2024-12-11T00:00:00"/>
    <n v="7.99"/>
    <n v="106"/>
    <x v="4"/>
    <n v="4"/>
    <n v="6"/>
    <b v="1"/>
    <n v="858"/>
    <n v="12"/>
    <x v="4"/>
    <x v="1"/>
    <x v="2"/>
    <x v="14"/>
    <n v="3.4"/>
    <x v="1"/>
    <x v="0"/>
    <x v="535"/>
    <x v="1"/>
    <x v="3"/>
    <x v="3"/>
    <n v="255"/>
    <x v="0"/>
    <n v="2.9098039215686273"/>
    <x v="0"/>
    <n v="0.12183908045977011"/>
    <s v=" Browsers"/>
  </r>
  <r>
    <n v="3163"/>
    <s v="Gary"/>
    <x v="380"/>
    <d v="2024-11-30T00:00:00"/>
    <n v="11.99"/>
    <n v="445"/>
    <x v="5"/>
    <n v="4"/>
    <n v="4"/>
    <b v="0"/>
    <n v="25"/>
    <n v="132"/>
    <x v="5"/>
    <x v="0"/>
    <x v="3"/>
    <x v="16"/>
    <n v="3.8"/>
    <x v="1"/>
    <x v="0"/>
    <x v="536"/>
    <x v="2"/>
    <x v="1"/>
    <x v="2"/>
    <n v="141"/>
    <x v="1"/>
    <n v="22.092198581560286"/>
    <x v="2"/>
    <n v="2.8343949044585988"/>
    <s v="Viewers"/>
  </r>
  <r>
    <n v="8719"/>
    <s v="Joshua"/>
    <x v="381"/>
    <d v="2024-11-26T00:00:00"/>
    <n v="15.99"/>
    <n v="345"/>
    <x v="3"/>
    <n v="4"/>
    <n v="5"/>
    <b v="0"/>
    <n v="180"/>
    <n v="99"/>
    <x v="2"/>
    <x v="3"/>
    <x v="5"/>
    <x v="59"/>
    <n v="4.7"/>
    <x v="1"/>
    <x v="0"/>
    <x v="537"/>
    <x v="0"/>
    <x v="2"/>
    <x v="0"/>
    <n v="435"/>
    <x v="2"/>
    <n v="5.5517241379310338"/>
    <x v="1"/>
    <n v="1.2365591397849462"/>
    <s v="Viewers"/>
  </r>
  <r>
    <n v="1282"/>
    <s v="Amy"/>
    <x v="382"/>
    <d v="2024-12-10T00:00:00"/>
    <n v="15.99"/>
    <n v="432"/>
    <x v="4"/>
    <n v="4"/>
    <n v="3"/>
    <b v="1"/>
    <n v="666"/>
    <n v="76"/>
    <x v="4"/>
    <x v="3"/>
    <x v="5"/>
    <x v="92"/>
    <n v="4.5999999999999996"/>
    <x v="0"/>
    <x v="0"/>
    <x v="538"/>
    <x v="4"/>
    <x v="3"/>
    <x v="0"/>
    <n v="13"/>
    <x v="2"/>
    <n v="232.61538461538461"/>
    <x v="2"/>
    <n v="0.58221024258760112"/>
    <s v="Viewers"/>
  </r>
  <r>
    <n v="4538"/>
    <s v="Andrew"/>
    <x v="383"/>
    <d v="2024-12-14T00:00:00"/>
    <n v="15.99"/>
    <n v="362"/>
    <x v="1"/>
    <n v="4"/>
    <n v="1"/>
    <b v="0"/>
    <n v="709"/>
    <n v="52"/>
    <x v="0"/>
    <x v="2"/>
    <x v="3"/>
    <x v="54"/>
    <n v="4.5"/>
    <x v="1"/>
    <x v="0"/>
    <x v="539"/>
    <x v="2"/>
    <x v="4"/>
    <x v="0"/>
    <n v="458"/>
    <x v="2"/>
    <n v="5.5327510917030569"/>
    <x v="1"/>
    <n v="0.47568988173455978"/>
    <s v="Viewers"/>
  </r>
  <r>
    <n v="9538"/>
    <s v="Amanda"/>
    <x v="270"/>
    <d v="2024-11-30T00:00:00"/>
    <n v="15.99"/>
    <n v="174"/>
    <x v="1"/>
    <n v="4"/>
    <n v="3"/>
    <b v="0"/>
    <n v="30"/>
    <n v="136"/>
    <x v="0"/>
    <x v="3"/>
    <x v="2"/>
    <x v="69"/>
    <n v="3.1"/>
    <x v="1"/>
    <x v="0"/>
    <x v="540"/>
    <x v="0"/>
    <x v="0"/>
    <x v="2"/>
    <n v="675"/>
    <x v="2"/>
    <n v="1.8044444444444445"/>
    <x v="0"/>
    <n v="1.0481927710843373"/>
    <s v="Viewers"/>
  </r>
  <r>
    <n v="5109"/>
    <s v="David"/>
    <x v="384"/>
    <d v="2024-12-13T00:00:00"/>
    <n v="11.99"/>
    <n v="490"/>
    <x v="3"/>
    <n v="4"/>
    <n v="3"/>
    <b v="0"/>
    <n v="466"/>
    <n v="106"/>
    <x v="5"/>
    <x v="2"/>
    <x v="5"/>
    <x v="23"/>
    <n v="3.7"/>
    <x v="0"/>
    <x v="0"/>
    <x v="541"/>
    <x v="1"/>
    <x v="2"/>
    <x v="3"/>
    <n v="233"/>
    <x v="1"/>
    <n v="14.721030042918455"/>
    <x v="1"/>
    <n v="0.85664335664335667"/>
    <s v="Viewers"/>
  </r>
  <r>
    <n v="7947"/>
    <s v="Billy"/>
    <x v="212"/>
    <d v="2024-12-17T00:00:00"/>
    <n v="15.99"/>
    <n v="32"/>
    <x v="5"/>
    <n v="3"/>
    <n v="4"/>
    <b v="0"/>
    <n v="385"/>
    <n v="106"/>
    <x v="2"/>
    <x v="2"/>
    <x v="3"/>
    <x v="100"/>
    <n v="3.7"/>
    <x v="0"/>
    <x v="0"/>
    <x v="220"/>
    <x v="3"/>
    <x v="0"/>
    <x v="0"/>
    <n v="402"/>
    <x v="2"/>
    <n v="0.55721393034825872"/>
    <x v="0"/>
    <n v="6.5173116089613028E-2"/>
    <s v=" Browsers"/>
  </r>
  <r>
    <n v="7546"/>
    <s v="Elizabeth"/>
    <x v="385"/>
    <d v="2024-12-10T00:00:00"/>
    <n v="7.99"/>
    <n v="48"/>
    <x v="2"/>
    <n v="1"/>
    <n v="4"/>
    <b v="0"/>
    <n v="484"/>
    <n v="131"/>
    <x v="3"/>
    <x v="3"/>
    <x v="4"/>
    <x v="53"/>
    <n v="4"/>
    <x v="0"/>
    <x v="0"/>
    <x v="542"/>
    <x v="2"/>
    <x v="2"/>
    <x v="3"/>
    <n v="47"/>
    <x v="0"/>
    <n v="7.1489361702127656"/>
    <x v="1"/>
    <n v="7.8048780487804878E-2"/>
    <s v=" Browsers"/>
  </r>
  <r>
    <n v="4213"/>
    <s v="Kelsey"/>
    <x v="96"/>
    <d v="2024-11-23T00:00:00"/>
    <n v="7.99"/>
    <n v="141"/>
    <x v="0"/>
    <n v="4"/>
    <n v="2"/>
    <b v="1"/>
    <n v="379"/>
    <n v="35"/>
    <x v="1"/>
    <x v="3"/>
    <x v="0"/>
    <x v="94"/>
    <n v="4.9000000000000004"/>
    <x v="1"/>
    <x v="0"/>
    <x v="543"/>
    <x v="4"/>
    <x v="3"/>
    <x v="0"/>
    <n v="351"/>
    <x v="0"/>
    <n v="2.8119658119658117"/>
    <x v="0"/>
    <n v="0.34057971014492755"/>
    <s v="Viewers"/>
  </r>
  <r>
    <n v="3135"/>
    <s v="Angela"/>
    <x v="386"/>
    <d v="2024-11-24T00:00:00"/>
    <n v="7.99"/>
    <n v="368"/>
    <x v="4"/>
    <n v="5"/>
    <n v="1"/>
    <b v="0"/>
    <n v="481"/>
    <n v="58"/>
    <x v="6"/>
    <x v="3"/>
    <x v="1"/>
    <x v="28"/>
    <n v="4"/>
    <x v="0"/>
    <x v="0"/>
    <x v="544"/>
    <x v="1"/>
    <x v="1"/>
    <x v="1"/>
    <n v="170"/>
    <x v="0"/>
    <n v="15.152941176470589"/>
    <x v="2"/>
    <n v="0.68274582560296848"/>
    <s v="Viewers"/>
  </r>
  <r>
    <n v="9916"/>
    <s v="Wendy"/>
    <x v="387"/>
    <d v="2024-11-21T00:00:00"/>
    <n v="7.99"/>
    <n v="227"/>
    <x v="5"/>
    <n v="5"/>
    <n v="2"/>
    <b v="1"/>
    <n v="969"/>
    <n v="175"/>
    <x v="2"/>
    <x v="2"/>
    <x v="3"/>
    <x v="17"/>
    <n v="5"/>
    <x v="0"/>
    <x v="0"/>
    <x v="545"/>
    <x v="2"/>
    <x v="0"/>
    <x v="1"/>
    <n v="267"/>
    <x v="0"/>
    <n v="5.9513108614232202"/>
    <x v="1"/>
    <n v="0.19842657342657344"/>
    <s v="Viewers"/>
  </r>
  <r>
    <n v="2784"/>
    <s v="Matthew"/>
    <x v="388"/>
    <d v="2024-12-13T00:00:00"/>
    <n v="7.99"/>
    <n v="484"/>
    <x v="3"/>
    <n v="5"/>
    <n v="2"/>
    <b v="1"/>
    <n v="52"/>
    <n v="151"/>
    <x v="6"/>
    <x v="0"/>
    <x v="5"/>
    <x v="48"/>
    <n v="3.1"/>
    <x v="0"/>
    <x v="0"/>
    <x v="546"/>
    <x v="4"/>
    <x v="2"/>
    <x v="0"/>
    <n v="389"/>
    <x v="0"/>
    <n v="8.7095115681233928"/>
    <x v="1"/>
    <n v="2.3842364532019706"/>
    <s v="Viewers"/>
  </r>
  <r>
    <n v="5916"/>
    <s v="Lisa"/>
    <x v="314"/>
    <d v="2024-12-09T00:00:00"/>
    <n v="15.99"/>
    <n v="14"/>
    <x v="1"/>
    <n v="4"/>
    <n v="2"/>
    <b v="1"/>
    <n v="57"/>
    <n v="175"/>
    <x v="5"/>
    <x v="1"/>
    <x v="5"/>
    <x v="81"/>
    <n v="3.4"/>
    <x v="1"/>
    <x v="0"/>
    <x v="547"/>
    <x v="3"/>
    <x v="2"/>
    <x v="1"/>
    <n v="82"/>
    <x v="2"/>
    <n v="1.1951219512195124"/>
    <x v="0"/>
    <n v="6.0344827586206899E-2"/>
    <s v=" Browsers"/>
  </r>
  <r>
    <n v="1674"/>
    <s v="Jonathan"/>
    <x v="389"/>
    <d v="2024-12-15T00:00:00"/>
    <n v="11.99"/>
    <n v="328"/>
    <x v="5"/>
    <n v="2"/>
    <n v="2"/>
    <b v="1"/>
    <n v="415"/>
    <n v="162"/>
    <x v="2"/>
    <x v="0"/>
    <x v="5"/>
    <x v="96"/>
    <n v="4.4000000000000004"/>
    <x v="1"/>
    <x v="0"/>
    <x v="548"/>
    <x v="0"/>
    <x v="0"/>
    <x v="2"/>
    <n v="153"/>
    <x v="1"/>
    <n v="15.006535947712418"/>
    <x v="2"/>
    <n v="0.56845753899480067"/>
    <s v="Viewers"/>
  </r>
  <r>
    <n v="2095"/>
    <s v="Richard"/>
    <x v="168"/>
    <d v="2024-11-29T00:00:00"/>
    <n v="11.99"/>
    <n v="279"/>
    <x v="6"/>
    <n v="5"/>
    <n v="5"/>
    <b v="1"/>
    <n v="285"/>
    <n v="92"/>
    <x v="1"/>
    <x v="3"/>
    <x v="2"/>
    <x v="74"/>
    <n v="4.7"/>
    <x v="1"/>
    <x v="0"/>
    <x v="549"/>
    <x v="3"/>
    <x v="4"/>
    <x v="0"/>
    <n v="108"/>
    <x v="1"/>
    <n v="18.083333333333332"/>
    <x v="2"/>
    <n v="0.74005305039787794"/>
    <s v="Viewers"/>
  </r>
  <r>
    <n v="9594"/>
    <s v="Matthew"/>
    <x v="390"/>
    <d v="2024-12-03T00:00:00"/>
    <n v="7.99"/>
    <n v="158"/>
    <x v="0"/>
    <n v="2"/>
    <n v="5"/>
    <b v="1"/>
    <n v="861"/>
    <n v="125"/>
    <x v="6"/>
    <x v="2"/>
    <x v="4"/>
    <x v="49"/>
    <n v="4.4000000000000004"/>
    <x v="1"/>
    <x v="0"/>
    <x v="550"/>
    <x v="3"/>
    <x v="2"/>
    <x v="0"/>
    <n v="46"/>
    <x v="0"/>
    <n v="24.043478260869566"/>
    <x v="2"/>
    <n v="0.16024340770791076"/>
    <s v="Viewers"/>
  </r>
  <r>
    <n v="6750"/>
    <s v="Amber"/>
    <x v="239"/>
    <d v="2024-12-02T00:00:00"/>
    <n v="7.99"/>
    <n v="422"/>
    <x v="2"/>
    <n v="3"/>
    <n v="5"/>
    <b v="0"/>
    <n v="399"/>
    <n v="27"/>
    <x v="6"/>
    <x v="2"/>
    <x v="4"/>
    <x v="32"/>
    <n v="4.4000000000000004"/>
    <x v="1"/>
    <x v="0"/>
    <x v="551"/>
    <x v="0"/>
    <x v="2"/>
    <x v="3"/>
    <n v="493"/>
    <x v="0"/>
    <n v="5.991886409736308"/>
    <x v="1"/>
    <n v="0.99061032863849763"/>
    <s v="Viewers"/>
  </r>
  <r>
    <n v="7235"/>
    <s v="Zachary"/>
    <x v="218"/>
    <d v="2024-11-29T00:00:00"/>
    <n v="7.99"/>
    <n v="235"/>
    <x v="4"/>
    <n v="1"/>
    <n v="2"/>
    <b v="0"/>
    <n v="765"/>
    <n v="159"/>
    <x v="2"/>
    <x v="2"/>
    <x v="0"/>
    <x v="70"/>
    <n v="4.2"/>
    <x v="0"/>
    <x v="0"/>
    <x v="552"/>
    <x v="2"/>
    <x v="3"/>
    <x v="1"/>
    <n v="696"/>
    <x v="0"/>
    <n v="2.3635057471264367"/>
    <x v="0"/>
    <n v="0.25432900432900435"/>
    <s v="Viewers"/>
  </r>
  <r>
    <n v="3910"/>
    <s v="Carolyn"/>
    <x v="74"/>
    <d v="2024-12-08T00:00:00"/>
    <n v="11.99"/>
    <n v="331"/>
    <x v="6"/>
    <n v="1"/>
    <n v="2"/>
    <b v="0"/>
    <n v="667"/>
    <n v="43"/>
    <x v="4"/>
    <x v="1"/>
    <x v="2"/>
    <x v="38"/>
    <n v="3.5"/>
    <x v="0"/>
    <x v="0"/>
    <x v="553"/>
    <x v="4"/>
    <x v="2"/>
    <x v="3"/>
    <n v="343"/>
    <x v="1"/>
    <n v="6.7551020408163263"/>
    <x v="1"/>
    <n v="0.46619718309859154"/>
    <s v="Viewers"/>
  </r>
  <r>
    <n v="8190"/>
    <s v="Erica"/>
    <x v="284"/>
    <d v="2024-12-09T00:00:00"/>
    <n v="11.99"/>
    <n v="148"/>
    <x v="3"/>
    <n v="4"/>
    <n v="1"/>
    <b v="1"/>
    <n v="409"/>
    <n v="38"/>
    <x v="6"/>
    <x v="2"/>
    <x v="4"/>
    <x v="86"/>
    <n v="3.1"/>
    <x v="1"/>
    <x v="0"/>
    <x v="554"/>
    <x v="2"/>
    <x v="0"/>
    <x v="1"/>
    <n v="102"/>
    <x v="1"/>
    <n v="10.156862745098039"/>
    <x v="1"/>
    <n v="0.33109619686800895"/>
    <s v="Viewers"/>
  </r>
  <r>
    <n v="5315"/>
    <s v="Donna"/>
    <x v="391"/>
    <d v="2024-11-19T00:00:00"/>
    <n v="7.99"/>
    <n v="198"/>
    <x v="4"/>
    <n v="4"/>
    <n v="3"/>
    <b v="0"/>
    <n v="202"/>
    <n v="26"/>
    <x v="1"/>
    <x v="3"/>
    <x v="5"/>
    <x v="64"/>
    <n v="4.8"/>
    <x v="0"/>
    <x v="0"/>
    <x v="555"/>
    <x v="3"/>
    <x v="1"/>
    <x v="3"/>
    <n v="515"/>
    <x v="0"/>
    <n v="2.6912621359223303"/>
    <x v="0"/>
    <n v="0.86842105263157898"/>
    <s v="Viewers"/>
  </r>
  <r>
    <n v="7503"/>
    <s v="James"/>
    <x v="392"/>
    <d v="2024-12-03T00:00:00"/>
    <n v="15.99"/>
    <n v="81"/>
    <x v="4"/>
    <n v="3"/>
    <n v="4"/>
    <b v="0"/>
    <n v="208"/>
    <n v="144"/>
    <x v="6"/>
    <x v="1"/>
    <x v="4"/>
    <x v="32"/>
    <n v="4.5999999999999996"/>
    <x v="0"/>
    <x v="0"/>
    <x v="556"/>
    <x v="4"/>
    <x v="1"/>
    <x v="2"/>
    <n v="564"/>
    <x v="2"/>
    <n v="1.0053191489361701"/>
    <x v="0"/>
    <n v="0.23011363636363635"/>
    <s v="Viewers"/>
  </r>
  <r>
    <n v="5788"/>
    <s v="Nicole"/>
    <x v="132"/>
    <d v="2024-11-23T00:00:00"/>
    <n v="11.99"/>
    <n v="131"/>
    <x v="4"/>
    <n v="3"/>
    <n v="3"/>
    <b v="1"/>
    <n v="382"/>
    <n v="50"/>
    <x v="5"/>
    <x v="2"/>
    <x v="3"/>
    <x v="3"/>
    <n v="4.8"/>
    <x v="0"/>
    <x v="0"/>
    <x v="557"/>
    <x v="3"/>
    <x v="1"/>
    <x v="2"/>
    <n v="568"/>
    <x v="1"/>
    <n v="1.61443661971831"/>
    <x v="0"/>
    <n v="0.30324074074074076"/>
    <s v="Viewers"/>
  </r>
  <r>
    <n v="7030"/>
    <s v="Paige"/>
    <x v="99"/>
    <d v="2024-11-23T00:00:00"/>
    <n v="15.99"/>
    <n v="210"/>
    <x v="3"/>
    <n v="3"/>
    <n v="4"/>
    <b v="0"/>
    <n v="666"/>
    <n v="164"/>
    <x v="0"/>
    <x v="0"/>
    <x v="2"/>
    <x v="11"/>
    <n v="4.2"/>
    <x v="0"/>
    <x v="0"/>
    <x v="558"/>
    <x v="2"/>
    <x v="4"/>
    <x v="0"/>
    <n v="249"/>
    <x v="2"/>
    <n v="5.9036144578313259"/>
    <x v="1"/>
    <n v="0.25301204819277107"/>
    <s v="Viewers"/>
  </r>
  <r>
    <n v="6619"/>
    <s v="Cindy"/>
    <x v="141"/>
    <d v="2024-12-16T00:00:00"/>
    <n v="15.99"/>
    <n v="301"/>
    <x v="3"/>
    <n v="2"/>
    <n v="1"/>
    <b v="1"/>
    <n v="855"/>
    <n v="46"/>
    <x v="3"/>
    <x v="3"/>
    <x v="3"/>
    <x v="8"/>
    <n v="4.4000000000000004"/>
    <x v="0"/>
    <x v="0"/>
    <x v="559"/>
    <x v="0"/>
    <x v="0"/>
    <x v="0"/>
    <n v="182"/>
    <x v="2"/>
    <n v="11.576923076923077"/>
    <x v="1"/>
    <n v="0.33407325194228638"/>
    <s v="Viewers"/>
  </r>
  <r>
    <n v="6319"/>
    <s v="Todd"/>
    <x v="393"/>
    <d v="2024-12-16T00:00:00"/>
    <n v="7.99"/>
    <n v="466"/>
    <x v="6"/>
    <n v="4"/>
    <n v="1"/>
    <b v="1"/>
    <n v="592"/>
    <n v="67"/>
    <x v="6"/>
    <x v="1"/>
    <x v="5"/>
    <x v="74"/>
    <n v="4.8"/>
    <x v="0"/>
    <x v="0"/>
    <x v="67"/>
    <x v="1"/>
    <x v="3"/>
    <x v="2"/>
    <n v="654"/>
    <x v="0"/>
    <n v="4.9877675840978588"/>
    <x v="0"/>
    <n v="0.70713201820940819"/>
    <s v="Viewers"/>
  </r>
  <r>
    <n v="6268"/>
    <s v="Alexander"/>
    <x v="394"/>
    <d v="2024-11-26T00:00:00"/>
    <n v="15.99"/>
    <n v="336"/>
    <x v="4"/>
    <n v="5"/>
    <n v="2"/>
    <b v="0"/>
    <n v="546"/>
    <n v="16"/>
    <x v="3"/>
    <x v="0"/>
    <x v="4"/>
    <x v="97"/>
    <n v="3.6"/>
    <x v="1"/>
    <x v="0"/>
    <x v="560"/>
    <x v="0"/>
    <x v="4"/>
    <x v="3"/>
    <n v="314"/>
    <x v="2"/>
    <n v="7.4904458598726116"/>
    <x v="1"/>
    <n v="0.59786476868327398"/>
    <s v="Viewers"/>
  </r>
  <r>
    <n v="5016"/>
    <s v="Beth"/>
    <x v="395"/>
    <d v="2024-12-11T00:00:00"/>
    <n v="11.99"/>
    <n v="280"/>
    <x v="5"/>
    <n v="4"/>
    <n v="3"/>
    <b v="0"/>
    <n v="633"/>
    <n v="83"/>
    <x v="0"/>
    <x v="0"/>
    <x v="2"/>
    <x v="77"/>
    <n v="3.3"/>
    <x v="0"/>
    <x v="0"/>
    <x v="561"/>
    <x v="2"/>
    <x v="4"/>
    <x v="3"/>
    <n v="501"/>
    <x v="1"/>
    <n v="3.9121756487025947"/>
    <x v="0"/>
    <n v="0.39106145251396646"/>
    <s v="Viewers"/>
  </r>
  <r>
    <n v="3888"/>
    <s v="Emily"/>
    <x v="366"/>
    <d v="2024-12-14T00:00:00"/>
    <n v="15.99"/>
    <n v="495"/>
    <x v="0"/>
    <n v="3"/>
    <n v="2"/>
    <b v="1"/>
    <n v="883"/>
    <n v="60"/>
    <x v="4"/>
    <x v="3"/>
    <x v="4"/>
    <x v="95"/>
    <n v="4.5"/>
    <x v="0"/>
    <x v="0"/>
    <x v="562"/>
    <x v="4"/>
    <x v="4"/>
    <x v="1"/>
    <n v="576"/>
    <x v="2"/>
    <n v="6.0156249999999991"/>
    <x v="1"/>
    <n v="0.52492046659597036"/>
    <s v="Viewers"/>
  </r>
  <r>
    <n v="9918"/>
    <s v="Melissa"/>
    <x v="396"/>
    <d v="2024-12-12T00:00:00"/>
    <n v="11.99"/>
    <n v="144"/>
    <x v="3"/>
    <n v="5"/>
    <n v="6"/>
    <b v="0"/>
    <n v="235"/>
    <n v="88"/>
    <x v="3"/>
    <x v="0"/>
    <x v="0"/>
    <x v="57"/>
    <n v="3.1"/>
    <x v="1"/>
    <x v="0"/>
    <x v="563"/>
    <x v="3"/>
    <x v="2"/>
    <x v="2"/>
    <n v="212"/>
    <x v="1"/>
    <n v="4.7547169811320753"/>
    <x v="0"/>
    <n v="0.44582043343653249"/>
    <s v="Viewers"/>
  </r>
  <r>
    <n v="7305"/>
    <s v="John"/>
    <x v="397"/>
    <d v="2024-12-02T00:00:00"/>
    <n v="7.99"/>
    <n v="165"/>
    <x v="6"/>
    <n v="5"/>
    <n v="4"/>
    <b v="0"/>
    <n v="267"/>
    <n v="146"/>
    <x v="0"/>
    <x v="2"/>
    <x v="3"/>
    <x v="91"/>
    <n v="4.2"/>
    <x v="1"/>
    <x v="0"/>
    <x v="564"/>
    <x v="4"/>
    <x v="1"/>
    <x v="1"/>
    <n v="641"/>
    <x v="0"/>
    <n v="1.8018720748829953"/>
    <x v="0"/>
    <n v="0.39951573849878935"/>
    <s v="Viewers"/>
  </r>
  <r>
    <n v="5719"/>
    <s v="Wendy"/>
    <x v="398"/>
    <d v="2024-12-16T00:00:00"/>
    <n v="11.99"/>
    <n v="479"/>
    <x v="3"/>
    <n v="5"/>
    <n v="2"/>
    <b v="0"/>
    <n v="710"/>
    <n v="68"/>
    <x v="5"/>
    <x v="3"/>
    <x v="5"/>
    <x v="84"/>
    <n v="4.5999999999999996"/>
    <x v="0"/>
    <x v="0"/>
    <x v="565"/>
    <x v="4"/>
    <x v="3"/>
    <x v="3"/>
    <n v="481"/>
    <x v="1"/>
    <n v="6.9708939708939717"/>
    <x v="1"/>
    <n v="0.61568123393316199"/>
    <s v="Viewers"/>
  </r>
  <r>
    <n v="2334"/>
    <s v="Jeffrey"/>
    <x v="198"/>
    <d v="2024-11-24T00:00:00"/>
    <n v="11.99"/>
    <n v="285"/>
    <x v="5"/>
    <n v="2"/>
    <n v="4"/>
    <b v="0"/>
    <n v="805"/>
    <n v="42"/>
    <x v="2"/>
    <x v="1"/>
    <x v="0"/>
    <x v="9"/>
    <n v="4.5"/>
    <x v="0"/>
    <x v="0"/>
    <x v="566"/>
    <x v="0"/>
    <x v="3"/>
    <x v="2"/>
    <n v="272"/>
    <x v="1"/>
    <n v="7.3345588235294121"/>
    <x v="1"/>
    <n v="0.33648170011806378"/>
    <s v="Viewers"/>
  </r>
  <r>
    <n v="1006"/>
    <s v="Sherry"/>
    <x v="399"/>
    <d v="2024-11-29T00:00:00"/>
    <n v="11.99"/>
    <n v="93"/>
    <x v="1"/>
    <n v="4"/>
    <n v="6"/>
    <b v="0"/>
    <n v="209"/>
    <n v="151"/>
    <x v="3"/>
    <x v="2"/>
    <x v="4"/>
    <x v="98"/>
    <n v="3"/>
    <x v="0"/>
    <x v="0"/>
    <x v="567"/>
    <x v="2"/>
    <x v="4"/>
    <x v="2"/>
    <n v="456"/>
    <x v="1"/>
    <n v="1.4276315789473686"/>
    <x v="0"/>
    <n v="0.25833333333333336"/>
    <s v="Viewers"/>
  </r>
  <r>
    <n v="6719"/>
    <s v="Cynthia"/>
    <x v="176"/>
    <d v="2024-11-25T00:00:00"/>
    <n v="15.99"/>
    <n v="299"/>
    <x v="4"/>
    <n v="5"/>
    <n v="2"/>
    <b v="0"/>
    <n v="803"/>
    <n v="197"/>
    <x v="4"/>
    <x v="3"/>
    <x v="5"/>
    <x v="27"/>
    <n v="4.8"/>
    <x v="0"/>
    <x v="0"/>
    <x v="568"/>
    <x v="1"/>
    <x v="1"/>
    <x v="1"/>
    <n v="676"/>
    <x v="2"/>
    <n v="3.0961538461538463"/>
    <x v="0"/>
    <n v="0.29899999999999999"/>
    <s v="Viewers"/>
  </r>
  <r>
    <n v="6138"/>
    <s v="Patricia"/>
    <x v="203"/>
    <d v="2024-11-23T00:00:00"/>
    <n v="15.99"/>
    <n v="10"/>
    <x v="3"/>
    <n v="4"/>
    <n v="6"/>
    <b v="1"/>
    <n v="236"/>
    <n v="183"/>
    <x v="3"/>
    <x v="2"/>
    <x v="4"/>
    <x v="89"/>
    <n v="3.8"/>
    <x v="0"/>
    <x v="0"/>
    <x v="376"/>
    <x v="0"/>
    <x v="3"/>
    <x v="0"/>
    <n v="319"/>
    <x v="2"/>
    <n v="0.21943573667711599"/>
    <x v="0"/>
    <n v="2.386634844868735E-2"/>
    <s v=" Browsers"/>
  </r>
  <r>
    <n v="1255"/>
    <s v="Kimberly"/>
    <x v="400"/>
    <d v="2024-12-10T00:00:00"/>
    <n v="11.99"/>
    <n v="82"/>
    <x v="3"/>
    <n v="4"/>
    <n v="3"/>
    <b v="1"/>
    <n v="264"/>
    <n v="115"/>
    <x v="3"/>
    <x v="3"/>
    <x v="5"/>
    <x v="55"/>
    <n v="4.7"/>
    <x v="1"/>
    <x v="0"/>
    <x v="569"/>
    <x v="2"/>
    <x v="2"/>
    <x v="3"/>
    <n v="583"/>
    <x v="1"/>
    <n v="0.98456260720411659"/>
    <x v="0"/>
    <n v="0.21635883905013192"/>
    <s v="Viewers"/>
  </r>
  <r>
    <n v="5528"/>
    <s v="David"/>
    <x v="328"/>
    <d v="2024-12-10T00:00:00"/>
    <n v="11.99"/>
    <n v="27"/>
    <x v="0"/>
    <n v="3"/>
    <n v="6"/>
    <b v="1"/>
    <n v="767"/>
    <n v="5"/>
    <x v="4"/>
    <x v="1"/>
    <x v="5"/>
    <x v="1"/>
    <n v="3.2"/>
    <x v="1"/>
    <x v="0"/>
    <x v="570"/>
    <x v="2"/>
    <x v="3"/>
    <x v="3"/>
    <n v="264"/>
    <x v="1"/>
    <n v="0.71590909090909094"/>
    <x v="0"/>
    <n v="3.4974093264248704E-2"/>
    <s v=" Browsers"/>
  </r>
  <r>
    <n v="2517"/>
    <s v="Michael"/>
    <x v="401"/>
    <d v="2024-12-01T00:00:00"/>
    <n v="7.99"/>
    <n v="105"/>
    <x v="2"/>
    <n v="2"/>
    <n v="1"/>
    <b v="1"/>
    <n v="247"/>
    <n v="104"/>
    <x v="6"/>
    <x v="0"/>
    <x v="3"/>
    <x v="96"/>
    <n v="3.2"/>
    <x v="1"/>
    <x v="0"/>
    <x v="300"/>
    <x v="0"/>
    <x v="0"/>
    <x v="3"/>
    <n v="216"/>
    <x v="0"/>
    <n v="3.4027777777777777"/>
    <x v="0"/>
    <n v="0.29914529914529914"/>
    <s v="Viewers"/>
  </r>
  <r>
    <n v="9593"/>
    <s v="Erika"/>
    <x v="57"/>
    <d v="2024-11-24T00:00:00"/>
    <n v="15.99"/>
    <n v="330"/>
    <x v="4"/>
    <n v="3"/>
    <n v="1"/>
    <b v="1"/>
    <n v="69"/>
    <n v="101"/>
    <x v="2"/>
    <x v="0"/>
    <x v="4"/>
    <x v="11"/>
    <n v="3"/>
    <x v="1"/>
    <x v="0"/>
    <x v="571"/>
    <x v="1"/>
    <x v="4"/>
    <x v="1"/>
    <n v="409"/>
    <x v="2"/>
    <n v="5.6479217603911982"/>
    <x v="1"/>
    <n v="1.9411764705882353"/>
    <s v="Viewers"/>
  </r>
  <r>
    <n v="7507"/>
    <s v="Rachel"/>
    <x v="354"/>
    <d v="2024-12-10T00:00:00"/>
    <n v="11.99"/>
    <n v="462"/>
    <x v="3"/>
    <n v="2"/>
    <n v="4"/>
    <b v="1"/>
    <n v="958"/>
    <n v="153"/>
    <x v="6"/>
    <x v="2"/>
    <x v="1"/>
    <x v="5"/>
    <n v="4.8"/>
    <x v="0"/>
    <x v="0"/>
    <x v="572"/>
    <x v="2"/>
    <x v="0"/>
    <x v="1"/>
    <n v="279"/>
    <x v="1"/>
    <n v="11.591397849462366"/>
    <x v="1"/>
    <n v="0.41584158415841582"/>
    <s v="Viewers"/>
  </r>
  <r>
    <n v="2884"/>
    <s v="Heather"/>
    <x v="285"/>
    <d v="2024-12-15T00:00:00"/>
    <n v="15.99"/>
    <n v="250"/>
    <x v="0"/>
    <n v="4"/>
    <n v="6"/>
    <b v="0"/>
    <n v="271"/>
    <n v="50"/>
    <x v="5"/>
    <x v="3"/>
    <x v="0"/>
    <x v="91"/>
    <n v="4.7"/>
    <x v="0"/>
    <x v="0"/>
    <x v="573"/>
    <x v="4"/>
    <x v="2"/>
    <x v="1"/>
    <n v="381"/>
    <x v="2"/>
    <n v="4.5931758530183728"/>
    <x v="0"/>
    <n v="0.77881619937694702"/>
    <s v="Viewers"/>
  </r>
  <r>
    <n v="6374"/>
    <s v="Terri"/>
    <x v="402"/>
    <d v="2024-11-19T00:00:00"/>
    <n v="15.99"/>
    <n v="30"/>
    <x v="0"/>
    <n v="1"/>
    <n v="1"/>
    <b v="0"/>
    <n v="178"/>
    <n v="162"/>
    <x v="3"/>
    <x v="0"/>
    <x v="2"/>
    <x v="66"/>
    <n v="4.5999999999999996"/>
    <x v="1"/>
    <x v="0"/>
    <x v="574"/>
    <x v="0"/>
    <x v="3"/>
    <x v="3"/>
    <n v="501"/>
    <x v="2"/>
    <n v="0.41916167664670662"/>
    <x v="0"/>
    <n v="8.8235294117647065E-2"/>
    <s v=" Browsers"/>
  </r>
  <r>
    <n v="6888"/>
    <s v="Jose"/>
    <x v="310"/>
    <d v="2024-12-03T00:00:00"/>
    <n v="15.99"/>
    <n v="364"/>
    <x v="5"/>
    <n v="2"/>
    <n v="5"/>
    <b v="0"/>
    <n v="865"/>
    <n v="104"/>
    <x v="0"/>
    <x v="2"/>
    <x v="2"/>
    <x v="97"/>
    <n v="3.1"/>
    <x v="0"/>
    <x v="0"/>
    <x v="575"/>
    <x v="0"/>
    <x v="0"/>
    <x v="0"/>
    <n v="209"/>
    <x v="2"/>
    <n v="12.191387559808613"/>
    <x v="1"/>
    <n v="0.37564499484004127"/>
    <s v="Viewers"/>
  </r>
  <r>
    <n v="2788"/>
    <s v="Keith"/>
    <x v="224"/>
    <d v="2024-12-06T00:00:00"/>
    <n v="15.99"/>
    <n v="404"/>
    <x v="5"/>
    <n v="2"/>
    <n v="2"/>
    <b v="0"/>
    <n v="257"/>
    <n v="113"/>
    <x v="5"/>
    <x v="2"/>
    <x v="2"/>
    <x v="22"/>
    <n v="3.8"/>
    <x v="0"/>
    <x v="0"/>
    <x v="576"/>
    <x v="2"/>
    <x v="0"/>
    <x v="0"/>
    <n v="666"/>
    <x v="2"/>
    <n v="4.2462462462462467"/>
    <x v="0"/>
    <n v="1.0918918918918918"/>
    <s v="Viewers"/>
  </r>
  <r>
    <n v="7892"/>
    <s v="Nathan"/>
    <x v="403"/>
    <d v="2024-11-25T00:00:00"/>
    <n v="7.99"/>
    <n v="499"/>
    <x v="6"/>
    <n v="4"/>
    <n v="3"/>
    <b v="0"/>
    <n v="428"/>
    <n v="168"/>
    <x v="6"/>
    <x v="2"/>
    <x v="5"/>
    <x v="45"/>
    <n v="3.7"/>
    <x v="0"/>
    <x v="0"/>
    <x v="577"/>
    <x v="0"/>
    <x v="4"/>
    <x v="2"/>
    <n v="207"/>
    <x v="0"/>
    <n v="16.874396135265698"/>
    <x v="2"/>
    <n v="0.83724832214765099"/>
    <s v="Viewers"/>
  </r>
  <r>
    <n v="4576"/>
    <s v="Matthew"/>
    <x v="404"/>
    <d v="2024-12-16T00:00:00"/>
    <n v="15.99"/>
    <n v="480"/>
    <x v="1"/>
    <n v="2"/>
    <n v="2"/>
    <b v="1"/>
    <n v="994"/>
    <n v="78"/>
    <x v="5"/>
    <x v="2"/>
    <x v="2"/>
    <x v="4"/>
    <n v="4.3"/>
    <x v="1"/>
    <x v="0"/>
    <x v="578"/>
    <x v="4"/>
    <x v="1"/>
    <x v="2"/>
    <n v="150"/>
    <x v="2"/>
    <n v="22.400000000000002"/>
    <x v="2"/>
    <n v="0.44776119402985076"/>
    <s v="Viewers"/>
  </r>
  <r>
    <n v="8901"/>
    <s v="Jimmy"/>
    <x v="203"/>
    <d v="2024-11-29T00:00:00"/>
    <n v="11.99"/>
    <n v="417"/>
    <x v="0"/>
    <n v="5"/>
    <n v="6"/>
    <b v="0"/>
    <n v="476"/>
    <n v="37"/>
    <x v="0"/>
    <x v="3"/>
    <x v="0"/>
    <x v="32"/>
    <n v="4.0999999999999996"/>
    <x v="1"/>
    <x v="0"/>
    <x v="579"/>
    <x v="4"/>
    <x v="4"/>
    <x v="2"/>
    <n v="325"/>
    <x v="1"/>
    <n v="8.9815384615384612"/>
    <x v="1"/>
    <n v="0.8128654970760234"/>
    <s v="Viewers"/>
  </r>
  <r>
    <n v="5147"/>
    <s v="Ashley"/>
    <x v="405"/>
    <d v="2024-12-14T00:00:00"/>
    <n v="7.99"/>
    <n v="215"/>
    <x v="5"/>
    <n v="5"/>
    <n v="4"/>
    <b v="1"/>
    <n v="150"/>
    <n v="57"/>
    <x v="2"/>
    <x v="0"/>
    <x v="0"/>
    <x v="24"/>
    <n v="4.5"/>
    <x v="0"/>
    <x v="0"/>
    <x v="580"/>
    <x v="0"/>
    <x v="0"/>
    <x v="0"/>
    <n v="549"/>
    <x v="0"/>
    <n v="2.7413479052823315"/>
    <x v="0"/>
    <n v="1.038647342995169"/>
    <s v="Viewers"/>
  </r>
  <r>
    <n v="8646"/>
    <s v="Steven"/>
    <x v="406"/>
    <d v="2024-12-06T00:00:00"/>
    <n v="7.99"/>
    <n v="234"/>
    <x v="0"/>
    <n v="2"/>
    <n v="6"/>
    <b v="1"/>
    <n v="580"/>
    <n v="149"/>
    <x v="2"/>
    <x v="0"/>
    <x v="5"/>
    <x v="97"/>
    <n v="3.8"/>
    <x v="1"/>
    <x v="0"/>
    <x v="581"/>
    <x v="3"/>
    <x v="4"/>
    <x v="0"/>
    <n v="351"/>
    <x v="0"/>
    <n v="4.6666666666666661"/>
    <x v="0"/>
    <n v="0.32098765432098764"/>
    <s v="Viewers"/>
  </r>
  <r>
    <n v="8343"/>
    <s v="Ashley"/>
    <x v="407"/>
    <d v="2024-12-17T00:00:00"/>
    <n v="7.99"/>
    <n v="103"/>
    <x v="0"/>
    <n v="2"/>
    <n v="6"/>
    <b v="0"/>
    <n v="284"/>
    <n v="84"/>
    <x v="6"/>
    <x v="0"/>
    <x v="4"/>
    <x v="55"/>
    <n v="4"/>
    <x v="0"/>
    <x v="0"/>
    <x v="410"/>
    <x v="0"/>
    <x v="4"/>
    <x v="3"/>
    <n v="45"/>
    <x v="0"/>
    <n v="16.022222222222222"/>
    <x v="2"/>
    <n v="0.27989130434782611"/>
    <s v="Viewers"/>
  </r>
  <r>
    <n v="9332"/>
    <s v="Robert"/>
    <x v="230"/>
    <d v="2024-12-18T00:00:00"/>
    <n v="15.99"/>
    <n v="191"/>
    <x v="3"/>
    <n v="5"/>
    <n v="1"/>
    <b v="0"/>
    <n v="688"/>
    <n v="192"/>
    <x v="0"/>
    <x v="0"/>
    <x v="0"/>
    <x v="5"/>
    <n v="4"/>
    <x v="0"/>
    <x v="0"/>
    <x v="582"/>
    <x v="2"/>
    <x v="2"/>
    <x v="2"/>
    <n v="569"/>
    <x v="2"/>
    <n v="2.3497363796133568"/>
    <x v="0"/>
    <n v="0.21704545454545454"/>
    <s v="Viewers"/>
  </r>
  <r>
    <n v="7398"/>
    <s v="Valerie"/>
    <x v="377"/>
    <d v="2024-12-15T00:00:00"/>
    <n v="11.99"/>
    <n v="82"/>
    <x v="1"/>
    <n v="5"/>
    <n v="1"/>
    <b v="1"/>
    <n v="93"/>
    <n v="46"/>
    <x v="1"/>
    <x v="0"/>
    <x v="1"/>
    <x v="81"/>
    <n v="4.7"/>
    <x v="1"/>
    <x v="0"/>
    <x v="583"/>
    <x v="0"/>
    <x v="1"/>
    <x v="1"/>
    <n v="366"/>
    <x v="1"/>
    <n v="1.5683060109289617"/>
    <x v="0"/>
    <n v="0.58992805755395683"/>
    <s v="Viewers"/>
  </r>
  <r>
    <n v="3572"/>
    <s v="Adam"/>
    <x v="138"/>
    <d v="2024-12-15T00:00:00"/>
    <n v="11.99"/>
    <n v="468"/>
    <x v="3"/>
    <n v="5"/>
    <n v="6"/>
    <b v="1"/>
    <n v="799"/>
    <n v="44"/>
    <x v="3"/>
    <x v="0"/>
    <x v="3"/>
    <x v="25"/>
    <n v="4.9000000000000004"/>
    <x v="0"/>
    <x v="0"/>
    <x v="584"/>
    <x v="4"/>
    <x v="2"/>
    <x v="1"/>
    <n v="255"/>
    <x v="1"/>
    <n v="12.847058823529411"/>
    <x v="1"/>
    <n v="0.55516014234875444"/>
    <s v="Viewers"/>
  </r>
  <r>
    <n v="4590"/>
    <s v="Tracy"/>
    <x v="98"/>
    <d v="2024-12-03T00:00:00"/>
    <n v="11.99"/>
    <n v="366"/>
    <x v="6"/>
    <n v="4"/>
    <n v="3"/>
    <b v="0"/>
    <n v="327"/>
    <n v="1"/>
    <x v="2"/>
    <x v="1"/>
    <x v="0"/>
    <x v="2"/>
    <n v="3.6"/>
    <x v="1"/>
    <x v="0"/>
    <x v="585"/>
    <x v="1"/>
    <x v="4"/>
    <x v="0"/>
    <n v="532"/>
    <x v="1"/>
    <n v="4.8157894736842106"/>
    <x v="0"/>
    <n v="1.1158536585365855"/>
    <s v="Viewers"/>
  </r>
  <r>
    <n v="1831"/>
    <s v="Jennifer"/>
    <x v="192"/>
    <d v="2024-12-11T00:00:00"/>
    <n v="7.99"/>
    <n v="53"/>
    <x v="2"/>
    <n v="1"/>
    <n v="4"/>
    <b v="0"/>
    <n v="685"/>
    <n v="127"/>
    <x v="5"/>
    <x v="2"/>
    <x v="4"/>
    <x v="8"/>
    <n v="4.0999999999999996"/>
    <x v="1"/>
    <x v="0"/>
    <x v="586"/>
    <x v="2"/>
    <x v="3"/>
    <x v="0"/>
    <n v="60"/>
    <x v="0"/>
    <n v="6.1833333333333336"/>
    <x v="1"/>
    <n v="6.5270935960591137E-2"/>
    <s v=" Browsers"/>
  </r>
  <r>
    <n v="6899"/>
    <s v="Paul"/>
    <x v="408"/>
    <d v="2024-12-05T00:00:00"/>
    <n v="15.99"/>
    <n v="102"/>
    <x v="4"/>
    <n v="1"/>
    <n v="1"/>
    <b v="1"/>
    <n v="604"/>
    <n v="107"/>
    <x v="6"/>
    <x v="3"/>
    <x v="5"/>
    <x v="87"/>
    <n v="4.3"/>
    <x v="0"/>
    <x v="0"/>
    <x v="587"/>
    <x v="4"/>
    <x v="1"/>
    <x v="0"/>
    <n v="610"/>
    <x v="2"/>
    <n v="1.1704918032786886"/>
    <x v="0"/>
    <n v="0.14345991561181434"/>
    <s v=" Browsers"/>
  </r>
  <r>
    <n v="1148"/>
    <s v="Jennifer"/>
    <x v="118"/>
    <d v="2024-11-28T00:00:00"/>
    <n v="15.99"/>
    <n v="259"/>
    <x v="0"/>
    <n v="1"/>
    <n v="5"/>
    <b v="1"/>
    <n v="597"/>
    <n v="165"/>
    <x v="5"/>
    <x v="3"/>
    <x v="1"/>
    <x v="36"/>
    <n v="4.2"/>
    <x v="1"/>
    <x v="0"/>
    <x v="588"/>
    <x v="4"/>
    <x v="1"/>
    <x v="2"/>
    <n v="182"/>
    <x v="2"/>
    <n v="9.9615384615384617"/>
    <x v="1"/>
    <n v="0.33989501312335957"/>
    <s v="Viewers"/>
  </r>
  <r>
    <n v="3745"/>
    <s v="Angela"/>
    <x v="193"/>
    <d v="2024-12-16T00:00:00"/>
    <n v="11.99"/>
    <n v="81"/>
    <x v="6"/>
    <n v="2"/>
    <n v="4"/>
    <b v="0"/>
    <n v="451"/>
    <n v="49"/>
    <x v="1"/>
    <x v="1"/>
    <x v="4"/>
    <x v="17"/>
    <n v="4.7"/>
    <x v="1"/>
    <x v="0"/>
    <x v="589"/>
    <x v="4"/>
    <x v="0"/>
    <x v="0"/>
    <n v="95"/>
    <x v="1"/>
    <n v="5.9684210526315793"/>
    <x v="1"/>
    <n v="0.16200000000000001"/>
    <s v="Viewers"/>
  </r>
  <r>
    <n v="5084"/>
    <s v="Miranda"/>
    <x v="73"/>
    <d v="2024-11-22T00:00:00"/>
    <n v="11.99"/>
    <n v="135"/>
    <x v="0"/>
    <n v="4"/>
    <n v="6"/>
    <b v="0"/>
    <n v="50"/>
    <n v="15"/>
    <x v="1"/>
    <x v="2"/>
    <x v="5"/>
    <x v="23"/>
    <n v="4.4000000000000004"/>
    <x v="0"/>
    <x v="0"/>
    <x v="590"/>
    <x v="2"/>
    <x v="4"/>
    <x v="0"/>
    <n v="394"/>
    <x v="1"/>
    <n v="2.3984771573604062"/>
    <x v="0"/>
    <n v="2.0769230769230771"/>
    <s v="Viewers"/>
  </r>
  <r>
    <n v="7179"/>
    <s v="Michael"/>
    <x v="409"/>
    <d v="2024-11-29T00:00:00"/>
    <n v="11.99"/>
    <n v="465"/>
    <x v="5"/>
    <n v="2"/>
    <n v="3"/>
    <b v="1"/>
    <n v="987"/>
    <n v="91"/>
    <x v="6"/>
    <x v="1"/>
    <x v="2"/>
    <x v="39"/>
    <n v="4.5999999999999996"/>
    <x v="1"/>
    <x v="0"/>
    <x v="591"/>
    <x v="0"/>
    <x v="0"/>
    <x v="2"/>
    <n v="447"/>
    <x v="1"/>
    <n v="7.2818791946308732"/>
    <x v="1"/>
    <n v="0.43135435992578852"/>
    <s v="Viewers"/>
  </r>
  <r>
    <n v="1005"/>
    <s v="Joseph"/>
    <x v="233"/>
    <d v="2024-12-10T00:00:00"/>
    <n v="11.99"/>
    <n v="163"/>
    <x v="4"/>
    <n v="2"/>
    <n v="1"/>
    <b v="0"/>
    <n v="817"/>
    <n v="182"/>
    <x v="3"/>
    <x v="2"/>
    <x v="4"/>
    <x v="80"/>
    <n v="4.5999999999999996"/>
    <x v="1"/>
    <x v="0"/>
    <x v="592"/>
    <x v="3"/>
    <x v="4"/>
    <x v="3"/>
    <n v="658"/>
    <x v="1"/>
    <n v="1.7340425531914894"/>
    <x v="0"/>
    <n v="0.16316316316316315"/>
    <s v="Viewers"/>
  </r>
  <r>
    <n v="6405"/>
    <s v="Adam"/>
    <x v="410"/>
    <d v="2024-12-11T00:00:00"/>
    <n v="11.99"/>
    <n v="321"/>
    <x v="5"/>
    <n v="1"/>
    <n v="6"/>
    <b v="1"/>
    <n v="361"/>
    <n v="12"/>
    <x v="3"/>
    <x v="3"/>
    <x v="1"/>
    <x v="35"/>
    <n v="4.9000000000000004"/>
    <x v="1"/>
    <x v="0"/>
    <x v="593"/>
    <x v="4"/>
    <x v="2"/>
    <x v="0"/>
    <n v="607"/>
    <x v="1"/>
    <n v="3.7018121911037896"/>
    <x v="0"/>
    <n v="0.8605898123324397"/>
    <s v="Viewers"/>
  </r>
  <r>
    <n v="5215"/>
    <s v="Robert"/>
    <x v="241"/>
    <d v="2024-12-17T00:00:00"/>
    <n v="7.99"/>
    <n v="212"/>
    <x v="6"/>
    <n v="5"/>
    <n v="5"/>
    <b v="0"/>
    <n v="146"/>
    <n v="147"/>
    <x v="2"/>
    <x v="1"/>
    <x v="5"/>
    <x v="73"/>
    <n v="3.4"/>
    <x v="0"/>
    <x v="0"/>
    <x v="594"/>
    <x v="2"/>
    <x v="2"/>
    <x v="3"/>
    <n v="610"/>
    <x v="0"/>
    <n v="2.4327868852459016"/>
    <x v="0"/>
    <n v="0.7235494880546075"/>
    <s v="Viewers"/>
  </r>
  <r>
    <n v="7525"/>
    <s v="Michelle"/>
    <x v="411"/>
    <d v="2024-12-18T00:00:00"/>
    <n v="15.99"/>
    <n v="453"/>
    <x v="0"/>
    <n v="1"/>
    <n v="4"/>
    <b v="0"/>
    <n v="313"/>
    <n v="1"/>
    <x v="5"/>
    <x v="0"/>
    <x v="4"/>
    <x v="34"/>
    <n v="3.7"/>
    <x v="1"/>
    <x v="0"/>
    <x v="595"/>
    <x v="2"/>
    <x v="1"/>
    <x v="2"/>
    <n v="175"/>
    <x v="2"/>
    <n v="18.12"/>
    <x v="2"/>
    <n v="1.4426751592356688"/>
    <s v="Viewers"/>
  </r>
  <r>
    <n v="9115"/>
    <s v="Jennifer"/>
    <x v="165"/>
    <d v="2024-12-17T00:00:00"/>
    <n v="11.99"/>
    <n v="34"/>
    <x v="5"/>
    <n v="1"/>
    <n v="1"/>
    <b v="0"/>
    <n v="80"/>
    <n v="71"/>
    <x v="1"/>
    <x v="2"/>
    <x v="1"/>
    <x v="38"/>
    <n v="3.6"/>
    <x v="0"/>
    <x v="0"/>
    <x v="596"/>
    <x v="3"/>
    <x v="3"/>
    <x v="0"/>
    <n v="153"/>
    <x v="1"/>
    <n v="1.5555555555555556"/>
    <x v="0"/>
    <n v="0.2251655629139073"/>
    <s v="Viewers"/>
  </r>
  <r>
    <n v="6454"/>
    <s v="Nicholas"/>
    <x v="412"/>
    <d v="2024-12-15T00:00:00"/>
    <n v="15.99"/>
    <n v="197"/>
    <x v="5"/>
    <n v="1"/>
    <n v="4"/>
    <b v="1"/>
    <n v="860"/>
    <n v="42"/>
    <x v="0"/>
    <x v="2"/>
    <x v="5"/>
    <x v="28"/>
    <n v="4"/>
    <x v="1"/>
    <x v="0"/>
    <x v="597"/>
    <x v="4"/>
    <x v="0"/>
    <x v="3"/>
    <n v="251"/>
    <x v="2"/>
    <n v="5.4940239043824706"/>
    <x v="1"/>
    <n v="0.21840354767184036"/>
    <s v="Viewers"/>
  </r>
  <r>
    <n v="4781"/>
    <s v="Sierra"/>
    <x v="210"/>
    <d v="2024-12-01T00:00:00"/>
    <n v="15.99"/>
    <n v="361"/>
    <x v="5"/>
    <n v="5"/>
    <n v="3"/>
    <b v="1"/>
    <n v="67"/>
    <n v="66"/>
    <x v="3"/>
    <x v="0"/>
    <x v="1"/>
    <x v="20"/>
    <n v="3.7"/>
    <x v="1"/>
    <x v="0"/>
    <x v="598"/>
    <x v="4"/>
    <x v="4"/>
    <x v="1"/>
    <n v="220"/>
    <x v="2"/>
    <n v="11.486363636363636"/>
    <x v="1"/>
    <n v="2.7142857142857144"/>
    <s v="Viewers"/>
  </r>
  <r>
    <n v="5040"/>
    <s v="Andre"/>
    <x v="170"/>
    <d v="2024-12-02T00:00:00"/>
    <n v="11.99"/>
    <n v="166"/>
    <x v="2"/>
    <n v="5"/>
    <n v="2"/>
    <b v="1"/>
    <n v="178"/>
    <n v="61"/>
    <x v="6"/>
    <x v="1"/>
    <x v="5"/>
    <x v="55"/>
    <n v="3.1"/>
    <x v="0"/>
    <x v="0"/>
    <x v="599"/>
    <x v="0"/>
    <x v="2"/>
    <x v="0"/>
    <n v="364"/>
    <x v="1"/>
    <n v="3.1923076923076925"/>
    <x v="0"/>
    <n v="0.69456066945606698"/>
    <s v="Viewers"/>
  </r>
  <r>
    <n v="3209"/>
    <s v="Ann"/>
    <x v="388"/>
    <d v="2024-11-26T00:00:00"/>
    <n v="7.99"/>
    <n v="168"/>
    <x v="3"/>
    <n v="3"/>
    <n v="1"/>
    <b v="0"/>
    <n v="113"/>
    <n v="85"/>
    <x v="2"/>
    <x v="3"/>
    <x v="3"/>
    <x v="64"/>
    <n v="4.7"/>
    <x v="0"/>
    <x v="0"/>
    <x v="600"/>
    <x v="0"/>
    <x v="2"/>
    <x v="1"/>
    <n v="372"/>
    <x v="0"/>
    <n v="3.161290322580645"/>
    <x v="0"/>
    <n v="0.84848484848484851"/>
    <s v="Viewers"/>
  </r>
  <r>
    <n v="8703"/>
    <s v="Ryan"/>
    <x v="97"/>
    <d v="2024-11-22T00:00:00"/>
    <n v="15.99"/>
    <n v="336"/>
    <x v="1"/>
    <n v="1"/>
    <n v="4"/>
    <b v="1"/>
    <n v="855"/>
    <n v="186"/>
    <x v="1"/>
    <x v="0"/>
    <x v="2"/>
    <x v="84"/>
    <n v="3.6"/>
    <x v="0"/>
    <x v="0"/>
    <x v="202"/>
    <x v="4"/>
    <x v="1"/>
    <x v="0"/>
    <n v="139"/>
    <x v="2"/>
    <n v="16.920863309352516"/>
    <x v="2"/>
    <n v="0.32276657060518732"/>
    <s v="Viewers"/>
  </r>
  <r>
    <n v="2536"/>
    <s v="Christopher"/>
    <x v="198"/>
    <d v="2024-12-14T00:00:00"/>
    <n v="15.99"/>
    <n v="212"/>
    <x v="4"/>
    <n v="2"/>
    <n v="4"/>
    <b v="0"/>
    <n v="608"/>
    <n v="96"/>
    <x v="6"/>
    <x v="3"/>
    <x v="2"/>
    <x v="24"/>
    <n v="4"/>
    <x v="0"/>
    <x v="0"/>
    <x v="601"/>
    <x v="2"/>
    <x v="4"/>
    <x v="3"/>
    <n v="292"/>
    <x v="2"/>
    <n v="5.0821917808219172"/>
    <x v="1"/>
    <n v="0.30113636363636365"/>
    <s v="Viewers"/>
  </r>
  <r>
    <n v="2057"/>
    <s v="Jocelyn"/>
    <x v="413"/>
    <d v="2024-11-23T00:00:00"/>
    <n v="7.99"/>
    <n v="185"/>
    <x v="4"/>
    <n v="3"/>
    <n v="6"/>
    <b v="1"/>
    <n v="804"/>
    <n v="49"/>
    <x v="0"/>
    <x v="2"/>
    <x v="2"/>
    <x v="7"/>
    <n v="4.0999999999999996"/>
    <x v="0"/>
    <x v="0"/>
    <x v="602"/>
    <x v="0"/>
    <x v="0"/>
    <x v="2"/>
    <n v="578"/>
    <x v="0"/>
    <n v="2.2404844290657442"/>
    <x v="0"/>
    <n v="0.21688159437280188"/>
    <s v="Viewers"/>
  </r>
  <r>
    <n v="5627"/>
    <s v="Kara"/>
    <x v="414"/>
    <d v="2024-12-05T00:00:00"/>
    <n v="11.99"/>
    <n v="124"/>
    <x v="2"/>
    <n v="4"/>
    <n v="2"/>
    <b v="1"/>
    <n v="207"/>
    <n v="140"/>
    <x v="0"/>
    <x v="3"/>
    <x v="0"/>
    <x v="52"/>
    <n v="4.8"/>
    <x v="1"/>
    <x v="0"/>
    <x v="603"/>
    <x v="3"/>
    <x v="3"/>
    <x v="1"/>
    <n v="333"/>
    <x v="1"/>
    <n v="2.6066066066066069"/>
    <x v="0"/>
    <n v="0.35734870317002881"/>
    <s v="Viewers"/>
  </r>
  <r>
    <n v="4763"/>
    <s v="Dustin"/>
    <x v="415"/>
    <d v="2024-12-05T00:00:00"/>
    <n v="15.99"/>
    <n v="256"/>
    <x v="0"/>
    <n v="1"/>
    <n v="1"/>
    <b v="0"/>
    <n v="118"/>
    <n v="104"/>
    <x v="4"/>
    <x v="1"/>
    <x v="2"/>
    <x v="39"/>
    <n v="3.5"/>
    <x v="0"/>
    <x v="0"/>
    <x v="604"/>
    <x v="1"/>
    <x v="3"/>
    <x v="1"/>
    <n v="297"/>
    <x v="2"/>
    <n v="6.0336700336700337"/>
    <x v="1"/>
    <n v="1.1531531531531531"/>
    <s v="Viewers"/>
  </r>
  <r>
    <n v="4577"/>
    <s v="Kevin"/>
    <x v="338"/>
    <d v="2024-12-11T00:00:00"/>
    <n v="11.99"/>
    <n v="58"/>
    <x v="5"/>
    <n v="1"/>
    <n v="6"/>
    <b v="0"/>
    <n v="983"/>
    <n v="8"/>
    <x v="2"/>
    <x v="2"/>
    <x v="4"/>
    <x v="100"/>
    <n v="4.3"/>
    <x v="1"/>
    <x v="0"/>
    <x v="39"/>
    <x v="4"/>
    <x v="4"/>
    <x v="3"/>
    <n v="172"/>
    <x v="1"/>
    <n v="2.3604651162790695"/>
    <x v="0"/>
    <n v="5.8526740665993948E-2"/>
    <s v=" Browsers"/>
  </r>
  <r>
    <n v="5216"/>
    <s v="Tammy"/>
    <x v="416"/>
    <d v="2024-11-21T00:00:00"/>
    <n v="15.99"/>
    <n v="135"/>
    <x v="5"/>
    <n v="3"/>
    <n v="2"/>
    <b v="0"/>
    <n v="523"/>
    <n v="159"/>
    <x v="0"/>
    <x v="1"/>
    <x v="0"/>
    <x v="17"/>
    <n v="4.8"/>
    <x v="1"/>
    <x v="0"/>
    <x v="605"/>
    <x v="3"/>
    <x v="1"/>
    <x v="0"/>
    <n v="60"/>
    <x v="2"/>
    <n v="15.75"/>
    <x v="2"/>
    <n v="0.19794721407624633"/>
    <s v="Viewers"/>
  </r>
  <r>
    <n v="3941"/>
    <s v="Krista"/>
    <x v="279"/>
    <d v="2024-11-29T00:00:00"/>
    <n v="11.99"/>
    <n v="163"/>
    <x v="6"/>
    <n v="5"/>
    <n v="2"/>
    <b v="0"/>
    <n v="786"/>
    <n v="94"/>
    <x v="2"/>
    <x v="3"/>
    <x v="2"/>
    <x v="57"/>
    <n v="4.5999999999999996"/>
    <x v="1"/>
    <x v="0"/>
    <x v="606"/>
    <x v="3"/>
    <x v="1"/>
    <x v="1"/>
    <n v="74"/>
    <x v="1"/>
    <n v="15.418918918918919"/>
    <x v="2"/>
    <n v="0.18522727272727274"/>
    <s v="Viewers"/>
  </r>
  <r>
    <n v="4396"/>
    <s v="Jesse"/>
    <x v="417"/>
    <d v="2024-12-17T00:00:00"/>
    <n v="15.99"/>
    <n v="120"/>
    <x v="1"/>
    <n v="2"/>
    <n v="3"/>
    <b v="0"/>
    <n v="781"/>
    <n v="97"/>
    <x v="1"/>
    <x v="2"/>
    <x v="4"/>
    <x v="63"/>
    <n v="3.3"/>
    <x v="1"/>
    <x v="0"/>
    <x v="607"/>
    <x v="2"/>
    <x v="2"/>
    <x v="1"/>
    <n v="715"/>
    <x v="2"/>
    <n v="1.1748251748251748"/>
    <x v="0"/>
    <n v="0.1366742596810934"/>
    <s v=" Browsers"/>
  </r>
  <r>
    <n v="4865"/>
    <s v="Charles"/>
    <x v="418"/>
    <d v="2024-11-28T00:00:00"/>
    <n v="7.99"/>
    <n v="439"/>
    <x v="2"/>
    <n v="1"/>
    <n v="5"/>
    <b v="1"/>
    <n v="434"/>
    <n v="104"/>
    <x v="6"/>
    <x v="0"/>
    <x v="0"/>
    <x v="58"/>
    <n v="4.5"/>
    <x v="1"/>
    <x v="0"/>
    <x v="608"/>
    <x v="0"/>
    <x v="4"/>
    <x v="2"/>
    <n v="344"/>
    <x v="0"/>
    <n v="8.9331395348837201"/>
    <x v="1"/>
    <n v="0.81598513011152418"/>
    <s v="Viewers"/>
  </r>
  <r>
    <n v="2497"/>
    <s v="Diana"/>
    <x v="239"/>
    <d v="2024-11-30T00:00:00"/>
    <n v="7.99"/>
    <n v="223"/>
    <x v="3"/>
    <n v="1"/>
    <n v="4"/>
    <b v="0"/>
    <n v="824"/>
    <n v="125"/>
    <x v="2"/>
    <x v="2"/>
    <x v="0"/>
    <x v="2"/>
    <n v="4.5"/>
    <x v="1"/>
    <x v="0"/>
    <x v="609"/>
    <x v="2"/>
    <x v="2"/>
    <x v="1"/>
    <n v="491"/>
    <x v="0"/>
    <n v="3.179226069246436"/>
    <x v="0"/>
    <n v="0.23498419388830347"/>
    <s v="Viewers"/>
  </r>
  <r>
    <n v="4945"/>
    <s v="Alexander"/>
    <x v="350"/>
    <d v="2024-11-22T00:00:00"/>
    <n v="11.99"/>
    <n v="485"/>
    <x v="6"/>
    <n v="1"/>
    <n v="1"/>
    <b v="1"/>
    <n v="230"/>
    <n v="21"/>
    <x v="1"/>
    <x v="0"/>
    <x v="3"/>
    <x v="75"/>
    <n v="4.0999999999999996"/>
    <x v="0"/>
    <x v="0"/>
    <x v="610"/>
    <x v="0"/>
    <x v="3"/>
    <x v="3"/>
    <n v="202"/>
    <x v="1"/>
    <n v="16.806930693069308"/>
    <x v="2"/>
    <n v="1.9322709163346614"/>
    <s v="Viewers"/>
  </r>
  <r>
    <n v="5227"/>
    <s v="Eugene"/>
    <x v="419"/>
    <d v="2024-12-06T00:00:00"/>
    <n v="7.99"/>
    <n v="474"/>
    <x v="1"/>
    <n v="3"/>
    <n v="6"/>
    <b v="1"/>
    <n v="358"/>
    <n v="147"/>
    <x v="0"/>
    <x v="3"/>
    <x v="0"/>
    <x v="52"/>
    <n v="3.9"/>
    <x v="1"/>
    <x v="0"/>
    <x v="611"/>
    <x v="4"/>
    <x v="1"/>
    <x v="2"/>
    <n v="295"/>
    <x v="0"/>
    <n v="11.247457627118644"/>
    <x v="1"/>
    <n v="0.93861386138613856"/>
    <s v="Viewers"/>
  </r>
  <r>
    <n v="2150"/>
    <s v="Danielle"/>
    <x v="420"/>
    <d v="2024-12-09T00:00:00"/>
    <n v="11.99"/>
    <n v="259"/>
    <x v="4"/>
    <n v="2"/>
    <n v="1"/>
    <b v="0"/>
    <n v="380"/>
    <n v="9"/>
    <x v="0"/>
    <x v="3"/>
    <x v="2"/>
    <x v="77"/>
    <n v="3.2"/>
    <x v="0"/>
    <x v="0"/>
    <x v="612"/>
    <x v="0"/>
    <x v="4"/>
    <x v="1"/>
    <n v="241"/>
    <x v="1"/>
    <n v="7.5228215767634854"/>
    <x v="1"/>
    <n v="0.66580976863753216"/>
    <s v="Viewers"/>
  </r>
  <r>
    <n v="7145"/>
    <s v="Abigail"/>
    <x v="234"/>
    <d v="2024-11-22T00:00:00"/>
    <n v="7.99"/>
    <n v="53"/>
    <x v="1"/>
    <n v="2"/>
    <n v="1"/>
    <b v="0"/>
    <n v="647"/>
    <n v="165"/>
    <x v="0"/>
    <x v="0"/>
    <x v="3"/>
    <x v="51"/>
    <n v="4"/>
    <x v="0"/>
    <x v="0"/>
    <x v="613"/>
    <x v="4"/>
    <x v="3"/>
    <x v="0"/>
    <n v="25"/>
    <x v="0"/>
    <n v="14.84"/>
    <x v="1"/>
    <n v="6.5270935960591137E-2"/>
    <s v=" Browsers"/>
  </r>
  <r>
    <n v="2040"/>
    <s v="Hayden"/>
    <x v="421"/>
    <d v="2024-11-30T00:00:00"/>
    <n v="7.99"/>
    <n v="221"/>
    <x v="4"/>
    <n v="1"/>
    <n v="3"/>
    <b v="1"/>
    <n v="518"/>
    <n v="157"/>
    <x v="4"/>
    <x v="3"/>
    <x v="4"/>
    <x v="69"/>
    <n v="3.7"/>
    <x v="1"/>
    <x v="0"/>
    <x v="614"/>
    <x v="3"/>
    <x v="2"/>
    <x v="0"/>
    <n v="50"/>
    <x v="0"/>
    <n v="30.939999999999998"/>
    <x v="2"/>
    <n v="0.32740740740740742"/>
    <s v="Viewers"/>
  </r>
  <r>
    <n v="4191"/>
    <s v="Barbara"/>
    <x v="154"/>
    <d v="2024-12-03T00:00:00"/>
    <n v="7.99"/>
    <n v="46"/>
    <x v="4"/>
    <n v="2"/>
    <n v="4"/>
    <b v="0"/>
    <n v="33"/>
    <n v="120"/>
    <x v="5"/>
    <x v="3"/>
    <x v="0"/>
    <x v="70"/>
    <n v="3.9"/>
    <x v="1"/>
    <x v="0"/>
    <x v="615"/>
    <x v="4"/>
    <x v="0"/>
    <x v="1"/>
    <n v="594"/>
    <x v="0"/>
    <n v="0.54208754208754206"/>
    <x v="0"/>
    <n v="0.30065359477124182"/>
    <s v="Viewers"/>
  </r>
  <r>
    <n v="4336"/>
    <s v="Jennifer"/>
    <x v="2"/>
    <d v="2024-12-11T00:00:00"/>
    <n v="15.99"/>
    <n v="253"/>
    <x v="3"/>
    <n v="4"/>
    <n v="2"/>
    <b v="0"/>
    <n v="660"/>
    <n v="151"/>
    <x v="2"/>
    <x v="3"/>
    <x v="0"/>
    <x v="80"/>
    <n v="3.4"/>
    <x v="1"/>
    <x v="0"/>
    <x v="616"/>
    <x v="0"/>
    <x v="2"/>
    <x v="0"/>
    <n v="497"/>
    <x v="2"/>
    <n v="3.563380281690141"/>
    <x v="0"/>
    <n v="0.31196054254007399"/>
    <s v="Viewers"/>
  </r>
  <r>
    <n v="5438"/>
    <s v="Lindsey"/>
    <x v="422"/>
    <d v="2024-11-30T00:00:00"/>
    <n v="11.99"/>
    <n v="478"/>
    <x v="1"/>
    <n v="1"/>
    <n v="6"/>
    <b v="1"/>
    <n v="517"/>
    <n v="200"/>
    <x v="6"/>
    <x v="1"/>
    <x v="0"/>
    <x v="81"/>
    <n v="4.8"/>
    <x v="0"/>
    <x v="0"/>
    <x v="617"/>
    <x v="2"/>
    <x v="3"/>
    <x v="0"/>
    <n v="421"/>
    <x v="1"/>
    <n v="7.9477434679334911"/>
    <x v="1"/>
    <n v="0.66666666666666663"/>
    <s v="Viewers"/>
  </r>
  <r>
    <n v="9857"/>
    <s v="April"/>
    <x v="423"/>
    <d v="2024-12-02T00:00:00"/>
    <n v="7.99"/>
    <n v="145"/>
    <x v="0"/>
    <n v="2"/>
    <n v="5"/>
    <b v="0"/>
    <n v="882"/>
    <n v="23"/>
    <x v="5"/>
    <x v="3"/>
    <x v="5"/>
    <x v="37"/>
    <n v="5"/>
    <x v="1"/>
    <x v="0"/>
    <x v="618"/>
    <x v="2"/>
    <x v="3"/>
    <x v="2"/>
    <n v="433"/>
    <x v="0"/>
    <n v="2.3441108545034641"/>
    <x v="0"/>
    <n v="0.16022099447513813"/>
    <s v="Viewers"/>
  </r>
  <r>
    <n v="4767"/>
    <s v="Charles"/>
    <x v="56"/>
    <d v="2024-11-24T00:00:00"/>
    <n v="15.99"/>
    <n v="366"/>
    <x v="3"/>
    <n v="1"/>
    <n v="3"/>
    <b v="1"/>
    <n v="349"/>
    <n v="50"/>
    <x v="4"/>
    <x v="3"/>
    <x v="5"/>
    <x v="68"/>
    <n v="5"/>
    <x v="1"/>
    <x v="0"/>
    <x v="619"/>
    <x v="0"/>
    <x v="1"/>
    <x v="0"/>
    <n v="341"/>
    <x v="2"/>
    <n v="7.513196480938416"/>
    <x v="1"/>
    <n v="0.91729323308270672"/>
    <s v="Viewers"/>
  </r>
  <r>
    <n v="9374"/>
    <s v="John"/>
    <x v="129"/>
    <d v="2024-12-17T00:00:00"/>
    <n v="15.99"/>
    <n v="301"/>
    <x v="0"/>
    <n v="4"/>
    <n v="6"/>
    <b v="0"/>
    <n v="619"/>
    <n v="172"/>
    <x v="0"/>
    <x v="1"/>
    <x v="4"/>
    <x v="86"/>
    <n v="4.2"/>
    <x v="1"/>
    <x v="0"/>
    <x v="620"/>
    <x v="4"/>
    <x v="3"/>
    <x v="1"/>
    <n v="16"/>
    <x v="2"/>
    <n v="131.6875"/>
    <x v="2"/>
    <n v="0.38053097345132741"/>
    <s v="Viewers"/>
  </r>
  <r>
    <n v="3918"/>
    <s v="Jennifer"/>
    <x v="153"/>
    <d v="2024-11-28T00:00:00"/>
    <n v="7.99"/>
    <n v="26"/>
    <x v="0"/>
    <n v="4"/>
    <n v="5"/>
    <b v="0"/>
    <n v="416"/>
    <n v="146"/>
    <x v="2"/>
    <x v="1"/>
    <x v="2"/>
    <x v="81"/>
    <n v="3.5"/>
    <x v="1"/>
    <x v="0"/>
    <x v="621"/>
    <x v="2"/>
    <x v="0"/>
    <x v="1"/>
    <n v="408"/>
    <x v="0"/>
    <n v="0.44607843137254904"/>
    <x v="0"/>
    <n v="4.6263345195729534E-2"/>
    <s v=" Browsers"/>
  </r>
  <r>
    <n v="9866"/>
    <s v="Matthew"/>
    <x v="380"/>
    <d v="2024-12-17T00:00:00"/>
    <n v="11.99"/>
    <n v="208"/>
    <x v="1"/>
    <n v="1"/>
    <n v="1"/>
    <b v="0"/>
    <n v="466"/>
    <n v="174"/>
    <x v="0"/>
    <x v="2"/>
    <x v="4"/>
    <x v="82"/>
    <n v="4"/>
    <x v="1"/>
    <x v="0"/>
    <x v="622"/>
    <x v="0"/>
    <x v="0"/>
    <x v="1"/>
    <n v="158"/>
    <x v="1"/>
    <n v="9.2151898734177209"/>
    <x v="1"/>
    <n v="0.32500000000000001"/>
    <s v="Viewers"/>
  </r>
  <r>
    <n v="6389"/>
    <s v="Brittney"/>
    <x v="424"/>
    <d v="2024-12-18T00:00:00"/>
    <n v="11.99"/>
    <n v="109"/>
    <x v="3"/>
    <n v="2"/>
    <n v="3"/>
    <b v="0"/>
    <n v="701"/>
    <n v="4"/>
    <x v="1"/>
    <x v="0"/>
    <x v="0"/>
    <x v="61"/>
    <n v="3.5"/>
    <x v="0"/>
    <x v="0"/>
    <x v="623"/>
    <x v="3"/>
    <x v="0"/>
    <x v="3"/>
    <n v="726"/>
    <x v="1"/>
    <n v="1.0509641873278237"/>
    <x v="0"/>
    <n v="0.15460992907801419"/>
    <s v="Viewers"/>
  </r>
  <r>
    <n v="8733"/>
    <s v="Steven"/>
    <x v="345"/>
    <d v="2024-12-16T00:00:00"/>
    <n v="15.99"/>
    <n v="451"/>
    <x v="4"/>
    <n v="4"/>
    <n v="4"/>
    <b v="1"/>
    <n v="742"/>
    <n v="140"/>
    <x v="4"/>
    <x v="1"/>
    <x v="4"/>
    <x v="86"/>
    <n v="4.0999999999999996"/>
    <x v="1"/>
    <x v="0"/>
    <x v="624"/>
    <x v="2"/>
    <x v="0"/>
    <x v="3"/>
    <n v="193"/>
    <x v="2"/>
    <n v="16.357512953367873"/>
    <x v="2"/>
    <n v="0.5113378684807256"/>
    <s v="Viewers"/>
  </r>
  <r>
    <n v="8105"/>
    <s v="Mary"/>
    <x v="425"/>
    <d v="2024-11-26T00:00:00"/>
    <n v="15.99"/>
    <n v="33"/>
    <x v="1"/>
    <n v="4"/>
    <n v="5"/>
    <b v="1"/>
    <n v="228"/>
    <n v="42"/>
    <x v="3"/>
    <x v="2"/>
    <x v="0"/>
    <x v="68"/>
    <n v="4"/>
    <x v="1"/>
    <x v="0"/>
    <x v="625"/>
    <x v="0"/>
    <x v="0"/>
    <x v="0"/>
    <n v="430"/>
    <x v="2"/>
    <n v="0.53720930232558139"/>
    <x v="0"/>
    <n v="0.12222222222222222"/>
    <s v=" Browsers"/>
  </r>
  <r>
    <n v="3443"/>
    <s v="Kevin"/>
    <x v="426"/>
    <d v="2024-12-05T00:00:00"/>
    <n v="15.99"/>
    <n v="467"/>
    <x v="3"/>
    <n v="4"/>
    <n v="2"/>
    <b v="0"/>
    <n v="18"/>
    <n v="34"/>
    <x v="4"/>
    <x v="3"/>
    <x v="5"/>
    <x v="90"/>
    <n v="4.0999999999999996"/>
    <x v="1"/>
    <x v="0"/>
    <x v="626"/>
    <x v="0"/>
    <x v="2"/>
    <x v="3"/>
    <n v="279"/>
    <x v="2"/>
    <n v="11.716845878136201"/>
    <x v="1"/>
    <n v="8.9807692307692299"/>
    <s v="Viewers"/>
  </r>
  <r>
    <n v="2664"/>
    <s v="Charles"/>
    <x v="223"/>
    <d v="2024-11-27T00:00:00"/>
    <n v="7.99"/>
    <n v="123"/>
    <x v="5"/>
    <n v="2"/>
    <n v="3"/>
    <b v="1"/>
    <n v="826"/>
    <n v="79"/>
    <x v="5"/>
    <x v="2"/>
    <x v="1"/>
    <x v="91"/>
    <n v="3.5"/>
    <x v="0"/>
    <x v="0"/>
    <x v="627"/>
    <x v="1"/>
    <x v="2"/>
    <x v="1"/>
    <n v="409"/>
    <x v="0"/>
    <n v="2.1051344743276283"/>
    <x v="0"/>
    <n v="0.13591160220994475"/>
    <s v=" Browsers"/>
  </r>
  <r>
    <n v="1782"/>
    <s v="Carla"/>
    <x v="427"/>
    <d v="2024-11-29T00:00:00"/>
    <n v="15.99"/>
    <n v="139"/>
    <x v="6"/>
    <n v="1"/>
    <n v="4"/>
    <b v="1"/>
    <n v="357"/>
    <n v="44"/>
    <x v="3"/>
    <x v="1"/>
    <x v="3"/>
    <x v="79"/>
    <n v="4.0999999999999996"/>
    <x v="0"/>
    <x v="0"/>
    <x v="628"/>
    <x v="1"/>
    <x v="3"/>
    <x v="1"/>
    <n v="578"/>
    <x v="2"/>
    <n v="1.6833910034602078"/>
    <x v="0"/>
    <n v="0.34663341645885287"/>
    <s v="Viewers"/>
  </r>
  <r>
    <n v="1337"/>
    <s v="Shane"/>
    <x v="336"/>
    <d v="2024-12-16T00:00:00"/>
    <n v="7.99"/>
    <n v="103"/>
    <x v="6"/>
    <n v="2"/>
    <n v="1"/>
    <b v="0"/>
    <n v="474"/>
    <n v="2"/>
    <x v="5"/>
    <x v="0"/>
    <x v="1"/>
    <x v="97"/>
    <n v="3.5"/>
    <x v="0"/>
    <x v="0"/>
    <x v="629"/>
    <x v="2"/>
    <x v="2"/>
    <x v="3"/>
    <n v="606"/>
    <x v="0"/>
    <n v="1.1897689768976898"/>
    <x v="0"/>
    <n v="0.21638655462184875"/>
    <s v="Viewers"/>
  </r>
  <r>
    <n v="5901"/>
    <s v="Robert"/>
    <x v="428"/>
    <d v="2024-12-18T00:00:00"/>
    <n v="7.99"/>
    <n v="207"/>
    <x v="4"/>
    <n v="5"/>
    <n v="5"/>
    <b v="1"/>
    <n v="946"/>
    <n v="166"/>
    <x v="6"/>
    <x v="3"/>
    <x v="0"/>
    <x v="41"/>
    <n v="4.5999999999999996"/>
    <x v="0"/>
    <x v="0"/>
    <x v="630"/>
    <x v="4"/>
    <x v="4"/>
    <x v="1"/>
    <n v="622"/>
    <x v="0"/>
    <n v="2.3295819935691315"/>
    <x v="0"/>
    <n v="0.18615107913669066"/>
    <s v="Viewers"/>
  </r>
  <r>
    <n v="2731"/>
    <s v="Brooke"/>
    <x v="429"/>
    <d v="2024-12-13T00:00:00"/>
    <n v="15.99"/>
    <n v="267"/>
    <x v="6"/>
    <n v="5"/>
    <n v="5"/>
    <b v="1"/>
    <n v="890"/>
    <n v="187"/>
    <x v="2"/>
    <x v="0"/>
    <x v="5"/>
    <x v="25"/>
    <n v="3"/>
    <x v="1"/>
    <x v="0"/>
    <x v="631"/>
    <x v="3"/>
    <x v="3"/>
    <x v="2"/>
    <n v="185"/>
    <x v="2"/>
    <n v="10.102702702702704"/>
    <x v="1"/>
    <n v="0.24791086350974931"/>
    <s v="Viewers"/>
  </r>
  <r>
    <n v="8307"/>
    <s v="Carmen"/>
    <x v="205"/>
    <d v="2024-12-06T00:00:00"/>
    <n v="7.99"/>
    <n v="266"/>
    <x v="4"/>
    <n v="5"/>
    <n v="3"/>
    <b v="1"/>
    <n v="583"/>
    <n v="131"/>
    <x v="1"/>
    <x v="1"/>
    <x v="2"/>
    <x v="13"/>
    <n v="4"/>
    <x v="0"/>
    <x v="0"/>
    <x v="632"/>
    <x v="4"/>
    <x v="0"/>
    <x v="2"/>
    <n v="337"/>
    <x v="0"/>
    <n v="5.525222551928783"/>
    <x v="1"/>
    <n v="0.37254901960784315"/>
    <s v="Viewers"/>
  </r>
  <r>
    <n v="8019"/>
    <s v="Stefanie"/>
    <x v="65"/>
    <d v="2024-11-19T00:00:00"/>
    <n v="11.99"/>
    <n v="240"/>
    <x v="5"/>
    <n v="4"/>
    <n v="1"/>
    <b v="0"/>
    <n v="304"/>
    <n v="25"/>
    <x v="1"/>
    <x v="0"/>
    <x v="1"/>
    <x v="29"/>
    <n v="4.5999999999999996"/>
    <x v="0"/>
    <x v="0"/>
    <x v="633"/>
    <x v="2"/>
    <x v="2"/>
    <x v="1"/>
    <n v="639"/>
    <x v="1"/>
    <n v="2.629107981220657"/>
    <x v="0"/>
    <n v="0.72948328267477203"/>
    <s v="Viewers"/>
  </r>
  <r>
    <n v="4847"/>
    <s v="Melissa"/>
    <x v="430"/>
    <d v="2024-12-01T00:00:00"/>
    <n v="15.99"/>
    <n v="315"/>
    <x v="4"/>
    <n v="1"/>
    <n v="6"/>
    <b v="0"/>
    <n v="205"/>
    <n v="92"/>
    <x v="3"/>
    <x v="0"/>
    <x v="4"/>
    <x v="79"/>
    <n v="3.5"/>
    <x v="0"/>
    <x v="0"/>
    <x v="634"/>
    <x v="4"/>
    <x v="4"/>
    <x v="0"/>
    <n v="1"/>
    <x v="2"/>
    <n v="2205"/>
    <x v="2"/>
    <n v="1.0606060606060606"/>
    <s v="Viewers"/>
  </r>
  <r>
    <n v="9822"/>
    <s v="Justin"/>
    <x v="391"/>
    <d v="2024-12-13T00:00:00"/>
    <n v="7.99"/>
    <n v="276"/>
    <x v="5"/>
    <n v="4"/>
    <n v="1"/>
    <b v="1"/>
    <n v="348"/>
    <n v="13"/>
    <x v="3"/>
    <x v="3"/>
    <x v="1"/>
    <x v="91"/>
    <n v="4.7"/>
    <x v="0"/>
    <x v="0"/>
    <x v="635"/>
    <x v="2"/>
    <x v="4"/>
    <x v="3"/>
    <n v="539"/>
    <x v="0"/>
    <n v="3.5844155844155843"/>
    <x v="0"/>
    <n v="0.76454293628808867"/>
    <s v="Viewers"/>
  </r>
  <r>
    <n v="9141"/>
    <s v="Jeffery"/>
    <x v="431"/>
    <d v="2024-11-25T00:00:00"/>
    <n v="7.99"/>
    <n v="308"/>
    <x v="1"/>
    <n v="1"/>
    <n v="5"/>
    <b v="0"/>
    <n v="107"/>
    <n v="87"/>
    <x v="1"/>
    <x v="3"/>
    <x v="5"/>
    <x v="71"/>
    <n v="3.4"/>
    <x v="0"/>
    <x v="0"/>
    <x v="336"/>
    <x v="1"/>
    <x v="2"/>
    <x v="0"/>
    <n v="392"/>
    <x v="0"/>
    <n v="5.5"/>
    <x v="1"/>
    <n v="1.5876288659793814"/>
    <s v="Viewers"/>
  </r>
  <r>
    <n v="7539"/>
    <s v="Kara"/>
    <x v="46"/>
    <d v="2024-12-08T00:00:00"/>
    <n v="7.99"/>
    <n v="297"/>
    <x v="4"/>
    <n v="1"/>
    <n v="6"/>
    <b v="1"/>
    <n v="959"/>
    <n v="71"/>
    <x v="5"/>
    <x v="3"/>
    <x v="5"/>
    <x v="45"/>
    <n v="3.3"/>
    <x v="1"/>
    <x v="0"/>
    <x v="636"/>
    <x v="4"/>
    <x v="1"/>
    <x v="3"/>
    <n v="464"/>
    <x v="0"/>
    <n v="4.4806034482758621"/>
    <x v="0"/>
    <n v="0.28834951456310681"/>
    <s v="Viewers"/>
  </r>
  <r>
    <n v="1390"/>
    <s v="Xavier"/>
    <x v="237"/>
    <d v="2024-11-29T00:00:00"/>
    <n v="11.99"/>
    <n v="326"/>
    <x v="4"/>
    <n v="4"/>
    <n v="1"/>
    <b v="0"/>
    <n v="439"/>
    <n v="88"/>
    <x v="6"/>
    <x v="1"/>
    <x v="4"/>
    <x v="20"/>
    <n v="3.3"/>
    <x v="1"/>
    <x v="0"/>
    <x v="637"/>
    <x v="2"/>
    <x v="1"/>
    <x v="3"/>
    <n v="124"/>
    <x v="1"/>
    <n v="18.403225806451612"/>
    <x v="2"/>
    <n v="0.61859582542694502"/>
    <s v="Viewers"/>
  </r>
  <r>
    <n v="9505"/>
    <s v="Paul"/>
    <x v="411"/>
    <d v="2024-12-04T00:00:00"/>
    <n v="15.99"/>
    <n v="352"/>
    <x v="5"/>
    <n v="4"/>
    <n v="6"/>
    <b v="0"/>
    <n v="757"/>
    <n v="13"/>
    <x v="6"/>
    <x v="1"/>
    <x v="0"/>
    <x v="79"/>
    <n v="4.3"/>
    <x v="1"/>
    <x v="0"/>
    <x v="638"/>
    <x v="4"/>
    <x v="0"/>
    <x v="3"/>
    <n v="161"/>
    <x v="2"/>
    <n v="15.304347826086957"/>
    <x v="2"/>
    <n v="0.45714285714285713"/>
    <s v="Viewers"/>
  </r>
  <r>
    <n v="6741"/>
    <s v="Jacob"/>
    <x v="89"/>
    <d v="2024-11-20T00:00:00"/>
    <n v="7.99"/>
    <n v="180"/>
    <x v="2"/>
    <n v="5"/>
    <n v="2"/>
    <b v="1"/>
    <n v="647"/>
    <n v="2"/>
    <x v="1"/>
    <x v="3"/>
    <x v="5"/>
    <x v="87"/>
    <n v="3.5"/>
    <x v="0"/>
    <x v="0"/>
    <x v="639"/>
    <x v="0"/>
    <x v="4"/>
    <x v="3"/>
    <n v="389"/>
    <x v="0"/>
    <n v="3.2390745501285347"/>
    <x v="0"/>
    <n v="0.27734976887519258"/>
    <s v="Viewers"/>
  </r>
  <r>
    <n v="1790"/>
    <s v="Kelly"/>
    <x v="432"/>
    <d v="2024-12-01T00:00:00"/>
    <n v="11.99"/>
    <n v="362"/>
    <x v="2"/>
    <n v="2"/>
    <n v="2"/>
    <b v="0"/>
    <n v="535"/>
    <n v="200"/>
    <x v="5"/>
    <x v="1"/>
    <x v="0"/>
    <x v="22"/>
    <n v="4.9000000000000004"/>
    <x v="1"/>
    <x v="0"/>
    <x v="640"/>
    <x v="4"/>
    <x v="2"/>
    <x v="0"/>
    <n v="265"/>
    <x v="1"/>
    <n v="9.5622641509433972"/>
    <x v="1"/>
    <n v="0.49251700680272109"/>
    <s v="Viewers"/>
  </r>
  <r>
    <n v="6491"/>
    <s v="Anita"/>
    <x v="333"/>
    <d v="2024-11-28T00:00:00"/>
    <n v="7.99"/>
    <n v="154"/>
    <x v="0"/>
    <n v="5"/>
    <n v="4"/>
    <b v="1"/>
    <n v="340"/>
    <n v="53"/>
    <x v="5"/>
    <x v="2"/>
    <x v="4"/>
    <x v="97"/>
    <n v="4.4000000000000004"/>
    <x v="0"/>
    <x v="0"/>
    <x v="641"/>
    <x v="1"/>
    <x v="4"/>
    <x v="0"/>
    <n v="683"/>
    <x v="0"/>
    <n v="1.5783308931185944"/>
    <x v="0"/>
    <n v="0.39185750636132316"/>
    <s v="Viewers"/>
  </r>
  <r>
    <n v="3102"/>
    <s v="Carolyn"/>
    <x v="433"/>
    <d v="2024-11-27T00:00:00"/>
    <n v="7.99"/>
    <n v="287"/>
    <x v="1"/>
    <n v="1"/>
    <n v="2"/>
    <b v="0"/>
    <n v="670"/>
    <n v="147"/>
    <x v="0"/>
    <x v="1"/>
    <x v="0"/>
    <x v="19"/>
    <n v="4.3"/>
    <x v="1"/>
    <x v="0"/>
    <x v="642"/>
    <x v="0"/>
    <x v="2"/>
    <x v="1"/>
    <n v="85"/>
    <x v="0"/>
    <n v="23.63529411764706"/>
    <x v="2"/>
    <n v="0.35128518971848227"/>
    <s v="Viewers"/>
  </r>
  <r>
    <n v="1300"/>
    <s v="Nicolas"/>
    <x v="434"/>
    <d v="2024-12-16T00:00:00"/>
    <n v="11.99"/>
    <n v="303"/>
    <x v="6"/>
    <n v="3"/>
    <n v="6"/>
    <b v="1"/>
    <n v="780"/>
    <n v="128"/>
    <x v="6"/>
    <x v="1"/>
    <x v="4"/>
    <x v="32"/>
    <n v="4.5999999999999996"/>
    <x v="1"/>
    <x v="0"/>
    <x v="643"/>
    <x v="1"/>
    <x v="0"/>
    <x v="2"/>
    <n v="538"/>
    <x v="1"/>
    <n v="3.9423791821561336"/>
    <x v="0"/>
    <n v="0.33370044052863435"/>
    <s v="Viewers"/>
  </r>
  <r>
    <n v="5410"/>
    <s v="Hector"/>
    <x v="164"/>
    <d v="2024-12-01T00:00:00"/>
    <n v="15.99"/>
    <n v="447"/>
    <x v="4"/>
    <n v="1"/>
    <n v="5"/>
    <b v="0"/>
    <n v="615"/>
    <n v="132"/>
    <x v="4"/>
    <x v="3"/>
    <x v="2"/>
    <x v="51"/>
    <n v="3.9"/>
    <x v="0"/>
    <x v="0"/>
    <x v="644"/>
    <x v="3"/>
    <x v="3"/>
    <x v="2"/>
    <n v="514"/>
    <x v="2"/>
    <n v="6.0875486381322954"/>
    <x v="1"/>
    <n v="0.59839357429718876"/>
    <s v="Viewers"/>
  </r>
  <r>
    <n v="2714"/>
    <s v="Jack"/>
    <x v="435"/>
    <d v="2024-12-09T00:00:00"/>
    <n v="11.99"/>
    <n v="480"/>
    <x v="2"/>
    <n v="4"/>
    <n v="6"/>
    <b v="1"/>
    <n v="277"/>
    <n v="25"/>
    <x v="5"/>
    <x v="2"/>
    <x v="5"/>
    <x v="81"/>
    <n v="4.8"/>
    <x v="0"/>
    <x v="0"/>
    <x v="645"/>
    <x v="4"/>
    <x v="0"/>
    <x v="3"/>
    <n v="11"/>
    <x v="1"/>
    <n v="305.45454545454544"/>
    <x v="2"/>
    <n v="1.5894039735099337"/>
    <s v="Viewers"/>
  </r>
  <r>
    <n v="4700"/>
    <s v="David"/>
    <x v="159"/>
    <d v="2024-12-04T00:00:00"/>
    <n v="7.99"/>
    <n v="438"/>
    <x v="0"/>
    <n v="4"/>
    <n v="4"/>
    <b v="1"/>
    <n v="546"/>
    <n v="88"/>
    <x v="2"/>
    <x v="3"/>
    <x v="5"/>
    <x v="58"/>
    <n v="3.5"/>
    <x v="0"/>
    <x v="0"/>
    <x v="646"/>
    <x v="3"/>
    <x v="4"/>
    <x v="3"/>
    <n v="18"/>
    <x v="0"/>
    <n v="170.33333333333331"/>
    <x v="2"/>
    <n v="0.69085173501577291"/>
    <s v="Viewers"/>
  </r>
  <r>
    <n v="7589"/>
    <s v="Amanda"/>
    <x v="436"/>
    <d v="2024-12-02T00:00:00"/>
    <n v="15.99"/>
    <n v="295"/>
    <x v="4"/>
    <n v="2"/>
    <n v="5"/>
    <b v="0"/>
    <n v="514"/>
    <n v="102"/>
    <x v="5"/>
    <x v="0"/>
    <x v="1"/>
    <x v="20"/>
    <n v="4.8"/>
    <x v="0"/>
    <x v="0"/>
    <x v="565"/>
    <x v="0"/>
    <x v="3"/>
    <x v="3"/>
    <n v="483"/>
    <x v="2"/>
    <n v="4.27536231884058"/>
    <x v="0"/>
    <n v="0.47889610389610388"/>
    <s v="Viewers"/>
  </r>
  <r>
    <n v="6866"/>
    <s v="Kim"/>
    <x v="15"/>
    <d v="2024-11-24T00:00:00"/>
    <n v="11.99"/>
    <n v="479"/>
    <x v="4"/>
    <n v="1"/>
    <n v="3"/>
    <b v="1"/>
    <n v="952"/>
    <n v="48"/>
    <x v="0"/>
    <x v="2"/>
    <x v="4"/>
    <x v="84"/>
    <n v="4.5999999999999996"/>
    <x v="1"/>
    <x v="0"/>
    <x v="647"/>
    <x v="1"/>
    <x v="4"/>
    <x v="1"/>
    <n v="190"/>
    <x v="1"/>
    <n v="17.647368421052633"/>
    <x v="2"/>
    <n v="0.47899999999999998"/>
    <s v="Viewers"/>
  </r>
  <r>
    <n v="6960"/>
    <s v="Julian"/>
    <x v="195"/>
    <d v="2024-11-26T00:00:00"/>
    <n v="15.99"/>
    <n v="214"/>
    <x v="3"/>
    <n v="5"/>
    <n v="6"/>
    <b v="1"/>
    <n v="780"/>
    <n v="16"/>
    <x v="6"/>
    <x v="0"/>
    <x v="5"/>
    <x v="6"/>
    <n v="3.3"/>
    <x v="1"/>
    <x v="0"/>
    <x v="648"/>
    <x v="2"/>
    <x v="4"/>
    <x v="1"/>
    <n v="380"/>
    <x v="2"/>
    <n v="3.9421052631578948"/>
    <x v="0"/>
    <n v="0.26884422110552764"/>
    <s v="Viewers"/>
  </r>
  <r>
    <n v="5808"/>
    <s v="Jasmine"/>
    <x v="358"/>
    <d v="2024-11-19T00:00:00"/>
    <n v="15.99"/>
    <n v="69"/>
    <x v="0"/>
    <n v="4"/>
    <n v="5"/>
    <b v="0"/>
    <n v="976"/>
    <n v="105"/>
    <x v="0"/>
    <x v="3"/>
    <x v="2"/>
    <x v="16"/>
    <n v="4.7"/>
    <x v="1"/>
    <x v="0"/>
    <x v="649"/>
    <x v="4"/>
    <x v="3"/>
    <x v="1"/>
    <n v="242"/>
    <x v="2"/>
    <n v="1.9958677685950414"/>
    <x v="0"/>
    <n v="6.3829787234042548E-2"/>
    <s v=" Browsers"/>
  </r>
  <r>
    <n v="5525"/>
    <s v="John"/>
    <x v="437"/>
    <d v="2024-12-06T00:00:00"/>
    <n v="15.99"/>
    <n v="344"/>
    <x v="0"/>
    <n v="5"/>
    <n v="2"/>
    <b v="0"/>
    <n v="91"/>
    <n v="137"/>
    <x v="5"/>
    <x v="3"/>
    <x v="1"/>
    <x v="86"/>
    <n v="3.4"/>
    <x v="1"/>
    <x v="0"/>
    <x v="650"/>
    <x v="2"/>
    <x v="0"/>
    <x v="0"/>
    <n v="428"/>
    <x v="2"/>
    <n v="5.6261682242990654"/>
    <x v="1"/>
    <n v="1.5087719298245614"/>
    <s v="Viewers"/>
  </r>
  <r>
    <n v="1272"/>
    <s v="Christopher"/>
    <x v="165"/>
    <d v="2024-11-20T00:00:00"/>
    <n v="15.99"/>
    <n v="163"/>
    <x v="5"/>
    <n v="5"/>
    <n v="1"/>
    <b v="0"/>
    <n v="683"/>
    <n v="108"/>
    <x v="2"/>
    <x v="3"/>
    <x v="2"/>
    <x v="95"/>
    <n v="4.2"/>
    <x v="0"/>
    <x v="0"/>
    <x v="651"/>
    <x v="0"/>
    <x v="4"/>
    <x v="1"/>
    <n v="126"/>
    <x v="2"/>
    <n v="9.0555555555555554"/>
    <x v="1"/>
    <n v="0.20606826801517067"/>
    <s v="Viewers"/>
  </r>
  <r>
    <n v="8063"/>
    <s v="Joseph"/>
    <x v="434"/>
    <d v="2024-12-12T00:00:00"/>
    <n v="7.99"/>
    <n v="217"/>
    <x v="5"/>
    <n v="1"/>
    <n v="6"/>
    <b v="0"/>
    <n v="53"/>
    <n v="153"/>
    <x v="1"/>
    <x v="0"/>
    <x v="3"/>
    <x v="99"/>
    <n v="3.1"/>
    <x v="1"/>
    <x v="0"/>
    <x v="652"/>
    <x v="3"/>
    <x v="4"/>
    <x v="1"/>
    <n v="534"/>
    <x v="0"/>
    <n v="2.8445692883895131"/>
    <x v="0"/>
    <n v="1.0533980582524272"/>
    <s v="Viewers"/>
  </r>
  <r>
    <n v="1856"/>
    <s v="Jason"/>
    <x v="425"/>
    <d v="2024-12-11T00:00:00"/>
    <n v="15.99"/>
    <n v="177"/>
    <x v="4"/>
    <n v="3"/>
    <n v="2"/>
    <b v="1"/>
    <n v="246"/>
    <n v="182"/>
    <x v="5"/>
    <x v="1"/>
    <x v="3"/>
    <x v="83"/>
    <n v="3.1"/>
    <x v="0"/>
    <x v="0"/>
    <x v="230"/>
    <x v="4"/>
    <x v="2"/>
    <x v="3"/>
    <n v="445"/>
    <x v="2"/>
    <n v="2.7842696629213486"/>
    <x v="0"/>
    <n v="0.4135514018691589"/>
    <s v="Viewers"/>
  </r>
  <r>
    <n v="2830"/>
    <s v="Erica"/>
    <x v="124"/>
    <d v="2024-12-08T00:00:00"/>
    <n v="11.99"/>
    <n v="304"/>
    <x v="5"/>
    <n v="1"/>
    <n v="1"/>
    <b v="1"/>
    <n v="389"/>
    <n v="137"/>
    <x v="3"/>
    <x v="3"/>
    <x v="5"/>
    <x v="99"/>
    <n v="4.8"/>
    <x v="1"/>
    <x v="0"/>
    <x v="653"/>
    <x v="1"/>
    <x v="4"/>
    <x v="2"/>
    <n v="585"/>
    <x v="1"/>
    <n v="3.6376068376068376"/>
    <x v="0"/>
    <n v="0.57794676806083645"/>
    <s v="Viewers"/>
  </r>
  <r>
    <n v="3287"/>
    <s v="Travis"/>
    <x v="418"/>
    <d v="2024-11-21T00:00:00"/>
    <n v="15.99"/>
    <n v="90"/>
    <x v="4"/>
    <n v="3"/>
    <n v="2"/>
    <b v="0"/>
    <n v="399"/>
    <n v="9"/>
    <x v="6"/>
    <x v="0"/>
    <x v="2"/>
    <x v="59"/>
    <n v="4.4000000000000004"/>
    <x v="1"/>
    <x v="0"/>
    <x v="654"/>
    <x v="0"/>
    <x v="4"/>
    <x v="3"/>
    <n v="337"/>
    <x v="2"/>
    <n v="1.8694362017804154"/>
    <x v="0"/>
    <n v="0.22058823529411764"/>
    <s v="Viewers"/>
  </r>
  <r>
    <n v="5679"/>
    <s v="Karen"/>
    <x v="340"/>
    <d v="2024-12-06T00:00:00"/>
    <n v="15.99"/>
    <n v="108"/>
    <x v="0"/>
    <n v="4"/>
    <n v="2"/>
    <b v="0"/>
    <n v="694"/>
    <n v="199"/>
    <x v="2"/>
    <x v="3"/>
    <x v="2"/>
    <x v="74"/>
    <n v="5"/>
    <x v="0"/>
    <x v="0"/>
    <x v="655"/>
    <x v="3"/>
    <x v="3"/>
    <x v="3"/>
    <n v="402"/>
    <x v="2"/>
    <n v="1.880597014925373"/>
    <x v="0"/>
    <n v="0.12094064949608063"/>
    <s v=" Browsers"/>
  </r>
  <r>
    <n v="6399"/>
    <s v="Michael"/>
    <x v="201"/>
    <d v="2024-12-05T00:00:00"/>
    <n v="11.99"/>
    <n v="96"/>
    <x v="3"/>
    <n v="3"/>
    <n v="2"/>
    <b v="0"/>
    <n v="434"/>
    <n v="11"/>
    <x v="0"/>
    <x v="2"/>
    <x v="5"/>
    <x v="54"/>
    <n v="4.5999999999999996"/>
    <x v="0"/>
    <x v="0"/>
    <x v="656"/>
    <x v="3"/>
    <x v="2"/>
    <x v="3"/>
    <n v="704"/>
    <x v="1"/>
    <n v="0.95454545454545459"/>
    <x v="0"/>
    <n v="0.21573033707865169"/>
    <s v="Viewers"/>
  </r>
  <r>
    <n v="8753"/>
    <s v="Daniel"/>
    <x v="438"/>
    <d v="2024-11-30T00:00:00"/>
    <n v="11.99"/>
    <n v="247"/>
    <x v="0"/>
    <n v="2"/>
    <n v="3"/>
    <b v="0"/>
    <n v="696"/>
    <n v="28"/>
    <x v="5"/>
    <x v="1"/>
    <x v="5"/>
    <x v="37"/>
    <n v="4.8"/>
    <x v="0"/>
    <x v="0"/>
    <x v="657"/>
    <x v="0"/>
    <x v="4"/>
    <x v="0"/>
    <n v="287"/>
    <x v="1"/>
    <n v="6.024390243902439"/>
    <x v="1"/>
    <n v="0.34116022099447513"/>
    <s v="Viewers"/>
  </r>
  <r>
    <n v="9267"/>
    <s v="Paul"/>
    <x v="439"/>
    <d v="2024-11-24T00:00:00"/>
    <n v="15.99"/>
    <n v="245"/>
    <x v="6"/>
    <n v="3"/>
    <n v="5"/>
    <b v="1"/>
    <n v="862"/>
    <n v="129"/>
    <x v="3"/>
    <x v="1"/>
    <x v="2"/>
    <x v="65"/>
    <n v="3.7"/>
    <x v="1"/>
    <x v="0"/>
    <x v="658"/>
    <x v="4"/>
    <x v="1"/>
    <x v="1"/>
    <n v="201"/>
    <x v="2"/>
    <n v="8.532338308457712"/>
    <x v="1"/>
    <n v="0.2472250252270434"/>
    <s v="Viewers"/>
  </r>
  <r>
    <n v="9846"/>
    <s v="Megan"/>
    <x v="440"/>
    <d v="2024-12-13T00:00:00"/>
    <n v="7.99"/>
    <n v="366"/>
    <x v="1"/>
    <n v="4"/>
    <n v="5"/>
    <b v="0"/>
    <n v="631"/>
    <n v="56"/>
    <x v="6"/>
    <x v="0"/>
    <x v="3"/>
    <x v="93"/>
    <n v="4.0999999999999996"/>
    <x v="0"/>
    <x v="0"/>
    <x v="659"/>
    <x v="1"/>
    <x v="0"/>
    <x v="0"/>
    <n v="669"/>
    <x v="0"/>
    <n v="3.8295964125560538"/>
    <x v="0"/>
    <n v="0.53275109170305679"/>
    <s v="Viewers"/>
  </r>
  <r>
    <n v="2382"/>
    <s v="Todd"/>
    <x v="441"/>
    <d v="2024-12-09T00:00:00"/>
    <n v="15.99"/>
    <n v="170"/>
    <x v="2"/>
    <n v="1"/>
    <n v="3"/>
    <b v="0"/>
    <n v="144"/>
    <n v="142"/>
    <x v="3"/>
    <x v="3"/>
    <x v="0"/>
    <x v="74"/>
    <n v="4.7"/>
    <x v="1"/>
    <x v="0"/>
    <x v="660"/>
    <x v="3"/>
    <x v="1"/>
    <x v="3"/>
    <n v="182"/>
    <x v="2"/>
    <n v="6.5384615384615383"/>
    <x v="1"/>
    <n v="0.59440559440559437"/>
    <s v="Viewers"/>
  </r>
  <r>
    <n v="3593"/>
    <s v="Emma"/>
    <x v="442"/>
    <d v="2024-11-24T00:00:00"/>
    <n v="7.99"/>
    <n v="447"/>
    <x v="3"/>
    <n v="3"/>
    <n v="1"/>
    <b v="1"/>
    <n v="466"/>
    <n v="198"/>
    <x v="3"/>
    <x v="3"/>
    <x v="0"/>
    <x v="20"/>
    <n v="4.5"/>
    <x v="0"/>
    <x v="0"/>
    <x v="661"/>
    <x v="3"/>
    <x v="0"/>
    <x v="0"/>
    <n v="435"/>
    <x v="0"/>
    <n v="7.1931034482758616"/>
    <x v="1"/>
    <n v="0.67319277108433739"/>
    <s v="Viewers"/>
  </r>
  <r>
    <n v="4097"/>
    <s v="Amanda"/>
    <x v="241"/>
    <d v="2024-12-16T00:00:00"/>
    <n v="7.99"/>
    <n v="369"/>
    <x v="4"/>
    <n v="3"/>
    <n v="1"/>
    <b v="0"/>
    <n v="759"/>
    <n v="56"/>
    <x v="4"/>
    <x v="0"/>
    <x v="0"/>
    <x v="55"/>
    <n v="4"/>
    <x v="0"/>
    <x v="0"/>
    <x v="662"/>
    <x v="4"/>
    <x v="2"/>
    <x v="0"/>
    <n v="609"/>
    <x v="0"/>
    <n v="4.2413793103448274"/>
    <x v="0"/>
    <n v="0.45276073619631901"/>
    <s v="Viewers"/>
  </r>
  <r>
    <n v="2886"/>
    <s v="Mark"/>
    <x v="60"/>
    <d v="2024-11-26T00:00:00"/>
    <n v="15.99"/>
    <n v="62"/>
    <x v="5"/>
    <n v="5"/>
    <n v="1"/>
    <b v="0"/>
    <n v="811"/>
    <n v="109"/>
    <x v="5"/>
    <x v="3"/>
    <x v="1"/>
    <x v="31"/>
    <n v="3.1"/>
    <x v="0"/>
    <x v="0"/>
    <x v="477"/>
    <x v="3"/>
    <x v="4"/>
    <x v="2"/>
    <n v="521"/>
    <x v="2"/>
    <n v="0.83301343570057584"/>
    <x v="0"/>
    <n v="6.7391304347826086E-2"/>
    <s v=" Browsers"/>
  </r>
  <r>
    <n v="3255"/>
    <s v="Dylan"/>
    <x v="443"/>
    <d v="2024-11-27T00:00:00"/>
    <n v="7.99"/>
    <n v="294"/>
    <x v="4"/>
    <n v="1"/>
    <n v="3"/>
    <b v="1"/>
    <n v="936"/>
    <n v="120"/>
    <x v="6"/>
    <x v="1"/>
    <x v="3"/>
    <x v="77"/>
    <n v="3.2"/>
    <x v="1"/>
    <x v="0"/>
    <x v="663"/>
    <x v="4"/>
    <x v="0"/>
    <x v="3"/>
    <n v="326"/>
    <x v="0"/>
    <n v="6.3128834355828225"/>
    <x v="1"/>
    <n v="0.27840909090909088"/>
    <s v="Viewers"/>
  </r>
  <r>
    <n v="6752"/>
    <s v="Garrett"/>
    <x v="384"/>
    <d v="2024-12-09T00:00:00"/>
    <n v="11.99"/>
    <n v="10"/>
    <x v="3"/>
    <n v="2"/>
    <n v="4"/>
    <b v="0"/>
    <n v="146"/>
    <n v="95"/>
    <x v="4"/>
    <x v="2"/>
    <x v="3"/>
    <x v="33"/>
    <n v="3.8"/>
    <x v="1"/>
    <x v="0"/>
    <x v="664"/>
    <x v="4"/>
    <x v="0"/>
    <x v="3"/>
    <n v="229"/>
    <x v="1"/>
    <n v="0.3056768558951965"/>
    <x v="0"/>
    <n v="4.1493775933609957E-2"/>
    <s v=" Browsers"/>
  </r>
  <r>
    <n v="7945"/>
    <s v="Jason"/>
    <x v="90"/>
    <d v="2024-11-29T00:00:00"/>
    <n v="11.99"/>
    <n v="389"/>
    <x v="4"/>
    <n v="2"/>
    <n v="2"/>
    <b v="1"/>
    <n v="631"/>
    <n v="85"/>
    <x v="4"/>
    <x v="1"/>
    <x v="3"/>
    <x v="56"/>
    <n v="3.3"/>
    <x v="1"/>
    <x v="0"/>
    <x v="665"/>
    <x v="1"/>
    <x v="4"/>
    <x v="3"/>
    <n v="594"/>
    <x v="1"/>
    <n v="4.5841750841750839"/>
    <x v="0"/>
    <n v="0.54329608938547491"/>
    <s v="Viewers"/>
  </r>
  <r>
    <n v="6658"/>
    <s v="Michael"/>
    <x v="444"/>
    <d v="2024-12-05T00:00:00"/>
    <n v="7.99"/>
    <n v="55"/>
    <x v="2"/>
    <n v="5"/>
    <n v="6"/>
    <b v="0"/>
    <n v="682"/>
    <n v="141"/>
    <x v="0"/>
    <x v="1"/>
    <x v="0"/>
    <x v="19"/>
    <n v="3.6"/>
    <x v="1"/>
    <x v="0"/>
    <x v="666"/>
    <x v="1"/>
    <x v="3"/>
    <x v="0"/>
    <n v="248"/>
    <x v="0"/>
    <n v="1.5524193548387095"/>
    <x v="0"/>
    <n v="6.6828675577156743E-2"/>
    <s v=" Browsers"/>
  </r>
  <r>
    <n v="5468"/>
    <s v="Jonathon"/>
    <x v="445"/>
    <d v="2024-11-20T00:00:00"/>
    <n v="11.99"/>
    <n v="208"/>
    <x v="6"/>
    <n v="4"/>
    <n v="6"/>
    <b v="1"/>
    <n v="135"/>
    <n v="9"/>
    <x v="0"/>
    <x v="0"/>
    <x v="0"/>
    <x v="81"/>
    <n v="3"/>
    <x v="1"/>
    <x v="0"/>
    <x v="667"/>
    <x v="4"/>
    <x v="0"/>
    <x v="0"/>
    <n v="232"/>
    <x v="1"/>
    <n v="6.2758620689655169"/>
    <x v="1"/>
    <n v="1.4444444444444444"/>
    <s v="Viewers"/>
  </r>
  <r>
    <n v="7451"/>
    <s v="Sarah"/>
    <x v="446"/>
    <d v="2024-12-09T00:00:00"/>
    <n v="15.99"/>
    <n v="198"/>
    <x v="2"/>
    <n v="5"/>
    <n v="5"/>
    <b v="1"/>
    <n v="255"/>
    <n v="183"/>
    <x v="1"/>
    <x v="1"/>
    <x v="5"/>
    <x v="92"/>
    <n v="4.9000000000000004"/>
    <x v="0"/>
    <x v="0"/>
    <x v="176"/>
    <x v="4"/>
    <x v="2"/>
    <x v="2"/>
    <n v="138"/>
    <x v="2"/>
    <n v="10.043478260869565"/>
    <x v="1"/>
    <n v="0.45205479452054792"/>
    <s v="Viewers"/>
  </r>
  <r>
    <n v="1253"/>
    <s v="Michael"/>
    <x v="447"/>
    <d v="2024-12-05T00:00:00"/>
    <n v="11.99"/>
    <n v="280"/>
    <x v="4"/>
    <n v="1"/>
    <n v="1"/>
    <b v="1"/>
    <n v="702"/>
    <n v="58"/>
    <x v="6"/>
    <x v="0"/>
    <x v="5"/>
    <x v="44"/>
    <n v="3.2"/>
    <x v="0"/>
    <x v="0"/>
    <x v="668"/>
    <x v="0"/>
    <x v="3"/>
    <x v="3"/>
    <n v="149"/>
    <x v="1"/>
    <n v="13.154362416107384"/>
    <x v="1"/>
    <n v="0.36842105263157893"/>
    <s v="Viewers"/>
  </r>
  <r>
    <n v="6746"/>
    <s v="Caitlin"/>
    <x v="407"/>
    <d v="2024-11-28T00:00:00"/>
    <n v="7.99"/>
    <n v="161"/>
    <x v="5"/>
    <n v="2"/>
    <n v="5"/>
    <b v="0"/>
    <n v="151"/>
    <n v="109"/>
    <x v="2"/>
    <x v="3"/>
    <x v="4"/>
    <x v="21"/>
    <n v="3.3"/>
    <x v="0"/>
    <x v="0"/>
    <x v="115"/>
    <x v="2"/>
    <x v="0"/>
    <x v="3"/>
    <n v="26"/>
    <x v="0"/>
    <n v="43.346153846153847"/>
    <x v="2"/>
    <n v="0.61923076923076925"/>
    <s v="Viewers"/>
  </r>
  <r>
    <n v="8089"/>
    <s v="Samantha"/>
    <x v="448"/>
    <d v="2024-11-27T00:00:00"/>
    <n v="7.99"/>
    <n v="439"/>
    <x v="0"/>
    <n v="2"/>
    <n v="2"/>
    <b v="1"/>
    <n v="421"/>
    <n v="138"/>
    <x v="3"/>
    <x v="1"/>
    <x v="3"/>
    <x v="31"/>
    <n v="4.0999999999999996"/>
    <x v="0"/>
    <x v="0"/>
    <x v="669"/>
    <x v="2"/>
    <x v="0"/>
    <x v="2"/>
    <n v="172"/>
    <x v="0"/>
    <n v="17.86627906976744"/>
    <x v="2"/>
    <n v="0.78533094812164583"/>
    <s v="Viewers"/>
  </r>
  <r>
    <n v="8045"/>
    <s v="Joseph"/>
    <x v="143"/>
    <d v="2024-12-02T00:00:00"/>
    <n v="7.99"/>
    <n v="339"/>
    <x v="6"/>
    <n v="5"/>
    <n v="5"/>
    <b v="1"/>
    <n v="354"/>
    <n v="129"/>
    <x v="6"/>
    <x v="3"/>
    <x v="5"/>
    <x v="31"/>
    <n v="3.9"/>
    <x v="0"/>
    <x v="0"/>
    <x v="670"/>
    <x v="1"/>
    <x v="3"/>
    <x v="0"/>
    <n v="395"/>
    <x v="0"/>
    <n v="6.0075949367088608"/>
    <x v="1"/>
    <n v="0.70186335403726707"/>
    <s v="Viewers"/>
  </r>
  <r>
    <n v="9417"/>
    <s v="Joshua"/>
    <x v="117"/>
    <d v="2024-11-28T00:00:00"/>
    <n v="11.99"/>
    <n v="52"/>
    <x v="0"/>
    <n v="4"/>
    <n v="4"/>
    <b v="0"/>
    <n v="377"/>
    <n v="135"/>
    <x v="2"/>
    <x v="2"/>
    <x v="3"/>
    <x v="9"/>
    <n v="4.0999999999999996"/>
    <x v="1"/>
    <x v="0"/>
    <x v="671"/>
    <x v="2"/>
    <x v="1"/>
    <x v="1"/>
    <n v="44"/>
    <x v="1"/>
    <n v="8.2727272727272734"/>
    <x v="1"/>
    <n v="0.1015625"/>
    <s v=" Browsers"/>
  </r>
  <r>
    <n v="3217"/>
    <s v="Ashley"/>
    <x v="310"/>
    <d v="2024-12-16T00:00:00"/>
    <n v="15.99"/>
    <n v="297"/>
    <x v="5"/>
    <n v="5"/>
    <n v="3"/>
    <b v="0"/>
    <n v="796"/>
    <n v="200"/>
    <x v="6"/>
    <x v="3"/>
    <x v="5"/>
    <x v="58"/>
    <n v="3.1"/>
    <x v="1"/>
    <x v="0"/>
    <x v="672"/>
    <x v="0"/>
    <x v="4"/>
    <x v="1"/>
    <n v="222"/>
    <x v="2"/>
    <n v="9.3648648648648649"/>
    <x v="1"/>
    <n v="0.29819277108433734"/>
    <s v="Viewers"/>
  </r>
  <r>
    <n v="4234"/>
    <s v="Michael"/>
    <x v="374"/>
    <d v="2024-11-19T00:00:00"/>
    <n v="15.99"/>
    <n v="40"/>
    <x v="3"/>
    <n v="5"/>
    <n v="1"/>
    <b v="1"/>
    <n v="841"/>
    <n v="179"/>
    <x v="4"/>
    <x v="0"/>
    <x v="1"/>
    <x v="76"/>
    <n v="3.5"/>
    <x v="1"/>
    <x v="0"/>
    <x v="673"/>
    <x v="2"/>
    <x v="4"/>
    <x v="3"/>
    <n v="681"/>
    <x v="2"/>
    <n v="0.41116005873715122"/>
    <x v="0"/>
    <n v="3.9215686274509803E-2"/>
    <s v=" Browsers"/>
  </r>
  <r>
    <n v="1118"/>
    <s v="Erin"/>
    <x v="163"/>
    <d v="2024-12-11T00:00:00"/>
    <n v="15.99"/>
    <n v="379"/>
    <x v="0"/>
    <n v="2"/>
    <n v="1"/>
    <b v="1"/>
    <n v="885"/>
    <n v="110"/>
    <x v="2"/>
    <x v="1"/>
    <x v="3"/>
    <x v="80"/>
    <n v="4.2"/>
    <x v="1"/>
    <x v="0"/>
    <x v="674"/>
    <x v="2"/>
    <x v="4"/>
    <x v="1"/>
    <n v="308"/>
    <x v="2"/>
    <n v="8.6136363636363633"/>
    <x v="1"/>
    <n v="0.38090452261306534"/>
    <s v="Viewers"/>
  </r>
  <r>
    <n v="4027"/>
    <s v="Jason"/>
    <x v="272"/>
    <d v="2024-11-24T00:00:00"/>
    <n v="15.99"/>
    <n v="82"/>
    <x v="4"/>
    <n v="2"/>
    <n v="3"/>
    <b v="0"/>
    <n v="999"/>
    <n v="190"/>
    <x v="6"/>
    <x v="0"/>
    <x v="3"/>
    <x v="10"/>
    <n v="3.1"/>
    <x v="1"/>
    <x v="0"/>
    <x v="675"/>
    <x v="4"/>
    <x v="0"/>
    <x v="3"/>
    <n v="225"/>
    <x v="2"/>
    <n v="2.5511111111111107"/>
    <x v="0"/>
    <n v="6.8965517241379309E-2"/>
    <s v=" Browsers"/>
  </r>
  <r>
    <n v="8451"/>
    <s v="Grace"/>
    <x v="397"/>
    <d v="2024-11-23T00:00:00"/>
    <n v="11.99"/>
    <n v="192"/>
    <x v="0"/>
    <n v="3"/>
    <n v="3"/>
    <b v="0"/>
    <n v="585"/>
    <n v="82"/>
    <x v="5"/>
    <x v="3"/>
    <x v="0"/>
    <x v="76"/>
    <n v="4.0999999999999996"/>
    <x v="1"/>
    <x v="0"/>
    <x v="245"/>
    <x v="2"/>
    <x v="3"/>
    <x v="2"/>
    <n v="632"/>
    <x v="1"/>
    <n v="2.1265822784810124"/>
    <x v="0"/>
    <n v="0.28785607196401797"/>
    <s v="Viewers"/>
  </r>
  <r>
    <n v="6647"/>
    <s v="Jennifer"/>
    <x v="449"/>
    <d v="2024-11-29T00:00:00"/>
    <n v="15.99"/>
    <n v="286"/>
    <x v="1"/>
    <n v="5"/>
    <n v="2"/>
    <b v="0"/>
    <n v="617"/>
    <n v="89"/>
    <x v="1"/>
    <x v="0"/>
    <x v="1"/>
    <x v="61"/>
    <n v="3.2"/>
    <x v="1"/>
    <x v="0"/>
    <x v="676"/>
    <x v="0"/>
    <x v="3"/>
    <x v="3"/>
    <n v="41"/>
    <x v="2"/>
    <n v="48.829268292682933"/>
    <x v="2"/>
    <n v="0.40509915014164305"/>
    <s v="Viewers"/>
  </r>
  <r>
    <n v="4002"/>
    <s v="Timothy"/>
    <x v="450"/>
    <d v="2024-12-11T00:00:00"/>
    <n v="11.99"/>
    <n v="452"/>
    <x v="4"/>
    <n v="2"/>
    <n v="6"/>
    <b v="0"/>
    <n v="196"/>
    <n v="132"/>
    <x v="6"/>
    <x v="3"/>
    <x v="3"/>
    <x v="0"/>
    <n v="3.7"/>
    <x v="1"/>
    <x v="0"/>
    <x v="677"/>
    <x v="4"/>
    <x v="2"/>
    <x v="1"/>
    <n v="248"/>
    <x v="1"/>
    <n v="12.758064516129032"/>
    <x v="1"/>
    <n v="1.3780487804878048"/>
    <s v="Viewers"/>
  </r>
  <r>
    <n v="6910"/>
    <s v="Ann"/>
    <x v="393"/>
    <d v="2024-11-27T00:00:00"/>
    <n v="7.99"/>
    <n v="417"/>
    <x v="4"/>
    <n v="4"/>
    <n v="5"/>
    <b v="0"/>
    <n v="792"/>
    <n v="187"/>
    <x v="6"/>
    <x v="3"/>
    <x v="4"/>
    <x v="78"/>
    <n v="4.5999999999999996"/>
    <x v="1"/>
    <x v="0"/>
    <x v="678"/>
    <x v="2"/>
    <x v="1"/>
    <x v="3"/>
    <n v="635"/>
    <x v="0"/>
    <n v="4.5968503937007874"/>
    <x v="0"/>
    <n v="0.42594484167517876"/>
    <s v="Viewers"/>
  </r>
  <r>
    <n v="3164"/>
    <s v="Angela"/>
    <x v="23"/>
    <d v="2024-12-13T00:00:00"/>
    <n v="15.99"/>
    <n v="371"/>
    <x v="5"/>
    <n v="1"/>
    <n v="5"/>
    <b v="1"/>
    <n v="466"/>
    <n v="176"/>
    <x v="1"/>
    <x v="3"/>
    <x v="0"/>
    <x v="59"/>
    <n v="4.9000000000000004"/>
    <x v="0"/>
    <x v="0"/>
    <x v="679"/>
    <x v="1"/>
    <x v="1"/>
    <x v="2"/>
    <n v="448"/>
    <x v="2"/>
    <n v="5.796875"/>
    <x v="1"/>
    <n v="0.57788161993769471"/>
    <s v="Viewers"/>
  </r>
  <r>
    <n v="2400"/>
    <s v="Matthew"/>
    <x v="326"/>
    <d v="2024-12-12T00:00:00"/>
    <n v="15.99"/>
    <n v="110"/>
    <x v="4"/>
    <n v="2"/>
    <n v="5"/>
    <b v="1"/>
    <n v="684"/>
    <n v="32"/>
    <x v="2"/>
    <x v="0"/>
    <x v="5"/>
    <x v="53"/>
    <n v="4"/>
    <x v="0"/>
    <x v="0"/>
    <x v="680"/>
    <x v="3"/>
    <x v="1"/>
    <x v="0"/>
    <n v="399"/>
    <x v="2"/>
    <n v="1.9298245614035088"/>
    <x v="0"/>
    <n v="0.15363128491620112"/>
    <s v="Viewers"/>
  </r>
  <r>
    <n v="5499"/>
    <s v="Rachel"/>
    <x v="60"/>
    <d v="2024-12-02T00:00:00"/>
    <n v="15.99"/>
    <n v="274"/>
    <x v="4"/>
    <n v="2"/>
    <n v="1"/>
    <b v="1"/>
    <n v="155"/>
    <n v="94"/>
    <x v="2"/>
    <x v="1"/>
    <x v="1"/>
    <x v="41"/>
    <n v="3.5"/>
    <x v="0"/>
    <x v="0"/>
    <x v="681"/>
    <x v="1"/>
    <x v="0"/>
    <x v="1"/>
    <n v="527"/>
    <x v="2"/>
    <n v="3.639468690702087"/>
    <x v="0"/>
    <n v="1.1004016064257027"/>
    <s v="Viewers"/>
  </r>
  <r>
    <n v="7221"/>
    <s v="Tammy"/>
    <x v="63"/>
    <d v="2024-11-25T00:00:00"/>
    <n v="15.99"/>
    <n v="412"/>
    <x v="2"/>
    <n v="2"/>
    <n v="5"/>
    <b v="1"/>
    <n v="450"/>
    <n v="147"/>
    <x v="4"/>
    <x v="1"/>
    <x v="0"/>
    <x v="17"/>
    <n v="4.4000000000000004"/>
    <x v="1"/>
    <x v="0"/>
    <x v="682"/>
    <x v="4"/>
    <x v="1"/>
    <x v="0"/>
    <n v="255"/>
    <x v="2"/>
    <n v="11.309803921568626"/>
    <x v="1"/>
    <n v="0.69011725293132331"/>
    <s v="Viewers"/>
  </r>
  <r>
    <n v="4556"/>
    <s v="Amy"/>
    <x v="359"/>
    <d v="2024-11-29T00:00:00"/>
    <n v="11.99"/>
    <n v="341"/>
    <x v="6"/>
    <n v="4"/>
    <n v="1"/>
    <b v="1"/>
    <n v="744"/>
    <n v="146"/>
    <x v="4"/>
    <x v="0"/>
    <x v="4"/>
    <x v="100"/>
    <n v="4.4000000000000004"/>
    <x v="0"/>
    <x v="0"/>
    <x v="683"/>
    <x v="2"/>
    <x v="0"/>
    <x v="2"/>
    <n v="658"/>
    <x v="1"/>
    <n v="3.6276595744680851"/>
    <x v="0"/>
    <n v="0.38314606741573032"/>
    <s v="Viewers"/>
  </r>
  <r>
    <n v="7175"/>
    <s v="Desiree"/>
    <x v="451"/>
    <d v="2024-12-15T00:00:00"/>
    <n v="11.99"/>
    <n v="388"/>
    <x v="6"/>
    <n v="3"/>
    <n v="6"/>
    <b v="0"/>
    <n v="51"/>
    <n v="27"/>
    <x v="1"/>
    <x v="1"/>
    <x v="1"/>
    <x v="29"/>
    <n v="3.2"/>
    <x v="1"/>
    <x v="0"/>
    <x v="684"/>
    <x v="3"/>
    <x v="4"/>
    <x v="3"/>
    <n v="32"/>
    <x v="1"/>
    <n v="84.875"/>
    <x v="2"/>
    <n v="4.9743589743589745"/>
    <s v="Viewers"/>
  </r>
  <r>
    <n v="7072"/>
    <s v="Erika"/>
    <x v="147"/>
    <d v="2024-11-19T00:00:00"/>
    <n v="15.99"/>
    <n v="446"/>
    <x v="2"/>
    <n v="1"/>
    <n v="4"/>
    <b v="1"/>
    <n v="897"/>
    <n v="19"/>
    <x v="5"/>
    <x v="0"/>
    <x v="4"/>
    <x v="31"/>
    <n v="3.5"/>
    <x v="1"/>
    <x v="0"/>
    <x v="685"/>
    <x v="1"/>
    <x v="1"/>
    <x v="0"/>
    <n v="651"/>
    <x v="2"/>
    <n v="4.795698924731183"/>
    <x v="0"/>
    <n v="0.48689956331877732"/>
    <s v="Viewers"/>
  </r>
  <r>
    <n v="4320"/>
    <s v="Laurie"/>
    <x v="357"/>
    <d v="2024-12-17T00:00:00"/>
    <n v="15.99"/>
    <n v="223"/>
    <x v="0"/>
    <n v="5"/>
    <n v="3"/>
    <b v="1"/>
    <n v="499"/>
    <n v="124"/>
    <x v="1"/>
    <x v="0"/>
    <x v="1"/>
    <x v="18"/>
    <n v="4.7"/>
    <x v="1"/>
    <x v="0"/>
    <x v="686"/>
    <x v="3"/>
    <x v="3"/>
    <x v="2"/>
    <n v="351"/>
    <x v="2"/>
    <n v="4.4472934472934469"/>
    <x v="0"/>
    <n v="0.3579454253611557"/>
    <s v="Viewers"/>
  </r>
  <r>
    <n v="3558"/>
    <s v="Melvin"/>
    <x v="357"/>
    <d v="2024-12-16T00:00:00"/>
    <n v="15.99"/>
    <n v="417"/>
    <x v="2"/>
    <n v="5"/>
    <n v="4"/>
    <b v="0"/>
    <n v="179"/>
    <n v="29"/>
    <x v="1"/>
    <x v="2"/>
    <x v="2"/>
    <x v="0"/>
    <n v="4.5"/>
    <x v="0"/>
    <x v="0"/>
    <x v="687"/>
    <x v="2"/>
    <x v="0"/>
    <x v="1"/>
    <n v="350"/>
    <x v="2"/>
    <n v="8.34"/>
    <x v="1"/>
    <n v="2.0048076923076925"/>
    <s v="Viewers"/>
  </r>
  <r>
    <n v="8581"/>
    <s v="Jose"/>
    <x v="452"/>
    <d v="2024-11-20T00:00:00"/>
    <n v="11.99"/>
    <n v="390"/>
    <x v="6"/>
    <n v="5"/>
    <n v="1"/>
    <b v="1"/>
    <n v="889"/>
    <n v="145"/>
    <x v="0"/>
    <x v="0"/>
    <x v="0"/>
    <x v="22"/>
    <n v="4.5"/>
    <x v="1"/>
    <x v="0"/>
    <x v="688"/>
    <x v="2"/>
    <x v="4"/>
    <x v="0"/>
    <n v="340"/>
    <x v="1"/>
    <n v="8.0294117647058822"/>
    <x v="1"/>
    <n v="0.37717601547388779"/>
    <s v="Viewers"/>
  </r>
  <r>
    <n v="5827"/>
    <s v="John"/>
    <x v="453"/>
    <d v="2024-12-02T00:00:00"/>
    <n v="15.99"/>
    <n v="33"/>
    <x v="5"/>
    <n v="4"/>
    <n v="2"/>
    <b v="0"/>
    <n v="191"/>
    <n v="25"/>
    <x v="2"/>
    <x v="2"/>
    <x v="1"/>
    <x v="52"/>
    <n v="4.5"/>
    <x v="1"/>
    <x v="0"/>
    <x v="689"/>
    <x v="3"/>
    <x v="3"/>
    <x v="1"/>
    <n v="621"/>
    <x v="2"/>
    <n v="0.37198067632850246"/>
    <x v="0"/>
    <n v="0.15277777777777779"/>
    <s v="Viewers"/>
  </r>
  <r>
    <n v="6929"/>
    <s v="Cynthia"/>
    <x v="245"/>
    <d v="2024-12-05T00:00:00"/>
    <n v="11.99"/>
    <n v="302"/>
    <x v="0"/>
    <n v="5"/>
    <n v="5"/>
    <b v="1"/>
    <n v="42"/>
    <n v="196"/>
    <x v="3"/>
    <x v="2"/>
    <x v="0"/>
    <x v="98"/>
    <n v="4.5999999999999996"/>
    <x v="0"/>
    <x v="0"/>
    <x v="690"/>
    <x v="1"/>
    <x v="2"/>
    <x v="1"/>
    <n v="37"/>
    <x v="1"/>
    <n v="57.135135135135137"/>
    <x v="2"/>
    <n v="1.26890756302521"/>
    <s v="Viewers"/>
  </r>
  <r>
    <n v="9179"/>
    <s v="Kurt"/>
    <x v="382"/>
    <d v="2024-12-11T00:00:00"/>
    <n v="15.99"/>
    <n v="121"/>
    <x v="4"/>
    <n v="4"/>
    <n v="5"/>
    <b v="1"/>
    <n v="53"/>
    <n v="77"/>
    <x v="4"/>
    <x v="0"/>
    <x v="0"/>
    <x v="84"/>
    <n v="3.1"/>
    <x v="1"/>
    <x v="0"/>
    <x v="691"/>
    <x v="3"/>
    <x v="0"/>
    <x v="2"/>
    <n v="14"/>
    <x v="2"/>
    <n v="60.5"/>
    <x v="2"/>
    <n v="0.93076923076923079"/>
    <s v="Viewers"/>
  </r>
  <r>
    <n v="7580"/>
    <s v="Mary"/>
    <x v="116"/>
    <d v="2024-11-21T00:00:00"/>
    <n v="7.99"/>
    <n v="112"/>
    <x v="4"/>
    <n v="5"/>
    <n v="6"/>
    <b v="0"/>
    <n v="535"/>
    <n v="43"/>
    <x v="2"/>
    <x v="3"/>
    <x v="4"/>
    <x v="83"/>
    <n v="3.1"/>
    <x v="1"/>
    <x v="0"/>
    <x v="692"/>
    <x v="1"/>
    <x v="2"/>
    <x v="1"/>
    <n v="652"/>
    <x v="0"/>
    <n v="1.2024539877300615"/>
    <x v="0"/>
    <n v="0.19377162629757785"/>
    <s v="Viewers"/>
  </r>
  <r>
    <n v="3858"/>
    <s v="David"/>
    <x v="454"/>
    <d v="2024-12-05T00:00:00"/>
    <n v="15.99"/>
    <n v="375"/>
    <x v="6"/>
    <n v="3"/>
    <n v="6"/>
    <b v="0"/>
    <n v="416"/>
    <n v="79"/>
    <x v="6"/>
    <x v="0"/>
    <x v="0"/>
    <x v="36"/>
    <n v="3.2"/>
    <x v="1"/>
    <x v="0"/>
    <x v="693"/>
    <x v="1"/>
    <x v="4"/>
    <x v="1"/>
    <n v="524"/>
    <x v="2"/>
    <n v="5.0095419847328237"/>
    <x v="1"/>
    <n v="0.75757575757575757"/>
    <s v="Viewers"/>
  </r>
  <r>
    <n v="8627"/>
    <s v="Melissa"/>
    <x v="40"/>
    <d v="2024-12-01T00:00:00"/>
    <n v="11.99"/>
    <n v="97"/>
    <x v="5"/>
    <n v="3"/>
    <n v="2"/>
    <b v="0"/>
    <n v="287"/>
    <n v="39"/>
    <x v="6"/>
    <x v="0"/>
    <x v="4"/>
    <x v="87"/>
    <n v="4.9000000000000004"/>
    <x v="0"/>
    <x v="0"/>
    <x v="694"/>
    <x v="3"/>
    <x v="1"/>
    <x v="1"/>
    <n v="75"/>
    <x v="1"/>
    <n v="9.0533333333333346"/>
    <x v="1"/>
    <n v="0.29754601226993865"/>
    <s v="Viewers"/>
  </r>
  <r>
    <n v="7552"/>
    <s v="Glenda"/>
    <x v="448"/>
    <d v="2024-12-04T00:00:00"/>
    <n v="15.99"/>
    <n v="306"/>
    <x v="3"/>
    <n v="4"/>
    <n v="5"/>
    <b v="0"/>
    <n v="651"/>
    <n v="60"/>
    <x v="5"/>
    <x v="3"/>
    <x v="2"/>
    <x v="89"/>
    <n v="3.1"/>
    <x v="0"/>
    <x v="0"/>
    <x v="695"/>
    <x v="1"/>
    <x v="4"/>
    <x v="3"/>
    <n v="179"/>
    <x v="2"/>
    <n v="11.966480446927374"/>
    <x v="1"/>
    <n v="0.43037974683544306"/>
    <s v="Viewers"/>
  </r>
  <r>
    <n v="6020"/>
    <s v="Melvin"/>
    <x v="455"/>
    <d v="2024-11-21T00:00:00"/>
    <n v="11.99"/>
    <n v="136"/>
    <x v="4"/>
    <n v="5"/>
    <n v="2"/>
    <b v="1"/>
    <n v="821"/>
    <n v="174"/>
    <x v="6"/>
    <x v="2"/>
    <x v="1"/>
    <x v="92"/>
    <n v="3.6"/>
    <x v="1"/>
    <x v="0"/>
    <x v="696"/>
    <x v="1"/>
    <x v="3"/>
    <x v="3"/>
    <n v="119"/>
    <x v="1"/>
    <n v="8"/>
    <x v="1"/>
    <n v="0.13668341708542714"/>
    <s v=" Browsers"/>
  </r>
  <r>
    <n v="9408"/>
    <s v="Brandon"/>
    <x v="130"/>
    <d v="2024-11-26T00:00:00"/>
    <n v="7.99"/>
    <n v="12"/>
    <x v="5"/>
    <n v="2"/>
    <n v="3"/>
    <b v="1"/>
    <n v="396"/>
    <n v="22"/>
    <x v="4"/>
    <x v="3"/>
    <x v="0"/>
    <x v="85"/>
    <n v="3.5"/>
    <x v="1"/>
    <x v="0"/>
    <x v="697"/>
    <x v="4"/>
    <x v="3"/>
    <x v="0"/>
    <n v="564"/>
    <x v="0"/>
    <n v="0.14893617021276595"/>
    <x v="0"/>
    <n v="2.8708133971291867E-2"/>
    <s v=" Browsers"/>
  </r>
  <r>
    <n v="9990"/>
    <s v="Duane"/>
    <x v="303"/>
    <d v="2024-12-05T00:00:00"/>
    <n v="15.99"/>
    <n v="379"/>
    <x v="3"/>
    <n v="4"/>
    <n v="5"/>
    <b v="1"/>
    <n v="726"/>
    <n v="103"/>
    <x v="5"/>
    <x v="0"/>
    <x v="2"/>
    <x v="4"/>
    <n v="3.5"/>
    <x v="1"/>
    <x v="0"/>
    <x v="304"/>
    <x v="1"/>
    <x v="2"/>
    <x v="0"/>
    <n v="315"/>
    <x v="2"/>
    <n v="8.4222222222222225"/>
    <x v="1"/>
    <n v="0.45717732207478889"/>
    <s v="Viewers"/>
  </r>
  <r>
    <n v="3687"/>
    <s v="Laurie"/>
    <x v="456"/>
    <d v="2024-12-18T00:00:00"/>
    <n v="15.99"/>
    <n v="205"/>
    <x v="4"/>
    <n v="3"/>
    <n v="2"/>
    <b v="1"/>
    <n v="420"/>
    <n v="24"/>
    <x v="6"/>
    <x v="1"/>
    <x v="3"/>
    <x v="47"/>
    <n v="4.8"/>
    <x v="0"/>
    <x v="0"/>
    <x v="698"/>
    <x v="1"/>
    <x v="3"/>
    <x v="3"/>
    <n v="410"/>
    <x v="2"/>
    <n v="3.5"/>
    <x v="0"/>
    <n v="0.46171171171171171"/>
    <s v="Viewers"/>
  </r>
  <r>
    <n v="4540"/>
    <s v="Cody"/>
    <x v="457"/>
    <d v="2024-11-25T00:00:00"/>
    <n v="15.99"/>
    <n v="335"/>
    <x v="0"/>
    <n v="3"/>
    <n v="6"/>
    <b v="1"/>
    <n v="75"/>
    <n v="177"/>
    <x v="2"/>
    <x v="0"/>
    <x v="0"/>
    <x v="59"/>
    <n v="3.9"/>
    <x v="1"/>
    <x v="0"/>
    <x v="699"/>
    <x v="1"/>
    <x v="2"/>
    <x v="1"/>
    <n v="445"/>
    <x v="2"/>
    <n v="5.2696629213483144"/>
    <x v="1"/>
    <n v="1.3293650793650793"/>
    <s v="Viewers"/>
  </r>
  <r>
    <n v="8264"/>
    <s v="Valerie"/>
    <x v="458"/>
    <d v="2024-11-22T00:00:00"/>
    <n v="15.99"/>
    <n v="449"/>
    <x v="4"/>
    <n v="5"/>
    <n v="6"/>
    <b v="0"/>
    <n v="683"/>
    <n v="85"/>
    <x v="5"/>
    <x v="1"/>
    <x v="2"/>
    <x v="14"/>
    <n v="4.2"/>
    <x v="1"/>
    <x v="0"/>
    <x v="700"/>
    <x v="3"/>
    <x v="1"/>
    <x v="3"/>
    <n v="181"/>
    <x v="2"/>
    <n v="17.364640883977899"/>
    <x v="2"/>
    <n v="0.58463541666666663"/>
    <s v="Viewers"/>
  </r>
  <r>
    <n v="7448"/>
    <s v="Jennifer"/>
    <x v="459"/>
    <d v="2024-12-07T00:00:00"/>
    <n v="7.99"/>
    <n v="453"/>
    <x v="3"/>
    <n v="1"/>
    <n v="5"/>
    <b v="1"/>
    <n v="487"/>
    <n v="128"/>
    <x v="3"/>
    <x v="3"/>
    <x v="2"/>
    <x v="81"/>
    <n v="4.5"/>
    <x v="1"/>
    <x v="0"/>
    <x v="701"/>
    <x v="0"/>
    <x v="2"/>
    <x v="1"/>
    <n v="607"/>
    <x v="0"/>
    <n v="5.2240527182866563"/>
    <x v="1"/>
    <n v="0.73658536585365852"/>
    <s v="Viewers"/>
  </r>
  <r>
    <n v="1123"/>
    <s v="Tanya"/>
    <x v="460"/>
    <d v="2024-11-21T00:00:00"/>
    <n v="7.99"/>
    <n v="252"/>
    <x v="0"/>
    <n v="1"/>
    <n v="1"/>
    <b v="1"/>
    <n v="968"/>
    <n v="197"/>
    <x v="3"/>
    <x v="1"/>
    <x v="0"/>
    <x v="63"/>
    <n v="4"/>
    <x v="0"/>
    <x v="0"/>
    <x v="702"/>
    <x v="4"/>
    <x v="2"/>
    <x v="3"/>
    <n v="27"/>
    <x v="0"/>
    <n v="65.333333333333329"/>
    <x v="2"/>
    <n v="0.21630901287553647"/>
    <s v="Viewers"/>
  </r>
  <r>
    <n v="4103"/>
    <s v="Daniel"/>
    <x v="95"/>
    <d v="2024-11-25T00:00:00"/>
    <n v="11.99"/>
    <n v="379"/>
    <x v="4"/>
    <n v="2"/>
    <n v="1"/>
    <b v="1"/>
    <n v="632"/>
    <n v="82"/>
    <x v="0"/>
    <x v="2"/>
    <x v="3"/>
    <x v="94"/>
    <n v="3.2"/>
    <x v="1"/>
    <x v="0"/>
    <x v="703"/>
    <x v="1"/>
    <x v="1"/>
    <x v="3"/>
    <n v="26"/>
    <x v="1"/>
    <n v="102.03846153846153"/>
    <x v="2"/>
    <n v="0.53081232492997199"/>
    <s v="Viewers"/>
  </r>
  <r>
    <n v="2904"/>
    <s v="Troy"/>
    <x v="438"/>
    <d v="2024-12-01T00:00:00"/>
    <n v="7.99"/>
    <n v="280"/>
    <x v="6"/>
    <n v="3"/>
    <n v="1"/>
    <b v="0"/>
    <n v="188"/>
    <n v="103"/>
    <x v="5"/>
    <x v="3"/>
    <x v="4"/>
    <x v="54"/>
    <n v="4.8"/>
    <x v="0"/>
    <x v="0"/>
    <x v="704"/>
    <x v="2"/>
    <x v="4"/>
    <x v="2"/>
    <n v="288"/>
    <x v="0"/>
    <n v="6.8055555555555554"/>
    <x v="1"/>
    <n v="0.96219931271477666"/>
    <s v="Viewers"/>
  </r>
  <r>
    <n v="5634"/>
    <s v="Emily"/>
    <x v="52"/>
    <d v="2024-11-24T00:00:00"/>
    <n v="7.99"/>
    <n v="187"/>
    <x v="4"/>
    <n v="3"/>
    <n v="3"/>
    <b v="0"/>
    <n v="987"/>
    <n v="166"/>
    <x v="4"/>
    <x v="0"/>
    <x v="3"/>
    <x v="50"/>
    <n v="4.7"/>
    <x v="0"/>
    <x v="0"/>
    <x v="705"/>
    <x v="1"/>
    <x v="4"/>
    <x v="1"/>
    <n v="232"/>
    <x v="0"/>
    <n v="5.6422413793103443"/>
    <x v="1"/>
    <n v="0.16218560277536861"/>
    <s v="Viewers"/>
  </r>
  <r>
    <n v="5360"/>
    <s v="Elizabeth"/>
    <x v="425"/>
    <d v="2024-12-02T00:00:00"/>
    <n v="7.99"/>
    <n v="373"/>
    <x v="0"/>
    <n v="2"/>
    <n v="1"/>
    <b v="1"/>
    <n v="925"/>
    <n v="12"/>
    <x v="2"/>
    <x v="0"/>
    <x v="0"/>
    <x v="46"/>
    <n v="4.2"/>
    <x v="1"/>
    <x v="0"/>
    <x v="706"/>
    <x v="3"/>
    <x v="0"/>
    <x v="2"/>
    <n v="436"/>
    <x v="0"/>
    <n v="5.988532110091743"/>
    <x v="1"/>
    <n v="0.39807897545357523"/>
    <s v="Viewers"/>
  </r>
  <r>
    <n v="8571"/>
    <s v="Brian"/>
    <x v="461"/>
    <d v="2024-12-15T00:00:00"/>
    <n v="15.99"/>
    <n v="482"/>
    <x v="0"/>
    <n v="2"/>
    <n v="5"/>
    <b v="1"/>
    <n v="838"/>
    <n v="159"/>
    <x v="1"/>
    <x v="1"/>
    <x v="5"/>
    <x v="4"/>
    <n v="4.8"/>
    <x v="0"/>
    <x v="0"/>
    <x v="707"/>
    <x v="4"/>
    <x v="3"/>
    <x v="2"/>
    <n v="567"/>
    <x v="2"/>
    <n v="5.9506172839506171"/>
    <x v="1"/>
    <n v="0.48345035105315948"/>
    <s v="Viewers"/>
  </r>
  <r>
    <n v="9439"/>
    <s v="Claire"/>
    <x v="462"/>
    <d v="2024-12-11T00:00:00"/>
    <n v="11.99"/>
    <n v="360"/>
    <x v="2"/>
    <n v="3"/>
    <n v="4"/>
    <b v="0"/>
    <n v="295"/>
    <n v="55"/>
    <x v="1"/>
    <x v="2"/>
    <x v="2"/>
    <x v="97"/>
    <n v="3.7"/>
    <x v="0"/>
    <x v="0"/>
    <x v="708"/>
    <x v="4"/>
    <x v="1"/>
    <x v="1"/>
    <n v="392"/>
    <x v="1"/>
    <n v="6.4285714285714288"/>
    <x v="1"/>
    <n v="1.0285714285714285"/>
    <s v="Viewers"/>
  </r>
  <r>
    <n v="8356"/>
    <s v="Samuel"/>
    <x v="463"/>
    <d v="2024-12-14T00:00:00"/>
    <n v="15.99"/>
    <n v="463"/>
    <x v="5"/>
    <n v="2"/>
    <n v="1"/>
    <b v="0"/>
    <n v="844"/>
    <n v="98"/>
    <x v="2"/>
    <x v="3"/>
    <x v="4"/>
    <x v="48"/>
    <n v="3.6"/>
    <x v="1"/>
    <x v="0"/>
    <x v="709"/>
    <x v="0"/>
    <x v="4"/>
    <x v="3"/>
    <n v="698"/>
    <x v="2"/>
    <n v="4.6432664756446993"/>
    <x v="0"/>
    <n v="0.49150743099787686"/>
    <s v="Viewers"/>
  </r>
  <r>
    <n v="2039"/>
    <s v="Caroline"/>
    <x v="417"/>
    <d v="2024-12-02T00:00:00"/>
    <n v="15.99"/>
    <n v="13"/>
    <x v="6"/>
    <n v="3"/>
    <n v="5"/>
    <b v="0"/>
    <n v="378"/>
    <n v="123"/>
    <x v="3"/>
    <x v="2"/>
    <x v="1"/>
    <x v="20"/>
    <n v="4.2"/>
    <x v="0"/>
    <x v="0"/>
    <x v="710"/>
    <x v="1"/>
    <x v="1"/>
    <x v="0"/>
    <n v="700"/>
    <x v="2"/>
    <n v="0.13"/>
    <x v="0"/>
    <n v="2.5948103792415168E-2"/>
    <s v=" Browsers"/>
  </r>
  <r>
    <n v="2613"/>
    <s v="Benjamin"/>
    <x v="147"/>
    <d v="2024-12-16T00:00:00"/>
    <n v="7.99"/>
    <n v="129"/>
    <x v="3"/>
    <n v="4"/>
    <n v="5"/>
    <b v="0"/>
    <n v="439"/>
    <n v="10"/>
    <x v="2"/>
    <x v="2"/>
    <x v="5"/>
    <x v="17"/>
    <n v="3.7"/>
    <x v="0"/>
    <x v="0"/>
    <x v="711"/>
    <x v="4"/>
    <x v="0"/>
    <x v="2"/>
    <n v="678"/>
    <x v="0"/>
    <n v="1.331858407079646"/>
    <x v="0"/>
    <n v="0.28730512249443207"/>
    <s v="Viewers"/>
  </r>
  <r>
    <n v="8226"/>
    <s v="Matthew"/>
    <x v="403"/>
    <d v="2024-11-23T00:00:00"/>
    <n v="7.99"/>
    <n v="290"/>
    <x v="1"/>
    <n v="5"/>
    <n v="5"/>
    <b v="0"/>
    <n v="84"/>
    <n v="52"/>
    <x v="1"/>
    <x v="1"/>
    <x v="0"/>
    <x v="23"/>
    <n v="3.1"/>
    <x v="1"/>
    <x v="0"/>
    <x v="712"/>
    <x v="1"/>
    <x v="3"/>
    <x v="3"/>
    <n v="205"/>
    <x v="0"/>
    <n v="9.9024390243902438"/>
    <x v="1"/>
    <n v="2.1323529411764706"/>
    <s v="Viewers"/>
  </r>
  <r>
    <n v="1425"/>
    <s v="Yolanda"/>
    <x v="276"/>
    <d v="2024-11-25T00:00:00"/>
    <n v="7.99"/>
    <n v="50"/>
    <x v="0"/>
    <n v="2"/>
    <n v="3"/>
    <b v="1"/>
    <n v="502"/>
    <n v="5"/>
    <x v="3"/>
    <x v="1"/>
    <x v="0"/>
    <x v="41"/>
    <n v="4.4000000000000004"/>
    <x v="1"/>
    <x v="0"/>
    <x v="713"/>
    <x v="4"/>
    <x v="4"/>
    <x v="3"/>
    <n v="84"/>
    <x v="0"/>
    <n v="4.166666666666667"/>
    <x v="0"/>
    <n v="9.8619329388560162E-2"/>
    <s v=" Browsers"/>
  </r>
  <r>
    <n v="4479"/>
    <s v="Amber"/>
    <x v="464"/>
    <d v="2024-12-06T00:00:00"/>
    <n v="15.99"/>
    <n v="241"/>
    <x v="6"/>
    <n v="3"/>
    <n v="2"/>
    <b v="1"/>
    <n v="549"/>
    <n v="158"/>
    <x v="3"/>
    <x v="1"/>
    <x v="2"/>
    <x v="41"/>
    <n v="3.1"/>
    <x v="1"/>
    <x v="0"/>
    <x v="714"/>
    <x v="0"/>
    <x v="1"/>
    <x v="2"/>
    <n v="30"/>
    <x v="2"/>
    <n v="56.233333333333334"/>
    <x v="2"/>
    <n v="0.34087694483734088"/>
    <s v="Viewers"/>
  </r>
  <r>
    <n v="3393"/>
    <s v="William"/>
    <x v="161"/>
    <d v="2024-11-28T00:00:00"/>
    <n v="7.99"/>
    <n v="383"/>
    <x v="4"/>
    <n v="3"/>
    <n v="2"/>
    <b v="1"/>
    <n v="699"/>
    <n v="174"/>
    <x v="6"/>
    <x v="2"/>
    <x v="5"/>
    <x v="44"/>
    <n v="3.8"/>
    <x v="1"/>
    <x v="0"/>
    <x v="715"/>
    <x v="0"/>
    <x v="2"/>
    <x v="3"/>
    <n v="307"/>
    <x v="0"/>
    <n v="8.7328990228013037"/>
    <x v="1"/>
    <n v="0.43871706758304696"/>
    <s v="Viewers"/>
  </r>
  <r>
    <n v="8528"/>
    <s v="Dawn"/>
    <x v="159"/>
    <d v="2024-11-29T00:00:00"/>
    <n v="7.99"/>
    <n v="384"/>
    <x v="2"/>
    <n v="5"/>
    <n v="1"/>
    <b v="0"/>
    <n v="423"/>
    <n v="110"/>
    <x v="6"/>
    <x v="2"/>
    <x v="2"/>
    <x v="47"/>
    <n v="4.7"/>
    <x v="1"/>
    <x v="0"/>
    <x v="716"/>
    <x v="0"/>
    <x v="3"/>
    <x v="2"/>
    <n v="13"/>
    <x v="0"/>
    <n v="206.76923076923077"/>
    <x v="2"/>
    <n v="0.72045028142589118"/>
    <s v="Viewers"/>
  </r>
  <r>
    <n v="9372"/>
    <s v="Matthew"/>
    <x v="100"/>
    <d v="2024-12-04T00:00:00"/>
    <n v="7.99"/>
    <n v="302"/>
    <x v="4"/>
    <n v="1"/>
    <n v="1"/>
    <b v="1"/>
    <n v="964"/>
    <n v="165"/>
    <x v="6"/>
    <x v="3"/>
    <x v="4"/>
    <x v="3"/>
    <n v="4.4000000000000004"/>
    <x v="0"/>
    <x v="0"/>
    <x v="717"/>
    <x v="2"/>
    <x v="4"/>
    <x v="1"/>
    <n v="656"/>
    <x v="0"/>
    <n v="3.2225609756097562"/>
    <x v="0"/>
    <n v="0.26749335695305582"/>
    <s v="Viewers"/>
  </r>
  <r>
    <n v="5469"/>
    <s v="Jose"/>
    <x v="309"/>
    <d v="2024-12-05T00:00:00"/>
    <n v="15.99"/>
    <n v="24"/>
    <x v="2"/>
    <n v="2"/>
    <n v="1"/>
    <b v="0"/>
    <n v="742"/>
    <n v="150"/>
    <x v="0"/>
    <x v="2"/>
    <x v="5"/>
    <x v="10"/>
    <n v="3"/>
    <x v="0"/>
    <x v="0"/>
    <x v="718"/>
    <x v="2"/>
    <x v="2"/>
    <x v="2"/>
    <n v="290"/>
    <x v="2"/>
    <n v="0.57931034482758614"/>
    <x v="0"/>
    <n v="2.6905829596412557E-2"/>
    <s v=" Browsers"/>
  </r>
  <r>
    <n v="2603"/>
    <s v="Peter"/>
    <x v="15"/>
    <d v="2024-11-20T00:00:00"/>
    <n v="11.99"/>
    <n v="416"/>
    <x v="6"/>
    <n v="3"/>
    <n v="5"/>
    <b v="0"/>
    <n v="97"/>
    <n v="172"/>
    <x v="0"/>
    <x v="2"/>
    <x v="3"/>
    <x v="83"/>
    <n v="4.3"/>
    <x v="1"/>
    <x v="0"/>
    <x v="719"/>
    <x v="2"/>
    <x v="2"/>
    <x v="3"/>
    <n v="186"/>
    <x v="1"/>
    <n v="15.655913978494622"/>
    <x v="2"/>
    <n v="1.5464684014869889"/>
    <s v="Viewers"/>
  </r>
  <r>
    <n v="5306"/>
    <s v="Sandra"/>
    <x v="337"/>
    <d v="2024-12-09T00:00:00"/>
    <n v="15.99"/>
    <n v="272"/>
    <x v="5"/>
    <n v="5"/>
    <n v="1"/>
    <b v="1"/>
    <n v="735"/>
    <n v="74"/>
    <x v="5"/>
    <x v="2"/>
    <x v="4"/>
    <x v="9"/>
    <n v="3.8"/>
    <x v="1"/>
    <x v="0"/>
    <x v="720"/>
    <x v="4"/>
    <x v="1"/>
    <x v="0"/>
    <n v="456"/>
    <x v="2"/>
    <n v="4.1754385964912286"/>
    <x v="0"/>
    <n v="0.3362175525339926"/>
    <s v="Viewers"/>
  </r>
  <r>
    <n v="7869"/>
    <s v="Dawn"/>
    <x v="465"/>
    <d v="2024-12-01T00:00:00"/>
    <n v="15.99"/>
    <n v="294"/>
    <x v="1"/>
    <n v="3"/>
    <n v="6"/>
    <b v="0"/>
    <n v="709"/>
    <n v="181"/>
    <x v="5"/>
    <x v="3"/>
    <x v="3"/>
    <x v="4"/>
    <n v="3.2"/>
    <x v="1"/>
    <x v="0"/>
    <x v="721"/>
    <x v="3"/>
    <x v="3"/>
    <x v="1"/>
    <n v="192"/>
    <x v="2"/>
    <n v="10.71875"/>
    <x v="1"/>
    <n v="0.33033707865168538"/>
    <s v="Viewers"/>
  </r>
  <r>
    <n v="1699"/>
    <s v="John"/>
    <x v="383"/>
    <d v="2024-12-11T00:00:00"/>
    <n v="15.99"/>
    <n v="18"/>
    <x v="3"/>
    <n v="4"/>
    <n v="2"/>
    <b v="0"/>
    <n v="882"/>
    <n v="1"/>
    <x v="6"/>
    <x v="2"/>
    <x v="3"/>
    <x v="90"/>
    <n v="4.7"/>
    <x v="1"/>
    <x v="0"/>
    <x v="722"/>
    <x v="1"/>
    <x v="1"/>
    <x v="1"/>
    <n v="455"/>
    <x v="2"/>
    <n v="0.27692307692307694"/>
    <x v="0"/>
    <n v="2.0385050962627407E-2"/>
    <s v=" Browsers"/>
  </r>
  <r>
    <n v="3214"/>
    <s v="Cynthia"/>
    <x v="466"/>
    <d v="2024-12-12T00:00:00"/>
    <n v="15.99"/>
    <n v="409"/>
    <x v="0"/>
    <n v="1"/>
    <n v="2"/>
    <b v="1"/>
    <n v="131"/>
    <n v="85"/>
    <x v="5"/>
    <x v="3"/>
    <x v="5"/>
    <x v="49"/>
    <n v="4.3"/>
    <x v="1"/>
    <x v="0"/>
    <x v="723"/>
    <x v="3"/>
    <x v="2"/>
    <x v="3"/>
    <n v="151"/>
    <x v="2"/>
    <n v="18.960264900662249"/>
    <x v="2"/>
    <n v="1.8935185185185186"/>
    <s v="Viewers"/>
  </r>
  <r>
    <n v="1050"/>
    <s v="Mary"/>
    <x v="272"/>
    <d v="2024-11-29T00:00:00"/>
    <n v="11.99"/>
    <n v="290"/>
    <x v="6"/>
    <n v="4"/>
    <n v="4"/>
    <b v="0"/>
    <n v="305"/>
    <n v="112"/>
    <x v="0"/>
    <x v="0"/>
    <x v="3"/>
    <x v="10"/>
    <n v="4.5"/>
    <x v="0"/>
    <x v="0"/>
    <x v="724"/>
    <x v="1"/>
    <x v="3"/>
    <x v="2"/>
    <n v="230"/>
    <x v="1"/>
    <n v="8.8260869565217401"/>
    <x v="1"/>
    <n v="0.69544364508393286"/>
    <s v="Viewers"/>
  </r>
  <r>
    <n v="3325"/>
    <s v="Tiffany"/>
    <x v="240"/>
    <d v="2024-11-30T00:00:00"/>
    <n v="15.99"/>
    <n v="102"/>
    <x v="1"/>
    <n v="5"/>
    <n v="3"/>
    <b v="0"/>
    <n v="456"/>
    <n v="52"/>
    <x v="5"/>
    <x v="1"/>
    <x v="5"/>
    <x v="7"/>
    <n v="4.9000000000000004"/>
    <x v="1"/>
    <x v="0"/>
    <x v="725"/>
    <x v="4"/>
    <x v="1"/>
    <x v="1"/>
    <n v="51"/>
    <x v="2"/>
    <n v="14"/>
    <x v="1"/>
    <n v="0.20078740157480315"/>
    <s v="Viewers"/>
  </r>
  <r>
    <n v="1970"/>
    <s v="Michael"/>
    <x v="467"/>
    <d v="2024-12-02T00:00:00"/>
    <n v="15.99"/>
    <n v="119"/>
    <x v="2"/>
    <n v="2"/>
    <n v="1"/>
    <b v="1"/>
    <n v="385"/>
    <n v="82"/>
    <x v="4"/>
    <x v="3"/>
    <x v="4"/>
    <x v="62"/>
    <n v="3.3"/>
    <x v="0"/>
    <x v="0"/>
    <x v="726"/>
    <x v="4"/>
    <x v="0"/>
    <x v="3"/>
    <n v="438"/>
    <x v="2"/>
    <n v="1.9018264840182648"/>
    <x v="0"/>
    <n v="0.25481798715203424"/>
    <s v="Viewers"/>
  </r>
  <r>
    <n v="6272"/>
    <s v="Caitlin"/>
    <x v="468"/>
    <d v="2024-12-18T00:00:00"/>
    <n v="11.99"/>
    <n v="87"/>
    <x v="0"/>
    <n v="3"/>
    <n v="6"/>
    <b v="1"/>
    <n v="213"/>
    <n v="98"/>
    <x v="1"/>
    <x v="1"/>
    <x v="2"/>
    <x v="0"/>
    <n v="4.7"/>
    <x v="0"/>
    <x v="0"/>
    <x v="727"/>
    <x v="4"/>
    <x v="1"/>
    <x v="3"/>
    <n v="512"/>
    <x v="1"/>
    <n v="1.189453125"/>
    <x v="0"/>
    <n v="0.27974276527331188"/>
    <s v="Viewers"/>
  </r>
  <r>
    <n v="4745"/>
    <s v="Charles"/>
    <x v="19"/>
    <d v="2024-11-30T00:00:00"/>
    <n v="7.99"/>
    <n v="273"/>
    <x v="1"/>
    <n v="5"/>
    <n v="1"/>
    <b v="1"/>
    <n v="830"/>
    <n v="178"/>
    <x v="0"/>
    <x v="3"/>
    <x v="5"/>
    <x v="86"/>
    <n v="3.7"/>
    <x v="1"/>
    <x v="0"/>
    <x v="728"/>
    <x v="0"/>
    <x v="4"/>
    <x v="1"/>
    <n v="516"/>
    <x v="0"/>
    <n v="3.7034883720930236"/>
    <x v="0"/>
    <n v="0.27083333333333331"/>
    <s v="Viewers"/>
  </r>
  <r>
    <n v="8867"/>
    <s v="Derek"/>
    <x v="469"/>
    <d v="2024-11-21T00:00:00"/>
    <n v="15.99"/>
    <n v="281"/>
    <x v="5"/>
    <n v="1"/>
    <n v="2"/>
    <b v="1"/>
    <n v="601"/>
    <n v="75"/>
    <x v="6"/>
    <x v="2"/>
    <x v="1"/>
    <x v="92"/>
    <n v="4.5"/>
    <x v="0"/>
    <x v="0"/>
    <x v="729"/>
    <x v="2"/>
    <x v="3"/>
    <x v="2"/>
    <n v="537"/>
    <x v="2"/>
    <n v="3.6629422718808198"/>
    <x v="0"/>
    <n v="0.41568047337278108"/>
    <s v="Viewers"/>
  </r>
  <r>
    <n v="4901"/>
    <s v="Rebecca"/>
    <x v="470"/>
    <d v="2024-12-18T00:00:00"/>
    <n v="7.99"/>
    <n v="115"/>
    <x v="3"/>
    <n v="2"/>
    <n v="3"/>
    <b v="0"/>
    <n v="843"/>
    <n v="153"/>
    <x v="6"/>
    <x v="0"/>
    <x v="2"/>
    <x v="65"/>
    <n v="3.3"/>
    <x v="1"/>
    <x v="0"/>
    <x v="730"/>
    <x v="4"/>
    <x v="1"/>
    <x v="2"/>
    <n v="706"/>
    <x v="0"/>
    <n v="1.1402266288951841"/>
    <x v="0"/>
    <n v="0.11546184738955824"/>
    <s v=" Browsers"/>
  </r>
  <r>
    <n v="9575"/>
    <s v="John"/>
    <x v="152"/>
    <d v="2024-12-13T00:00:00"/>
    <n v="11.99"/>
    <n v="483"/>
    <x v="4"/>
    <n v="2"/>
    <n v="6"/>
    <b v="0"/>
    <n v="386"/>
    <n v="192"/>
    <x v="4"/>
    <x v="0"/>
    <x v="5"/>
    <x v="49"/>
    <n v="4.5999999999999996"/>
    <x v="1"/>
    <x v="0"/>
    <x v="731"/>
    <x v="1"/>
    <x v="4"/>
    <x v="0"/>
    <n v="657"/>
    <x v="1"/>
    <n v="5.1461187214611872"/>
    <x v="1"/>
    <n v="0.83564013840830453"/>
    <s v="Viewers"/>
  </r>
  <r>
    <n v="4471"/>
    <s v="Jordan"/>
    <x v="379"/>
    <d v="2024-12-11T00:00:00"/>
    <n v="11.99"/>
    <n v="129"/>
    <x v="1"/>
    <n v="5"/>
    <n v="3"/>
    <b v="0"/>
    <n v="291"/>
    <n v="37"/>
    <x v="3"/>
    <x v="2"/>
    <x v="2"/>
    <x v="82"/>
    <n v="3.8"/>
    <x v="0"/>
    <x v="0"/>
    <x v="732"/>
    <x v="4"/>
    <x v="1"/>
    <x v="2"/>
    <n v="255"/>
    <x v="1"/>
    <n v="3.5411764705882351"/>
    <x v="0"/>
    <n v="0.39329268292682928"/>
    <s v="Viewers"/>
  </r>
  <r>
    <n v="1385"/>
    <s v="Norman"/>
    <x v="34"/>
    <d v="2024-12-10T00:00:00"/>
    <n v="11.99"/>
    <n v="292"/>
    <x v="1"/>
    <n v="4"/>
    <n v="3"/>
    <b v="0"/>
    <n v="198"/>
    <n v="195"/>
    <x v="1"/>
    <x v="2"/>
    <x v="4"/>
    <x v="38"/>
    <n v="4.9000000000000004"/>
    <x v="1"/>
    <x v="0"/>
    <x v="733"/>
    <x v="4"/>
    <x v="0"/>
    <x v="0"/>
    <n v="68"/>
    <x v="1"/>
    <n v="30.058823529411768"/>
    <x v="2"/>
    <n v="0.74300254452926207"/>
    <s v="Viewers"/>
  </r>
  <r>
    <n v="4302"/>
    <s v="Lori"/>
    <x v="471"/>
    <d v="2024-12-10T00:00:00"/>
    <n v="11.99"/>
    <n v="307"/>
    <x v="4"/>
    <n v="3"/>
    <n v="1"/>
    <b v="0"/>
    <n v="919"/>
    <n v="175"/>
    <x v="3"/>
    <x v="1"/>
    <x v="4"/>
    <x v="46"/>
    <n v="4"/>
    <x v="1"/>
    <x v="0"/>
    <x v="734"/>
    <x v="1"/>
    <x v="0"/>
    <x v="0"/>
    <n v="663"/>
    <x v="1"/>
    <n v="3.2413273001508296"/>
    <x v="0"/>
    <n v="0.2806215722120658"/>
    <s v="Viewers"/>
  </r>
  <r>
    <n v="4738"/>
    <s v="Katrina"/>
    <x v="472"/>
    <d v="2024-12-04T00:00:00"/>
    <n v="15.99"/>
    <n v="306"/>
    <x v="1"/>
    <n v="5"/>
    <n v="6"/>
    <b v="1"/>
    <n v="483"/>
    <n v="5"/>
    <x v="2"/>
    <x v="1"/>
    <x v="0"/>
    <x v="2"/>
    <n v="4.7"/>
    <x v="0"/>
    <x v="0"/>
    <x v="735"/>
    <x v="4"/>
    <x v="0"/>
    <x v="1"/>
    <n v="395"/>
    <x v="2"/>
    <n v="5.4227848101265819"/>
    <x v="1"/>
    <n v="0.62704918032786883"/>
    <s v="Viewers"/>
  </r>
  <r>
    <n v="2441"/>
    <s v="Dawn"/>
    <x v="461"/>
    <d v="2024-12-14T00:00:00"/>
    <n v="11.99"/>
    <n v="71"/>
    <x v="2"/>
    <n v="3"/>
    <n v="2"/>
    <b v="1"/>
    <n v="645"/>
    <n v="5"/>
    <x v="4"/>
    <x v="0"/>
    <x v="2"/>
    <x v="29"/>
    <n v="3.9"/>
    <x v="0"/>
    <x v="0"/>
    <x v="324"/>
    <x v="4"/>
    <x v="1"/>
    <x v="0"/>
    <n v="566"/>
    <x v="1"/>
    <n v="0.87809187279151935"/>
    <x v="0"/>
    <n v="0.10923076923076923"/>
    <s v=" Browsers"/>
  </r>
  <r>
    <n v="6546"/>
    <s v="Shannon"/>
    <x v="209"/>
    <d v="2024-12-08T00:00:00"/>
    <n v="15.99"/>
    <n v="253"/>
    <x v="2"/>
    <n v="1"/>
    <n v="2"/>
    <b v="1"/>
    <n v="653"/>
    <n v="53"/>
    <x v="0"/>
    <x v="0"/>
    <x v="0"/>
    <x v="80"/>
    <n v="4.0999999999999996"/>
    <x v="1"/>
    <x v="0"/>
    <x v="736"/>
    <x v="3"/>
    <x v="0"/>
    <x v="1"/>
    <n v="348"/>
    <x v="2"/>
    <n v="5.0890804597701145"/>
    <x v="1"/>
    <n v="0.35835694050991501"/>
    <s v="Viewers"/>
  </r>
  <r>
    <n v="5459"/>
    <s v="Eric"/>
    <x v="272"/>
    <d v="2024-12-13T00:00:00"/>
    <n v="15.99"/>
    <n v="68"/>
    <x v="4"/>
    <n v="5"/>
    <n v="2"/>
    <b v="0"/>
    <n v="727"/>
    <n v="5"/>
    <x v="5"/>
    <x v="3"/>
    <x v="5"/>
    <x v="39"/>
    <n v="4.5999999999999996"/>
    <x v="0"/>
    <x v="0"/>
    <x v="737"/>
    <x v="2"/>
    <x v="3"/>
    <x v="0"/>
    <n v="244"/>
    <x v="2"/>
    <n v="1.9508196721311477"/>
    <x v="0"/>
    <n v="9.2896174863387984E-2"/>
    <s v=" Browsers"/>
  </r>
  <r>
    <n v="7051"/>
    <s v="Amber"/>
    <x v="172"/>
    <d v="2024-12-16T00:00:00"/>
    <n v="7.99"/>
    <n v="366"/>
    <x v="1"/>
    <n v="1"/>
    <n v="1"/>
    <b v="1"/>
    <n v="257"/>
    <n v="46"/>
    <x v="5"/>
    <x v="1"/>
    <x v="5"/>
    <x v="34"/>
    <n v="4.5"/>
    <x v="1"/>
    <x v="0"/>
    <x v="738"/>
    <x v="4"/>
    <x v="1"/>
    <x v="1"/>
    <n v="582"/>
    <x v="0"/>
    <n v="4.4020618556701034"/>
    <x v="0"/>
    <n v="1.2079207920792079"/>
    <s v="Viewers"/>
  </r>
  <r>
    <n v="6671"/>
    <s v="Robert"/>
    <x v="473"/>
    <d v="2024-12-11T00:00:00"/>
    <n v="15.99"/>
    <n v="166"/>
    <x v="6"/>
    <n v="4"/>
    <n v="1"/>
    <b v="0"/>
    <n v="208"/>
    <n v="39"/>
    <x v="5"/>
    <x v="0"/>
    <x v="3"/>
    <x v="56"/>
    <n v="5"/>
    <x v="1"/>
    <x v="0"/>
    <x v="494"/>
    <x v="0"/>
    <x v="0"/>
    <x v="1"/>
    <n v="294"/>
    <x v="2"/>
    <n v="3.9523809523809526"/>
    <x v="0"/>
    <n v="0.67206477732793524"/>
    <s v="Viewers"/>
  </r>
  <r>
    <n v="6013"/>
    <s v="Destiny"/>
    <x v="474"/>
    <d v="2024-12-03T00:00:00"/>
    <n v="15.99"/>
    <n v="136"/>
    <x v="5"/>
    <n v="2"/>
    <n v="4"/>
    <b v="1"/>
    <n v="471"/>
    <n v="91"/>
    <x v="1"/>
    <x v="1"/>
    <x v="2"/>
    <x v="85"/>
    <n v="4.4000000000000004"/>
    <x v="0"/>
    <x v="0"/>
    <x v="491"/>
    <x v="4"/>
    <x v="1"/>
    <x v="3"/>
    <n v="102"/>
    <x v="2"/>
    <n v="9.3333333333333339"/>
    <x v="1"/>
    <n v="0.24199288256227758"/>
    <s v="Viewers"/>
  </r>
  <r>
    <n v="9996"/>
    <s v="Pamela"/>
    <x v="277"/>
    <d v="2024-12-09T00:00:00"/>
    <n v="7.99"/>
    <n v="358"/>
    <x v="5"/>
    <n v="3"/>
    <n v="2"/>
    <b v="1"/>
    <n v="512"/>
    <n v="153"/>
    <x v="2"/>
    <x v="2"/>
    <x v="0"/>
    <x v="85"/>
    <n v="3.3"/>
    <x v="1"/>
    <x v="0"/>
    <x v="739"/>
    <x v="2"/>
    <x v="2"/>
    <x v="0"/>
    <n v="141"/>
    <x v="0"/>
    <n v="17.773049645390071"/>
    <x v="2"/>
    <n v="0.53834586466165413"/>
    <s v="Viewers"/>
  </r>
  <r>
    <n v="4851"/>
    <s v="Nicole"/>
    <x v="475"/>
    <d v="2024-12-16T00:00:00"/>
    <n v="15.99"/>
    <n v="399"/>
    <x v="1"/>
    <n v="1"/>
    <n v="2"/>
    <b v="0"/>
    <n v="355"/>
    <n v="181"/>
    <x v="0"/>
    <x v="2"/>
    <x v="0"/>
    <x v="37"/>
    <n v="3.4"/>
    <x v="1"/>
    <x v="0"/>
    <x v="740"/>
    <x v="1"/>
    <x v="3"/>
    <x v="0"/>
    <n v="647"/>
    <x v="2"/>
    <n v="4.3168469860896446"/>
    <x v="0"/>
    <n v="0.74440298507462688"/>
    <s v="Viewers"/>
  </r>
  <r>
    <n v="2498"/>
    <s v="Timothy"/>
    <x v="57"/>
    <d v="2024-12-07T00:00:00"/>
    <n v="11.99"/>
    <n v="285"/>
    <x v="6"/>
    <n v="1"/>
    <n v="5"/>
    <b v="0"/>
    <n v="634"/>
    <n v="168"/>
    <x v="0"/>
    <x v="3"/>
    <x v="1"/>
    <x v="24"/>
    <n v="3.3"/>
    <x v="1"/>
    <x v="0"/>
    <x v="741"/>
    <x v="1"/>
    <x v="3"/>
    <x v="3"/>
    <n v="422"/>
    <x v="1"/>
    <n v="4.7274881516587675"/>
    <x v="0"/>
    <n v="0.35536159600997508"/>
    <s v="Viewers"/>
  </r>
  <r>
    <n v="6208"/>
    <s v="Alexandra"/>
    <x v="476"/>
    <d v="2024-12-17T00:00:00"/>
    <n v="7.99"/>
    <n v="424"/>
    <x v="4"/>
    <n v="2"/>
    <n v="3"/>
    <b v="0"/>
    <n v="942"/>
    <n v="127"/>
    <x v="5"/>
    <x v="0"/>
    <x v="4"/>
    <x v="49"/>
    <n v="4.8"/>
    <x v="1"/>
    <x v="0"/>
    <x v="553"/>
    <x v="2"/>
    <x v="3"/>
    <x v="3"/>
    <n v="517"/>
    <x v="0"/>
    <n v="5.7408123791102508"/>
    <x v="1"/>
    <n v="0.39663236669784846"/>
    <s v="Viewers"/>
  </r>
  <r>
    <n v="7171"/>
    <s v="Patricia"/>
    <x v="27"/>
    <d v="2024-11-26T00:00:00"/>
    <n v="11.99"/>
    <n v="467"/>
    <x v="0"/>
    <n v="1"/>
    <n v="3"/>
    <b v="1"/>
    <n v="350"/>
    <n v="134"/>
    <x v="5"/>
    <x v="1"/>
    <x v="4"/>
    <x v="6"/>
    <n v="3.9"/>
    <x v="0"/>
    <x v="0"/>
    <x v="742"/>
    <x v="0"/>
    <x v="1"/>
    <x v="3"/>
    <n v="301"/>
    <x v="1"/>
    <n v="10.86046511627907"/>
    <x v="1"/>
    <n v="0.96487603305785119"/>
    <s v="Viewers"/>
  </r>
  <r>
    <n v="7667"/>
    <s v="Katrina"/>
    <x v="228"/>
    <d v="2024-12-17T00:00:00"/>
    <n v="15.99"/>
    <n v="443"/>
    <x v="6"/>
    <n v="1"/>
    <n v="3"/>
    <b v="0"/>
    <n v="326"/>
    <n v="59"/>
    <x v="5"/>
    <x v="0"/>
    <x v="0"/>
    <x v="10"/>
    <n v="3.9"/>
    <x v="0"/>
    <x v="0"/>
    <x v="743"/>
    <x v="1"/>
    <x v="0"/>
    <x v="0"/>
    <n v="712"/>
    <x v="2"/>
    <n v="4.3553370786516856"/>
    <x v="0"/>
    <n v="1.1506493506493507"/>
    <s v="Viewers"/>
  </r>
  <r>
    <n v="4912"/>
    <s v="Andrea"/>
    <x v="477"/>
    <d v="2024-12-01T00:00:00"/>
    <n v="15.99"/>
    <n v="214"/>
    <x v="2"/>
    <n v="1"/>
    <n v="3"/>
    <b v="0"/>
    <n v="61"/>
    <n v="148"/>
    <x v="2"/>
    <x v="3"/>
    <x v="1"/>
    <x v="49"/>
    <n v="4.0999999999999996"/>
    <x v="1"/>
    <x v="0"/>
    <x v="744"/>
    <x v="0"/>
    <x v="3"/>
    <x v="0"/>
    <n v="424"/>
    <x v="2"/>
    <n v="3.5330188679245285"/>
    <x v="0"/>
    <n v="1.0239234449760766"/>
    <s v="Viewers"/>
  </r>
  <r>
    <n v="7975"/>
    <s v="Suzanne"/>
    <x v="113"/>
    <d v="2024-11-22T00:00:00"/>
    <n v="15.99"/>
    <n v="437"/>
    <x v="4"/>
    <n v="2"/>
    <n v="2"/>
    <b v="1"/>
    <n v="328"/>
    <n v="170"/>
    <x v="6"/>
    <x v="1"/>
    <x v="4"/>
    <x v="14"/>
    <n v="3.6"/>
    <x v="0"/>
    <x v="0"/>
    <x v="23"/>
    <x v="2"/>
    <x v="1"/>
    <x v="0"/>
    <n v="416"/>
    <x v="2"/>
    <n v="7.3533653846153841"/>
    <x v="1"/>
    <n v="0.8775100401606426"/>
    <s v="Viewers"/>
  </r>
  <r>
    <n v="6804"/>
    <s v="Benjamin"/>
    <x v="478"/>
    <d v="2024-12-10T00:00:00"/>
    <n v="15.99"/>
    <n v="419"/>
    <x v="1"/>
    <n v="2"/>
    <n v="1"/>
    <b v="0"/>
    <n v="591"/>
    <n v="166"/>
    <x v="4"/>
    <x v="0"/>
    <x v="1"/>
    <x v="8"/>
    <n v="3.5"/>
    <x v="1"/>
    <x v="0"/>
    <x v="745"/>
    <x v="1"/>
    <x v="4"/>
    <x v="0"/>
    <n v="668"/>
    <x v="2"/>
    <n v="4.3907185628742518"/>
    <x v="0"/>
    <n v="0.55350066050198155"/>
    <s v="Viewers"/>
  </r>
  <r>
    <n v="3877"/>
    <s v="Shannon"/>
    <x v="389"/>
    <d v="2024-11-24T00:00:00"/>
    <n v="11.99"/>
    <n v="129"/>
    <x v="0"/>
    <n v="2"/>
    <n v="5"/>
    <b v="0"/>
    <n v="527"/>
    <n v="153"/>
    <x v="4"/>
    <x v="0"/>
    <x v="1"/>
    <x v="13"/>
    <n v="4.5999999999999996"/>
    <x v="0"/>
    <x v="0"/>
    <x v="746"/>
    <x v="4"/>
    <x v="1"/>
    <x v="0"/>
    <n v="132"/>
    <x v="1"/>
    <n v="6.8409090909090908"/>
    <x v="1"/>
    <n v="0.18970588235294117"/>
    <s v="Viewers"/>
  </r>
  <r>
    <n v="8768"/>
    <s v="Stephen"/>
    <x v="479"/>
    <d v="2024-12-01T00:00:00"/>
    <n v="15.99"/>
    <n v="75"/>
    <x v="2"/>
    <n v="5"/>
    <n v="1"/>
    <b v="1"/>
    <n v="115"/>
    <n v="122"/>
    <x v="4"/>
    <x v="1"/>
    <x v="0"/>
    <x v="89"/>
    <n v="3.5"/>
    <x v="0"/>
    <x v="0"/>
    <x v="747"/>
    <x v="4"/>
    <x v="1"/>
    <x v="1"/>
    <n v="22"/>
    <x v="2"/>
    <n v="23.863636363636363"/>
    <x v="2"/>
    <n v="0.31645569620253167"/>
    <s v="Viewers"/>
  </r>
  <r>
    <n v="1420"/>
    <s v="Courtney"/>
    <x v="34"/>
    <d v="2024-12-05T00:00:00"/>
    <n v="7.99"/>
    <n v="346"/>
    <x v="3"/>
    <n v="5"/>
    <n v="5"/>
    <b v="1"/>
    <n v="732"/>
    <n v="144"/>
    <x v="6"/>
    <x v="0"/>
    <x v="5"/>
    <x v="59"/>
    <n v="4.9000000000000004"/>
    <x v="0"/>
    <x v="0"/>
    <x v="112"/>
    <x v="4"/>
    <x v="4"/>
    <x v="0"/>
    <n v="63"/>
    <x v="0"/>
    <n v="38.444444444444443"/>
    <x v="2"/>
    <n v="0.3949771689497717"/>
    <s v="Viewers"/>
  </r>
  <r>
    <n v="2306"/>
    <s v="Daniel"/>
    <x v="480"/>
    <d v="2024-12-01T00:00:00"/>
    <n v="11.99"/>
    <n v="480"/>
    <x v="4"/>
    <n v="4"/>
    <n v="6"/>
    <b v="1"/>
    <n v="509"/>
    <n v="12"/>
    <x v="1"/>
    <x v="2"/>
    <x v="4"/>
    <x v="80"/>
    <n v="3.1"/>
    <x v="0"/>
    <x v="0"/>
    <x v="514"/>
    <x v="0"/>
    <x v="1"/>
    <x v="1"/>
    <n v="570"/>
    <x v="1"/>
    <n v="5.8947368421052628"/>
    <x v="1"/>
    <n v="0.92130518234165071"/>
    <s v="Viewers"/>
  </r>
  <r>
    <n v="2079"/>
    <s v="Janet"/>
    <x v="481"/>
    <d v="2024-12-02T00:00:00"/>
    <n v="11.99"/>
    <n v="188"/>
    <x v="4"/>
    <n v="2"/>
    <n v="2"/>
    <b v="1"/>
    <n v="655"/>
    <n v="16"/>
    <x v="0"/>
    <x v="0"/>
    <x v="4"/>
    <x v="16"/>
    <n v="3.3"/>
    <x v="1"/>
    <x v="0"/>
    <x v="548"/>
    <x v="3"/>
    <x v="0"/>
    <x v="0"/>
    <n v="160"/>
    <x v="1"/>
    <n v="8.2249999999999996"/>
    <x v="1"/>
    <n v="0.28017883755588674"/>
    <s v="Viewers"/>
  </r>
  <r>
    <n v="3554"/>
    <s v="Phyllis"/>
    <x v="387"/>
    <d v="2024-12-04T00:00:00"/>
    <n v="7.99"/>
    <n v="420"/>
    <x v="1"/>
    <n v="4"/>
    <n v="1"/>
    <b v="0"/>
    <n v="399"/>
    <n v="45"/>
    <x v="0"/>
    <x v="1"/>
    <x v="5"/>
    <x v="64"/>
    <n v="4"/>
    <x v="0"/>
    <x v="0"/>
    <x v="748"/>
    <x v="1"/>
    <x v="1"/>
    <x v="2"/>
    <n v="280"/>
    <x v="0"/>
    <n v="10.5"/>
    <x v="1"/>
    <n v="0.94594594594594594"/>
    <s v="Viewers"/>
  </r>
  <r>
    <n v="7616"/>
    <s v="Amanda"/>
    <x v="148"/>
    <d v="2024-12-11T00:00:00"/>
    <n v="15.99"/>
    <n v="204"/>
    <x v="4"/>
    <n v="3"/>
    <n v="5"/>
    <b v="0"/>
    <n v="597"/>
    <n v="118"/>
    <x v="5"/>
    <x v="1"/>
    <x v="4"/>
    <x v="22"/>
    <n v="3.1"/>
    <x v="1"/>
    <x v="0"/>
    <x v="749"/>
    <x v="0"/>
    <x v="0"/>
    <x v="1"/>
    <n v="550"/>
    <x v="2"/>
    <n v="2.5963636363636367"/>
    <x v="0"/>
    <n v="0.28531468531468529"/>
    <s v="Viewers"/>
  </r>
  <r>
    <n v="5650"/>
    <s v="Timothy"/>
    <x v="482"/>
    <d v="2024-12-08T00:00:00"/>
    <n v="15.99"/>
    <n v="355"/>
    <x v="4"/>
    <n v="1"/>
    <n v="1"/>
    <b v="1"/>
    <n v="358"/>
    <n v="173"/>
    <x v="1"/>
    <x v="3"/>
    <x v="0"/>
    <x v="22"/>
    <n v="4.8"/>
    <x v="0"/>
    <x v="0"/>
    <x v="750"/>
    <x v="1"/>
    <x v="2"/>
    <x v="3"/>
    <n v="472"/>
    <x v="2"/>
    <n v="5.2648305084745761"/>
    <x v="1"/>
    <n v="0.66854990583804141"/>
    <s v="Viewers"/>
  </r>
  <r>
    <n v="9385"/>
    <s v="Lynn"/>
    <x v="483"/>
    <d v="2024-12-03T00:00:00"/>
    <n v="7.99"/>
    <n v="200"/>
    <x v="1"/>
    <n v="3"/>
    <n v="2"/>
    <b v="0"/>
    <n v="453"/>
    <n v="172"/>
    <x v="1"/>
    <x v="0"/>
    <x v="4"/>
    <x v="6"/>
    <n v="4.4000000000000004"/>
    <x v="1"/>
    <x v="0"/>
    <x v="751"/>
    <x v="4"/>
    <x v="4"/>
    <x v="2"/>
    <n v="105"/>
    <x v="0"/>
    <n v="13.333333333333334"/>
    <x v="1"/>
    <n v="0.32"/>
    <s v="Viewers"/>
  </r>
  <r>
    <n v="2482"/>
    <s v="Courtney"/>
    <x v="47"/>
    <d v="2024-11-29T00:00:00"/>
    <n v="7.99"/>
    <n v="178"/>
    <x v="0"/>
    <n v="2"/>
    <n v="2"/>
    <b v="1"/>
    <n v="378"/>
    <n v="117"/>
    <x v="3"/>
    <x v="2"/>
    <x v="0"/>
    <x v="40"/>
    <n v="4.8"/>
    <x v="1"/>
    <x v="0"/>
    <x v="752"/>
    <x v="1"/>
    <x v="3"/>
    <x v="1"/>
    <n v="614"/>
    <x v="0"/>
    <n v="2.0293159609120521"/>
    <x v="0"/>
    <n v="0.35959595959595958"/>
    <s v="Viewers"/>
  </r>
  <r>
    <n v="9017"/>
    <s v="Reginald"/>
    <x v="466"/>
    <d v="2024-12-11T00:00:00"/>
    <n v="11.99"/>
    <n v="337"/>
    <x v="3"/>
    <n v="2"/>
    <n v="2"/>
    <b v="1"/>
    <n v="750"/>
    <n v="146"/>
    <x v="3"/>
    <x v="2"/>
    <x v="4"/>
    <x v="90"/>
    <n v="4.0999999999999996"/>
    <x v="1"/>
    <x v="0"/>
    <x v="753"/>
    <x v="1"/>
    <x v="0"/>
    <x v="0"/>
    <n v="150"/>
    <x v="1"/>
    <n v="15.726666666666668"/>
    <x v="2"/>
    <n v="0.37611607142857145"/>
    <s v="Viewers"/>
  </r>
  <r>
    <n v="7001"/>
    <s v="Lori"/>
    <x v="247"/>
    <d v="2024-11-30T00:00:00"/>
    <n v="11.99"/>
    <n v="24"/>
    <x v="1"/>
    <n v="4"/>
    <n v="4"/>
    <b v="0"/>
    <n v="30"/>
    <n v="20"/>
    <x v="2"/>
    <x v="3"/>
    <x v="0"/>
    <x v="25"/>
    <n v="3.9"/>
    <x v="0"/>
    <x v="0"/>
    <x v="754"/>
    <x v="3"/>
    <x v="2"/>
    <x v="3"/>
    <n v="480"/>
    <x v="1"/>
    <n v="0.35000000000000003"/>
    <x v="0"/>
    <n v="0.48"/>
    <s v="Viewers"/>
  </r>
  <r>
    <n v="2942"/>
    <s v="Jaclyn"/>
    <x v="224"/>
    <d v="2024-11-30T00:00:00"/>
    <n v="11.99"/>
    <n v="167"/>
    <x v="2"/>
    <n v="5"/>
    <n v="5"/>
    <b v="0"/>
    <n v="127"/>
    <n v="138"/>
    <x v="2"/>
    <x v="2"/>
    <x v="2"/>
    <x v="29"/>
    <n v="4.7"/>
    <x v="1"/>
    <x v="0"/>
    <x v="755"/>
    <x v="2"/>
    <x v="0"/>
    <x v="1"/>
    <n v="660"/>
    <x v="1"/>
    <n v="1.771212121212121"/>
    <x v="0"/>
    <n v="0.63018867924528299"/>
    <s v="Viewers"/>
  </r>
  <r>
    <n v="8833"/>
    <s v="Cheryl"/>
    <x v="386"/>
    <d v="2024-12-11T00:00:00"/>
    <n v="7.99"/>
    <n v="289"/>
    <x v="1"/>
    <n v="5"/>
    <n v="2"/>
    <b v="0"/>
    <n v="216"/>
    <n v="162"/>
    <x v="6"/>
    <x v="0"/>
    <x v="0"/>
    <x v="33"/>
    <n v="3.7"/>
    <x v="1"/>
    <x v="0"/>
    <x v="756"/>
    <x v="2"/>
    <x v="4"/>
    <x v="0"/>
    <n v="187"/>
    <x v="0"/>
    <n v="10.818181818181818"/>
    <x v="1"/>
    <n v="0.76455026455026454"/>
    <s v="Viewers"/>
  </r>
  <r>
    <n v="8079"/>
    <s v="Jennifer"/>
    <x v="402"/>
    <d v="2024-12-13T00:00:00"/>
    <n v="7.99"/>
    <n v="450"/>
    <x v="0"/>
    <n v="1"/>
    <n v="2"/>
    <b v="1"/>
    <n v="12"/>
    <n v="133"/>
    <x v="1"/>
    <x v="1"/>
    <x v="0"/>
    <x v="90"/>
    <n v="3.4"/>
    <x v="0"/>
    <x v="0"/>
    <x v="757"/>
    <x v="4"/>
    <x v="0"/>
    <x v="3"/>
    <n v="525"/>
    <x v="0"/>
    <n v="6"/>
    <x v="1"/>
    <n v="3.103448275862069"/>
    <s v="Viewers"/>
  </r>
  <r>
    <n v="3797"/>
    <s v="Jennifer"/>
    <x v="356"/>
    <d v="2024-12-17T00:00:00"/>
    <n v="11.99"/>
    <n v="165"/>
    <x v="2"/>
    <n v="5"/>
    <n v="5"/>
    <b v="0"/>
    <n v="421"/>
    <n v="3"/>
    <x v="0"/>
    <x v="3"/>
    <x v="4"/>
    <x v="41"/>
    <n v="4.5"/>
    <x v="1"/>
    <x v="0"/>
    <x v="758"/>
    <x v="1"/>
    <x v="4"/>
    <x v="1"/>
    <n v="196"/>
    <x v="1"/>
    <n v="5.8928571428571432"/>
    <x v="1"/>
    <n v="0.38915094339622641"/>
    <s v="Viewers"/>
  </r>
  <r>
    <n v="7268"/>
    <s v="Deborah"/>
    <x v="324"/>
    <d v="2024-12-17T00:00:00"/>
    <n v="15.99"/>
    <n v="391"/>
    <x v="0"/>
    <n v="2"/>
    <n v="2"/>
    <b v="0"/>
    <n v="988"/>
    <n v="82"/>
    <x v="0"/>
    <x v="0"/>
    <x v="1"/>
    <x v="59"/>
    <n v="3"/>
    <x v="1"/>
    <x v="0"/>
    <x v="759"/>
    <x v="2"/>
    <x v="2"/>
    <x v="2"/>
    <n v="589"/>
    <x v="2"/>
    <n v="4.6468590831918508"/>
    <x v="0"/>
    <n v="0.36542056074766355"/>
    <s v="Viewers"/>
  </r>
  <r>
    <n v="9803"/>
    <s v="Tina"/>
    <x v="466"/>
    <d v="2024-11-23T00:00:00"/>
    <n v="11.99"/>
    <n v="318"/>
    <x v="1"/>
    <n v="2"/>
    <n v="1"/>
    <b v="0"/>
    <n v="376"/>
    <n v="44"/>
    <x v="0"/>
    <x v="3"/>
    <x v="2"/>
    <x v="19"/>
    <n v="3.9"/>
    <x v="0"/>
    <x v="0"/>
    <x v="760"/>
    <x v="4"/>
    <x v="1"/>
    <x v="2"/>
    <n v="132"/>
    <x v="1"/>
    <n v="16.863636363636363"/>
    <x v="2"/>
    <n v="0.75714285714285712"/>
    <s v="Viewers"/>
  </r>
  <r>
    <n v="2165"/>
    <s v="Allison"/>
    <x v="338"/>
    <d v="2024-11-29T00:00:00"/>
    <n v="15.99"/>
    <n v="157"/>
    <x v="3"/>
    <n v="2"/>
    <n v="2"/>
    <b v="0"/>
    <n v="542"/>
    <n v="80"/>
    <x v="4"/>
    <x v="0"/>
    <x v="4"/>
    <x v="56"/>
    <n v="4.2"/>
    <x v="0"/>
    <x v="0"/>
    <x v="761"/>
    <x v="2"/>
    <x v="0"/>
    <x v="1"/>
    <n v="160"/>
    <x v="2"/>
    <n v="6.8687499999999995"/>
    <x v="1"/>
    <n v="0.25241157556270094"/>
    <s v="Viewers"/>
  </r>
  <r>
    <n v="1528"/>
    <s v="Sara"/>
    <x v="484"/>
    <d v="2024-11-19T00:00:00"/>
    <n v="11.99"/>
    <n v="25"/>
    <x v="1"/>
    <n v="3"/>
    <n v="5"/>
    <b v="1"/>
    <n v="232"/>
    <n v="196"/>
    <x v="2"/>
    <x v="1"/>
    <x v="3"/>
    <x v="60"/>
    <n v="3.2"/>
    <x v="0"/>
    <x v="0"/>
    <x v="762"/>
    <x v="2"/>
    <x v="2"/>
    <x v="2"/>
    <n v="679"/>
    <x v="1"/>
    <n v="0.25773195876288657"/>
    <x v="0"/>
    <n v="5.8411214953271028E-2"/>
    <s v=" Browsers"/>
  </r>
  <r>
    <n v="5978"/>
    <s v="Joel"/>
    <x v="275"/>
    <d v="2024-12-09T00:00:00"/>
    <n v="11.99"/>
    <n v="112"/>
    <x v="1"/>
    <n v="3"/>
    <n v="4"/>
    <b v="1"/>
    <n v="505"/>
    <n v="118"/>
    <x v="2"/>
    <x v="0"/>
    <x v="4"/>
    <x v="74"/>
    <n v="3.9"/>
    <x v="0"/>
    <x v="0"/>
    <x v="763"/>
    <x v="1"/>
    <x v="1"/>
    <x v="3"/>
    <n v="607"/>
    <x v="1"/>
    <n v="1.2915980230642505"/>
    <x v="0"/>
    <n v="0.1797752808988764"/>
    <s v="Viewers"/>
  </r>
  <r>
    <n v="5967"/>
    <s v="Diana"/>
    <x v="130"/>
    <d v="2024-12-14T00:00:00"/>
    <n v="11.99"/>
    <n v="479"/>
    <x v="0"/>
    <n v="2"/>
    <n v="5"/>
    <b v="0"/>
    <n v="394"/>
    <n v="35"/>
    <x v="4"/>
    <x v="3"/>
    <x v="2"/>
    <x v="67"/>
    <n v="3.7"/>
    <x v="0"/>
    <x v="0"/>
    <x v="764"/>
    <x v="1"/>
    <x v="1"/>
    <x v="0"/>
    <n v="582"/>
    <x v="1"/>
    <n v="5.761168384879725"/>
    <x v="1"/>
    <n v="1.1165501165501166"/>
    <s v="Viewers"/>
  </r>
  <r>
    <n v="4254"/>
    <s v="James"/>
    <x v="68"/>
    <d v="2024-12-18T00:00:00"/>
    <n v="11.99"/>
    <n v="233"/>
    <x v="6"/>
    <n v="1"/>
    <n v="2"/>
    <b v="1"/>
    <n v="769"/>
    <n v="132"/>
    <x v="3"/>
    <x v="0"/>
    <x v="0"/>
    <x v="45"/>
    <n v="4.3"/>
    <x v="1"/>
    <x v="0"/>
    <x v="765"/>
    <x v="3"/>
    <x v="2"/>
    <x v="2"/>
    <n v="506"/>
    <x v="1"/>
    <n v="3.2233201581027666"/>
    <x v="0"/>
    <n v="0.25860155382907879"/>
    <s v="Viewers"/>
  </r>
  <r>
    <n v="2186"/>
    <s v="Jeffrey"/>
    <x v="382"/>
    <d v="2024-12-18T00:00:00"/>
    <n v="7.99"/>
    <n v="44"/>
    <x v="1"/>
    <n v="4"/>
    <n v="4"/>
    <b v="0"/>
    <n v="89"/>
    <n v="90"/>
    <x v="3"/>
    <x v="1"/>
    <x v="5"/>
    <x v="60"/>
    <n v="5"/>
    <x v="1"/>
    <x v="0"/>
    <x v="766"/>
    <x v="4"/>
    <x v="0"/>
    <x v="0"/>
    <n v="21"/>
    <x v="0"/>
    <n v="14.666666666666666"/>
    <x v="1"/>
    <n v="0.24581005586592178"/>
    <s v="Viewers"/>
  </r>
  <r>
    <n v="7644"/>
    <s v="Christian"/>
    <x v="485"/>
    <d v="2024-12-15T00:00:00"/>
    <n v="15.99"/>
    <n v="456"/>
    <x v="0"/>
    <n v="2"/>
    <n v="3"/>
    <b v="1"/>
    <n v="240"/>
    <n v="83"/>
    <x v="1"/>
    <x v="2"/>
    <x v="0"/>
    <x v="24"/>
    <n v="4"/>
    <x v="0"/>
    <x v="0"/>
    <x v="767"/>
    <x v="2"/>
    <x v="2"/>
    <x v="0"/>
    <n v="7"/>
    <x v="2"/>
    <n v="456"/>
    <x v="2"/>
    <n v="1.411764705882353"/>
    <s v="Viewers"/>
  </r>
  <r>
    <n v="5897"/>
    <s v="Hunter"/>
    <x v="486"/>
    <d v="2024-12-06T00:00:00"/>
    <n v="7.99"/>
    <n v="486"/>
    <x v="1"/>
    <n v="3"/>
    <n v="2"/>
    <b v="0"/>
    <n v="181"/>
    <n v="15"/>
    <x v="5"/>
    <x v="2"/>
    <x v="1"/>
    <x v="13"/>
    <n v="4.2"/>
    <x v="0"/>
    <x v="0"/>
    <x v="768"/>
    <x v="4"/>
    <x v="2"/>
    <x v="2"/>
    <n v="451"/>
    <x v="0"/>
    <n v="7.5432372505543235"/>
    <x v="1"/>
    <n v="2.4795918367346941"/>
    <s v="Viewers"/>
  </r>
  <r>
    <n v="7465"/>
    <s v="Shane"/>
    <x v="487"/>
    <d v="2024-12-01T00:00:00"/>
    <n v="11.99"/>
    <n v="308"/>
    <x v="0"/>
    <n v="4"/>
    <n v="3"/>
    <b v="1"/>
    <n v="284"/>
    <n v="81"/>
    <x v="4"/>
    <x v="2"/>
    <x v="3"/>
    <x v="92"/>
    <n v="3.7"/>
    <x v="1"/>
    <x v="0"/>
    <x v="769"/>
    <x v="4"/>
    <x v="2"/>
    <x v="3"/>
    <n v="20"/>
    <x v="1"/>
    <n v="107.8"/>
    <x v="2"/>
    <n v="0.84383561643835614"/>
    <s v="Viewers"/>
  </r>
  <r>
    <n v="3724"/>
    <s v="Brittany"/>
    <x v="488"/>
    <d v="2024-12-02T00:00:00"/>
    <n v="7.99"/>
    <n v="161"/>
    <x v="6"/>
    <n v="3"/>
    <n v="5"/>
    <b v="0"/>
    <n v="698"/>
    <n v="77"/>
    <x v="1"/>
    <x v="0"/>
    <x v="3"/>
    <x v="7"/>
    <n v="3.7"/>
    <x v="0"/>
    <x v="0"/>
    <x v="770"/>
    <x v="3"/>
    <x v="3"/>
    <x v="3"/>
    <n v="157"/>
    <x v="0"/>
    <n v="7.1783439490445868"/>
    <x v="1"/>
    <n v="0.20774193548387096"/>
    <s v="Viewers"/>
  </r>
  <r>
    <n v="2914"/>
    <s v="Erica"/>
    <x v="402"/>
    <d v="2024-12-14T00:00:00"/>
    <n v="15.99"/>
    <n v="316"/>
    <x v="5"/>
    <n v="3"/>
    <n v="1"/>
    <b v="0"/>
    <n v="734"/>
    <n v="21"/>
    <x v="1"/>
    <x v="2"/>
    <x v="0"/>
    <x v="15"/>
    <n v="4.5999999999999996"/>
    <x v="0"/>
    <x v="0"/>
    <x v="771"/>
    <x v="2"/>
    <x v="4"/>
    <x v="0"/>
    <n v="526"/>
    <x v="2"/>
    <n v="4.2053231939163505"/>
    <x v="0"/>
    <n v="0.41854304635761591"/>
    <s v="Viewers"/>
  </r>
  <r>
    <n v="4110"/>
    <s v="Justin"/>
    <x v="489"/>
    <d v="2024-11-26T00:00:00"/>
    <n v="11.99"/>
    <n v="133"/>
    <x v="1"/>
    <n v="5"/>
    <n v="4"/>
    <b v="0"/>
    <n v="951"/>
    <n v="86"/>
    <x v="2"/>
    <x v="0"/>
    <x v="1"/>
    <x v="51"/>
    <n v="4.4000000000000004"/>
    <x v="0"/>
    <x v="0"/>
    <x v="772"/>
    <x v="2"/>
    <x v="3"/>
    <x v="1"/>
    <n v="304"/>
    <x v="1"/>
    <n v="3.0625"/>
    <x v="0"/>
    <n v="0.12825458052073288"/>
    <s v=" Browsers"/>
  </r>
  <r>
    <n v="6944"/>
    <s v="Sarah"/>
    <x v="490"/>
    <d v="2024-11-30T00:00:00"/>
    <n v="15.99"/>
    <n v="270"/>
    <x v="5"/>
    <n v="3"/>
    <n v="6"/>
    <b v="0"/>
    <n v="271"/>
    <n v="5"/>
    <x v="2"/>
    <x v="2"/>
    <x v="3"/>
    <x v="81"/>
    <n v="3.5"/>
    <x v="0"/>
    <x v="0"/>
    <x v="746"/>
    <x v="3"/>
    <x v="2"/>
    <x v="0"/>
    <n v="186"/>
    <x v="2"/>
    <n v="10.161290322580644"/>
    <x v="1"/>
    <n v="0.97826086956521741"/>
    <s v="Viewers"/>
  </r>
  <r>
    <n v="3639"/>
    <s v="Lindsay"/>
    <x v="244"/>
    <d v="2024-11-22T00:00:00"/>
    <n v="11.99"/>
    <n v="85"/>
    <x v="4"/>
    <n v="3"/>
    <n v="1"/>
    <b v="1"/>
    <n v="851"/>
    <n v="48"/>
    <x v="0"/>
    <x v="3"/>
    <x v="5"/>
    <x v="30"/>
    <n v="4.5999999999999996"/>
    <x v="0"/>
    <x v="0"/>
    <x v="773"/>
    <x v="4"/>
    <x v="0"/>
    <x v="1"/>
    <n v="490"/>
    <x v="1"/>
    <n v="1.2142857142857142"/>
    <x v="0"/>
    <n v="9.4549499443826471E-2"/>
    <s v=" Browsers"/>
  </r>
  <r>
    <n v="8416"/>
    <s v="Rachel"/>
    <x v="491"/>
    <d v="2024-11-29T00:00:00"/>
    <n v="11.99"/>
    <n v="65"/>
    <x v="1"/>
    <n v="2"/>
    <n v="3"/>
    <b v="1"/>
    <n v="302"/>
    <n v="6"/>
    <x v="2"/>
    <x v="0"/>
    <x v="0"/>
    <x v="74"/>
    <n v="3.5"/>
    <x v="1"/>
    <x v="0"/>
    <x v="774"/>
    <x v="4"/>
    <x v="2"/>
    <x v="1"/>
    <n v="581"/>
    <x v="1"/>
    <n v="0.7831325301204819"/>
    <x v="0"/>
    <n v="0.21103896103896103"/>
    <s v="Viewers"/>
  </r>
  <r>
    <n v="7753"/>
    <s v="David"/>
    <x v="107"/>
    <d v="2024-12-13T00:00:00"/>
    <n v="7.99"/>
    <n v="393"/>
    <x v="1"/>
    <n v="3"/>
    <n v="3"/>
    <b v="0"/>
    <n v="829"/>
    <n v="117"/>
    <x v="0"/>
    <x v="2"/>
    <x v="0"/>
    <x v="15"/>
    <n v="4.9000000000000004"/>
    <x v="1"/>
    <x v="0"/>
    <x v="685"/>
    <x v="2"/>
    <x v="0"/>
    <x v="3"/>
    <n v="4"/>
    <x v="0"/>
    <n v="687.75"/>
    <x v="2"/>
    <n v="0.41543340380549681"/>
    <s v="Viewers"/>
  </r>
  <r>
    <n v="9528"/>
    <s v="Breanna"/>
    <x v="471"/>
    <d v="2024-12-12T00:00:00"/>
    <n v="11.99"/>
    <n v="181"/>
    <x v="0"/>
    <n v="5"/>
    <n v="5"/>
    <b v="0"/>
    <n v="860"/>
    <n v="148"/>
    <x v="0"/>
    <x v="1"/>
    <x v="2"/>
    <x v="20"/>
    <n v="4.3"/>
    <x v="1"/>
    <x v="0"/>
    <x v="775"/>
    <x v="4"/>
    <x v="2"/>
    <x v="3"/>
    <n v="665"/>
    <x v="1"/>
    <n v="1.9052631578947368"/>
    <x v="0"/>
    <n v="0.17956349206349206"/>
    <s v="Viewers"/>
  </r>
  <r>
    <n v="2960"/>
    <s v="James"/>
    <x v="492"/>
    <d v="2024-12-09T00:00:00"/>
    <n v="11.99"/>
    <n v="416"/>
    <x v="2"/>
    <n v="5"/>
    <n v="4"/>
    <b v="1"/>
    <n v="964"/>
    <n v="187"/>
    <x v="0"/>
    <x v="3"/>
    <x v="5"/>
    <x v="65"/>
    <n v="3.2"/>
    <x v="0"/>
    <x v="0"/>
    <x v="572"/>
    <x v="2"/>
    <x v="0"/>
    <x v="0"/>
    <n v="372"/>
    <x v="1"/>
    <n v="7.8279569892473111"/>
    <x v="1"/>
    <n v="0.36142484795829716"/>
    <s v="Viewers"/>
  </r>
  <r>
    <n v="1090"/>
    <s v="Hector"/>
    <x v="254"/>
    <d v="2024-11-29T00:00:00"/>
    <n v="15.99"/>
    <n v="243"/>
    <x v="2"/>
    <n v="3"/>
    <n v="2"/>
    <b v="0"/>
    <n v="40"/>
    <n v="52"/>
    <x v="1"/>
    <x v="3"/>
    <x v="4"/>
    <x v="69"/>
    <n v="4"/>
    <x v="1"/>
    <x v="0"/>
    <x v="776"/>
    <x v="1"/>
    <x v="1"/>
    <x v="2"/>
    <n v="196"/>
    <x v="2"/>
    <n v="8.6785714285714288"/>
    <x v="1"/>
    <n v="2.6413043478260869"/>
    <s v="Viewers"/>
  </r>
  <r>
    <n v="2410"/>
    <s v="Jennifer"/>
    <x v="485"/>
    <d v="2024-12-11T00:00:00"/>
    <n v="11.99"/>
    <n v="381"/>
    <x v="6"/>
    <n v="2"/>
    <n v="3"/>
    <b v="1"/>
    <n v="568"/>
    <n v="62"/>
    <x v="5"/>
    <x v="1"/>
    <x v="2"/>
    <x v="16"/>
    <n v="4.8"/>
    <x v="0"/>
    <x v="0"/>
    <x v="777"/>
    <x v="3"/>
    <x v="1"/>
    <x v="0"/>
    <n v="3"/>
    <x v="1"/>
    <n v="889"/>
    <x v="2"/>
    <n v="0.60476190476190472"/>
    <s v="Viewers"/>
  </r>
  <r>
    <n v="1575"/>
    <s v="James"/>
    <x v="477"/>
    <d v="2024-12-11T00:00:00"/>
    <n v="11.99"/>
    <n v="71"/>
    <x v="5"/>
    <n v="5"/>
    <n v="4"/>
    <b v="1"/>
    <n v="666"/>
    <n v="100"/>
    <x v="4"/>
    <x v="2"/>
    <x v="2"/>
    <x v="28"/>
    <n v="3.1"/>
    <x v="0"/>
    <x v="0"/>
    <x v="778"/>
    <x v="1"/>
    <x v="3"/>
    <x v="0"/>
    <n v="434"/>
    <x v="1"/>
    <n v="1.1451612903225807"/>
    <x v="0"/>
    <n v="9.2689295039164496E-2"/>
    <s v=" Browsers"/>
  </r>
  <r>
    <n v="9259"/>
    <s v="Dale"/>
    <x v="493"/>
    <d v="2024-12-07T00:00:00"/>
    <n v="11.99"/>
    <n v="219"/>
    <x v="4"/>
    <n v="4"/>
    <n v="1"/>
    <b v="1"/>
    <n v="318"/>
    <n v="37"/>
    <x v="6"/>
    <x v="3"/>
    <x v="3"/>
    <x v="1"/>
    <n v="3.9"/>
    <x v="1"/>
    <x v="0"/>
    <x v="779"/>
    <x v="3"/>
    <x v="3"/>
    <x v="0"/>
    <n v="115"/>
    <x v="1"/>
    <n v="13.330434782608696"/>
    <x v="1"/>
    <n v="0.61690140845070418"/>
    <s v="Viewers"/>
  </r>
  <r>
    <n v="2170"/>
    <s v="Lisa"/>
    <x v="298"/>
    <d v="2024-12-15T00:00:00"/>
    <n v="15.99"/>
    <n v="335"/>
    <x v="0"/>
    <n v="2"/>
    <n v="4"/>
    <b v="0"/>
    <n v="609"/>
    <n v="181"/>
    <x v="1"/>
    <x v="0"/>
    <x v="0"/>
    <x v="74"/>
    <n v="4.7"/>
    <x v="1"/>
    <x v="0"/>
    <x v="780"/>
    <x v="3"/>
    <x v="2"/>
    <x v="0"/>
    <n v="404"/>
    <x v="2"/>
    <n v="5.8044554455445541"/>
    <x v="1"/>
    <n v="0.42405063291139239"/>
    <s v="Viewers"/>
  </r>
  <r>
    <n v="2237"/>
    <s v="Anthony"/>
    <x v="173"/>
    <d v="2024-12-18T00:00:00"/>
    <n v="7.99"/>
    <n v="435"/>
    <x v="5"/>
    <n v="2"/>
    <n v="1"/>
    <b v="0"/>
    <n v="163"/>
    <n v="69"/>
    <x v="3"/>
    <x v="0"/>
    <x v="1"/>
    <x v="50"/>
    <n v="4.8"/>
    <x v="1"/>
    <x v="0"/>
    <x v="772"/>
    <x v="3"/>
    <x v="0"/>
    <x v="3"/>
    <n v="559"/>
    <x v="0"/>
    <n v="5.447227191413238"/>
    <x v="1"/>
    <n v="1.875"/>
    <s v="Viewers"/>
  </r>
  <r>
    <n v="2697"/>
    <s v="Christine"/>
    <x v="235"/>
    <d v="2024-12-09T00:00:00"/>
    <n v="15.99"/>
    <n v="423"/>
    <x v="1"/>
    <n v="4"/>
    <n v="3"/>
    <b v="0"/>
    <n v="648"/>
    <n v="46"/>
    <x v="0"/>
    <x v="1"/>
    <x v="3"/>
    <x v="13"/>
    <n v="4.5"/>
    <x v="0"/>
    <x v="0"/>
    <x v="781"/>
    <x v="0"/>
    <x v="4"/>
    <x v="0"/>
    <n v="213"/>
    <x v="2"/>
    <n v="13.901408450704226"/>
    <x v="1"/>
    <n v="0.60951008645533145"/>
    <s v="Viewers"/>
  </r>
  <r>
    <n v="4488"/>
    <s v="Stephen"/>
    <x v="461"/>
    <d v="2024-12-05T00:00:00"/>
    <n v="7.99"/>
    <n v="304"/>
    <x v="6"/>
    <n v="1"/>
    <n v="3"/>
    <b v="0"/>
    <n v="975"/>
    <n v="10"/>
    <x v="1"/>
    <x v="0"/>
    <x v="4"/>
    <x v="60"/>
    <n v="3.2"/>
    <x v="0"/>
    <x v="0"/>
    <x v="782"/>
    <x v="2"/>
    <x v="1"/>
    <x v="0"/>
    <n v="557"/>
    <x v="0"/>
    <n v="3.820466786355476"/>
    <x v="0"/>
    <n v="0.30862944162436551"/>
    <s v="Viewers"/>
  </r>
  <r>
    <n v="5291"/>
    <s v="Marvin"/>
    <x v="348"/>
    <d v="2024-12-17T00:00:00"/>
    <n v="11.99"/>
    <n v="455"/>
    <x v="1"/>
    <n v="3"/>
    <n v="6"/>
    <b v="1"/>
    <n v="15"/>
    <n v="36"/>
    <x v="5"/>
    <x v="1"/>
    <x v="4"/>
    <x v="86"/>
    <n v="4.2"/>
    <x v="0"/>
    <x v="0"/>
    <x v="783"/>
    <x v="4"/>
    <x v="2"/>
    <x v="3"/>
    <n v="297"/>
    <x v="1"/>
    <n v="10.723905723905723"/>
    <x v="1"/>
    <n v="8.9215686274509807"/>
    <s v="Viewers"/>
  </r>
  <r>
    <n v="6287"/>
    <s v="Jasmine"/>
    <x v="494"/>
    <d v="2024-11-30T00:00:00"/>
    <n v="11.99"/>
    <n v="449"/>
    <x v="3"/>
    <n v="1"/>
    <n v="2"/>
    <b v="1"/>
    <n v="268"/>
    <n v="11"/>
    <x v="1"/>
    <x v="1"/>
    <x v="4"/>
    <x v="12"/>
    <n v="5"/>
    <x v="0"/>
    <x v="0"/>
    <x v="784"/>
    <x v="1"/>
    <x v="1"/>
    <x v="1"/>
    <n v="581"/>
    <x v="1"/>
    <n v="5.4096385542168672"/>
    <x v="1"/>
    <n v="1.6093189964157706"/>
    <s v="Viewers"/>
  </r>
  <r>
    <n v="1953"/>
    <s v="Shannon"/>
    <x v="326"/>
    <d v="2024-11-23T00:00:00"/>
    <n v="15.99"/>
    <n v="39"/>
    <x v="1"/>
    <n v="3"/>
    <n v="1"/>
    <b v="1"/>
    <n v="791"/>
    <n v="3"/>
    <x v="5"/>
    <x v="2"/>
    <x v="3"/>
    <x v="36"/>
    <n v="3.1"/>
    <x v="1"/>
    <x v="0"/>
    <x v="785"/>
    <x v="2"/>
    <x v="1"/>
    <x v="2"/>
    <n v="380"/>
    <x v="2"/>
    <n v="0.71842105263157896"/>
    <x v="0"/>
    <n v="4.9118387909319897E-2"/>
    <s v=" Browsers"/>
  </r>
  <r>
    <n v="3457"/>
    <s v="Kenneth"/>
    <x v="460"/>
    <d v="2024-11-19T00:00:00"/>
    <n v="15.99"/>
    <n v="139"/>
    <x v="5"/>
    <n v="2"/>
    <n v="1"/>
    <b v="0"/>
    <n v="257"/>
    <n v="173"/>
    <x v="4"/>
    <x v="1"/>
    <x v="4"/>
    <x v="88"/>
    <n v="3.7"/>
    <x v="1"/>
    <x v="0"/>
    <x v="786"/>
    <x v="2"/>
    <x v="1"/>
    <x v="0"/>
    <n v="25"/>
    <x v="2"/>
    <n v="38.919999999999995"/>
    <x v="2"/>
    <n v="0.32325581395348835"/>
    <s v="Viewers"/>
  </r>
  <r>
    <n v="6504"/>
    <s v="Michelle"/>
    <x v="22"/>
    <d v="2024-12-18T00:00:00"/>
    <n v="7.99"/>
    <n v="345"/>
    <x v="2"/>
    <n v="1"/>
    <n v="4"/>
    <b v="0"/>
    <n v="767"/>
    <n v="66"/>
    <x v="1"/>
    <x v="1"/>
    <x v="2"/>
    <x v="85"/>
    <n v="3.8"/>
    <x v="0"/>
    <x v="0"/>
    <x v="787"/>
    <x v="1"/>
    <x v="2"/>
    <x v="0"/>
    <n v="395"/>
    <x v="0"/>
    <n v="6.1139240506329111"/>
    <x v="1"/>
    <n v="0.41416566626650658"/>
    <s v="Viewers"/>
  </r>
  <r>
    <n v="7463"/>
    <s v="Ethan"/>
    <x v="35"/>
    <d v="2024-12-06T00:00:00"/>
    <n v="11.99"/>
    <n v="500"/>
    <x v="3"/>
    <n v="3"/>
    <n v="5"/>
    <b v="1"/>
    <n v="362"/>
    <n v="38"/>
    <x v="6"/>
    <x v="1"/>
    <x v="0"/>
    <x v="90"/>
    <n v="4"/>
    <x v="0"/>
    <x v="0"/>
    <x v="788"/>
    <x v="2"/>
    <x v="4"/>
    <x v="1"/>
    <n v="448"/>
    <x v="1"/>
    <n v="7.8125"/>
    <x v="1"/>
    <n v="1.25"/>
    <s v="Viewers"/>
  </r>
  <r>
    <n v="3898"/>
    <s v="Charles"/>
    <x v="495"/>
    <d v="2024-11-28T00:00:00"/>
    <n v="11.99"/>
    <n v="365"/>
    <x v="5"/>
    <n v="5"/>
    <n v="5"/>
    <b v="1"/>
    <n v="779"/>
    <n v="113"/>
    <x v="2"/>
    <x v="0"/>
    <x v="1"/>
    <x v="15"/>
    <n v="4.2"/>
    <x v="0"/>
    <x v="0"/>
    <x v="789"/>
    <x v="0"/>
    <x v="4"/>
    <x v="3"/>
    <n v="266"/>
    <x v="1"/>
    <n v="9.6052631578947363"/>
    <x v="1"/>
    <n v="0.40919282511210764"/>
    <s v="Viewers"/>
  </r>
  <r>
    <n v="8481"/>
    <s v="Stephanie"/>
    <x v="496"/>
    <d v="2024-12-08T00:00:00"/>
    <n v="7.99"/>
    <n v="479"/>
    <x v="6"/>
    <n v="4"/>
    <n v="5"/>
    <b v="0"/>
    <n v="159"/>
    <n v="136"/>
    <x v="1"/>
    <x v="3"/>
    <x v="1"/>
    <x v="34"/>
    <n v="4.2"/>
    <x v="1"/>
    <x v="0"/>
    <x v="790"/>
    <x v="2"/>
    <x v="2"/>
    <x v="1"/>
    <n v="53"/>
    <x v="0"/>
    <n v="63.264150943396231"/>
    <x v="2"/>
    <n v="1.623728813559322"/>
    <s v="Viewers"/>
  </r>
  <r>
    <n v="7810"/>
    <s v="Robert"/>
    <x v="162"/>
    <d v="2024-12-07T00:00:00"/>
    <n v="7.99"/>
    <n v="63"/>
    <x v="4"/>
    <n v="4"/>
    <n v="2"/>
    <b v="1"/>
    <n v="104"/>
    <n v="72"/>
    <x v="6"/>
    <x v="3"/>
    <x v="2"/>
    <x v="71"/>
    <n v="4.9000000000000004"/>
    <x v="1"/>
    <x v="0"/>
    <x v="791"/>
    <x v="3"/>
    <x v="2"/>
    <x v="3"/>
    <n v="440"/>
    <x v="0"/>
    <n v="1.0022727272727274"/>
    <x v="0"/>
    <n v="0.35795454545454547"/>
    <s v="Viewers"/>
  </r>
  <r>
    <n v="6534"/>
    <s v="Larry"/>
    <x v="408"/>
    <d v="2024-12-11T00:00:00"/>
    <n v="11.99"/>
    <n v="104"/>
    <x v="3"/>
    <n v="2"/>
    <n v="6"/>
    <b v="0"/>
    <n v="570"/>
    <n v="29"/>
    <x v="2"/>
    <x v="0"/>
    <x v="1"/>
    <x v="2"/>
    <n v="3.9"/>
    <x v="1"/>
    <x v="0"/>
    <x v="792"/>
    <x v="1"/>
    <x v="0"/>
    <x v="0"/>
    <n v="616"/>
    <x v="1"/>
    <n v="1.1818181818181819"/>
    <x v="0"/>
    <n v="0.17362270450751252"/>
    <s v="Viewers"/>
  </r>
  <r>
    <n v="6025"/>
    <s v="Andrew"/>
    <x v="377"/>
    <d v="2024-11-25T00:00:00"/>
    <n v="15.99"/>
    <n v="380"/>
    <x v="4"/>
    <n v="5"/>
    <n v="5"/>
    <b v="1"/>
    <n v="112"/>
    <n v="149"/>
    <x v="4"/>
    <x v="3"/>
    <x v="2"/>
    <x v="98"/>
    <n v="3.4"/>
    <x v="1"/>
    <x v="0"/>
    <x v="793"/>
    <x v="4"/>
    <x v="3"/>
    <x v="2"/>
    <n v="346"/>
    <x v="2"/>
    <n v="7.6878612716763"/>
    <x v="1"/>
    <n v="1.4559386973180077"/>
    <s v="Viewers"/>
  </r>
  <r>
    <n v="5825"/>
    <s v="Michele"/>
    <x v="415"/>
    <d v="2024-12-13T00:00:00"/>
    <n v="7.99"/>
    <n v="500"/>
    <x v="1"/>
    <n v="5"/>
    <n v="4"/>
    <b v="1"/>
    <n v="568"/>
    <n v="151"/>
    <x v="5"/>
    <x v="3"/>
    <x v="5"/>
    <x v="17"/>
    <n v="3.6"/>
    <x v="0"/>
    <x v="0"/>
    <x v="794"/>
    <x v="0"/>
    <x v="3"/>
    <x v="0"/>
    <n v="305"/>
    <x v="0"/>
    <n v="11.475409836065575"/>
    <x v="1"/>
    <n v="0.69541029207232263"/>
    <s v="Viewers"/>
  </r>
  <r>
    <n v="1185"/>
    <s v="Victor"/>
    <x v="497"/>
    <d v="2024-12-15T00:00:00"/>
    <n v="15.99"/>
    <n v="247"/>
    <x v="6"/>
    <n v="2"/>
    <n v="2"/>
    <b v="0"/>
    <n v="943"/>
    <n v="42"/>
    <x v="2"/>
    <x v="0"/>
    <x v="3"/>
    <x v="26"/>
    <n v="3.5"/>
    <x v="1"/>
    <x v="0"/>
    <x v="795"/>
    <x v="0"/>
    <x v="0"/>
    <x v="1"/>
    <n v="685"/>
    <x v="2"/>
    <n v="2.524087591240876"/>
    <x v="0"/>
    <n v="0.25076142131979695"/>
    <s v="Viewers"/>
  </r>
  <r>
    <n v="4392"/>
    <s v="Craig"/>
    <x v="65"/>
    <d v="2024-12-05T00:00:00"/>
    <n v="11.99"/>
    <n v="486"/>
    <x v="2"/>
    <n v="2"/>
    <n v="6"/>
    <b v="0"/>
    <n v="887"/>
    <n v="128"/>
    <x v="0"/>
    <x v="2"/>
    <x v="1"/>
    <x v="76"/>
    <n v="4.4000000000000004"/>
    <x v="0"/>
    <x v="0"/>
    <x v="796"/>
    <x v="3"/>
    <x v="0"/>
    <x v="2"/>
    <n v="655"/>
    <x v="1"/>
    <n v="5.1938931297709923"/>
    <x v="1"/>
    <n v="0.47881773399014776"/>
    <s v="Viewers"/>
  </r>
  <r>
    <n v="5785"/>
    <s v="William"/>
    <x v="498"/>
    <d v="2024-11-19T00:00:00"/>
    <n v="7.99"/>
    <n v="220"/>
    <x v="0"/>
    <n v="2"/>
    <n v="1"/>
    <b v="0"/>
    <n v="998"/>
    <n v="187"/>
    <x v="3"/>
    <x v="1"/>
    <x v="4"/>
    <x v="71"/>
    <n v="4.4000000000000004"/>
    <x v="0"/>
    <x v="0"/>
    <x v="797"/>
    <x v="2"/>
    <x v="4"/>
    <x v="2"/>
    <n v="254"/>
    <x v="0"/>
    <n v="6.0629921259842519"/>
    <x v="1"/>
    <n v="0.18565400843881857"/>
    <s v="Viewers"/>
  </r>
  <r>
    <n v="4718"/>
    <s v="Stephanie"/>
    <x v="467"/>
    <d v="2024-11-25T00:00:00"/>
    <n v="15.99"/>
    <n v="21"/>
    <x v="1"/>
    <n v="5"/>
    <n v="1"/>
    <b v="1"/>
    <n v="484"/>
    <n v="112"/>
    <x v="3"/>
    <x v="2"/>
    <x v="0"/>
    <x v="51"/>
    <n v="3.5"/>
    <x v="1"/>
    <x v="0"/>
    <x v="798"/>
    <x v="4"/>
    <x v="4"/>
    <x v="2"/>
    <n v="431"/>
    <x v="2"/>
    <n v="0.34106728538283065"/>
    <x v="0"/>
    <n v="3.5234899328859058E-2"/>
    <s v=" Browsers"/>
  </r>
  <r>
    <n v="3992"/>
    <s v="John"/>
    <x v="6"/>
    <d v="2024-11-25T00:00:00"/>
    <n v="11.99"/>
    <n v="417"/>
    <x v="0"/>
    <n v="2"/>
    <n v="5"/>
    <b v="1"/>
    <n v="458"/>
    <n v="145"/>
    <x v="5"/>
    <x v="1"/>
    <x v="3"/>
    <x v="23"/>
    <n v="3.3"/>
    <x v="1"/>
    <x v="0"/>
    <x v="799"/>
    <x v="3"/>
    <x v="1"/>
    <x v="1"/>
    <n v="92"/>
    <x v="1"/>
    <n v="31.728260869565219"/>
    <x v="2"/>
    <n v="0.69154228855721389"/>
    <s v="Viewers"/>
  </r>
  <r>
    <n v="6100"/>
    <s v="Desiree"/>
    <x v="85"/>
    <d v="2024-11-20T00:00:00"/>
    <n v="11.99"/>
    <n v="191"/>
    <x v="5"/>
    <n v="1"/>
    <n v="4"/>
    <b v="0"/>
    <n v="925"/>
    <n v="124"/>
    <x v="5"/>
    <x v="3"/>
    <x v="0"/>
    <x v="86"/>
    <n v="4.0999999999999996"/>
    <x v="0"/>
    <x v="0"/>
    <x v="800"/>
    <x v="0"/>
    <x v="2"/>
    <x v="1"/>
    <n v="149"/>
    <x v="1"/>
    <n v="8.973154362416107"/>
    <x v="1"/>
    <n v="0.18207816968541468"/>
    <s v="Viewers"/>
  </r>
  <r>
    <n v="8495"/>
    <s v="Edward"/>
    <x v="203"/>
    <d v="2024-11-26T00:00:00"/>
    <n v="7.99"/>
    <n v="460"/>
    <x v="5"/>
    <n v="5"/>
    <n v="2"/>
    <b v="0"/>
    <n v="559"/>
    <n v="136"/>
    <x v="6"/>
    <x v="2"/>
    <x v="1"/>
    <x v="27"/>
    <n v="3.6"/>
    <x v="0"/>
    <x v="0"/>
    <x v="167"/>
    <x v="1"/>
    <x v="4"/>
    <x v="2"/>
    <n v="322"/>
    <x v="0"/>
    <n v="10"/>
    <x v="1"/>
    <n v="0.66187050359712229"/>
    <s v="Viewers"/>
  </r>
  <r>
    <n v="3083"/>
    <s v="Jason"/>
    <x v="133"/>
    <d v="2024-12-13T00:00:00"/>
    <n v="7.99"/>
    <n v="413"/>
    <x v="3"/>
    <n v="5"/>
    <n v="5"/>
    <b v="1"/>
    <n v="895"/>
    <n v="3"/>
    <x v="0"/>
    <x v="2"/>
    <x v="1"/>
    <x v="62"/>
    <n v="3.2"/>
    <x v="1"/>
    <x v="0"/>
    <x v="801"/>
    <x v="3"/>
    <x v="0"/>
    <x v="0"/>
    <n v="465"/>
    <x v="0"/>
    <n v="6.2172043010752684"/>
    <x v="1"/>
    <n v="0.45991091314031179"/>
    <s v="Viewers"/>
  </r>
  <r>
    <n v="9936"/>
    <s v="Elizabeth"/>
    <x v="480"/>
    <d v="2024-12-17T00:00:00"/>
    <n v="7.99"/>
    <n v="484"/>
    <x v="0"/>
    <n v="1"/>
    <n v="6"/>
    <b v="1"/>
    <n v="570"/>
    <n v="18"/>
    <x v="5"/>
    <x v="2"/>
    <x v="0"/>
    <x v="78"/>
    <n v="4.5999999999999996"/>
    <x v="1"/>
    <x v="0"/>
    <x v="802"/>
    <x v="0"/>
    <x v="1"/>
    <x v="2"/>
    <n v="586"/>
    <x v="0"/>
    <n v="5.7815699658703075"/>
    <x v="1"/>
    <n v="0.8231292517006803"/>
    <s v="Viewers"/>
  </r>
  <r>
    <n v="2418"/>
    <s v="Nicole"/>
    <x v="499"/>
    <d v="2024-11-19T00:00:00"/>
    <n v="15.99"/>
    <n v="227"/>
    <x v="6"/>
    <n v="1"/>
    <n v="4"/>
    <b v="1"/>
    <n v="187"/>
    <n v="48"/>
    <x v="0"/>
    <x v="2"/>
    <x v="5"/>
    <x v="65"/>
    <n v="3.4"/>
    <x v="1"/>
    <x v="0"/>
    <x v="803"/>
    <x v="3"/>
    <x v="3"/>
    <x v="1"/>
    <n v="76"/>
    <x v="2"/>
    <n v="20.907894736842103"/>
    <x v="2"/>
    <n v="0.96595744680851059"/>
    <s v="Viewers"/>
  </r>
  <r>
    <n v="4089"/>
    <s v="Amy"/>
    <x v="485"/>
    <d v="2024-12-17T00:00:00"/>
    <n v="11.99"/>
    <n v="313"/>
    <x v="2"/>
    <n v="5"/>
    <n v="6"/>
    <b v="1"/>
    <n v="900"/>
    <n v="135"/>
    <x v="1"/>
    <x v="1"/>
    <x v="5"/>
    <x v="62"/>
    <n v="4.8"/>
    <x v="0"/>
    <x v="0"/>
    <x v="804"/>
    <x v="0"/>
    <x v="4"/>
    <x v="3"/>
    <n v="9"/>
    <x v="1"/>
    <n v="243.44444444444443"/>
    <x v="2"/>
    <n v="0.30241545893719807"/>
    <s v="Viewers"/>
  </r>
  <r>
    <n v="8876"/>
    <s v="Leslie"/>
    <x v="241"/>
    <d v="2024-11-23T00:00:00"/>
    <n v="11.99"/>
    <n v="491"/>
    <x v="4"/>
    <n v="2"/>
    <n v="3"/>
    <b v="1"/>
    <n v="194"/>
    <n v="187"/>
    <x v="3"/>
    <x v="0"/>
    <x v="5"/>
    <x v="52"/>
    <n v="4.4000000000000004"/>
    <x v="1"/>
    <x v="0"/>
    <x v="805"/>
    <x v="0"/>
    <x v="1"/>
    <x v="3"/>
    <n v="586"/>
    <x v="1"/>
    <n v="5.865187713310581"/>
    <x v="1"/>
    <n v="1.2887139107611549"/>
    <s v="Viewers"/>
  </r>
  <r>
    <n v="3959"/>
    <s v="Alicia"/>
    <x v="209"/>
    <d v="2024-12-16T00:00:00"/>
    <n v="15.99"/>
    <n v="50"/>
    <x v="2"/>
    <n v="4"/>
    <n v="2"/>
    <b v="1"/>
    <n v="155"/>
    <n v="115"/>
    <x v="0"/>
    <x v="1"/>
    <x v="1"/>
    <x v="92"/>
    <n v="4.3"/>
    <x v="0"/>
    <x v="0"/>
    <x v="806"/>
    <x v="1"/>
    <x v="3"/>
    <x v="3"/>
    <n v="356"/>
    <x v="2"/>
    <n v="0.98314606741573041"/>
    <x v="0"/>
    <n v="0.18518518518518517"/>
    <s v="Viewers"/>
  </r>
  <r>
    <n v="2011"/>
    <s v="Donald"/>
    <x v="172"/>
    <d v="2024-12-04T00:00:00"/>
    <n v="7.99"/>
    <n v="73"/>
    <x v="6"/>
    <n v="2"/>
    <n v="1"/>
    <b v="1"/>
    <n v="184"/>
    <n v="172"/>
    <x v="3"/>
    <x v="3"/>
    <x v="4"/>
    <x v="81"/>
    <n v="4.8"/>
    <x v="0"/>
    <x v="0"/>
    <x v="807"/>
    <x v="0"/>
    <x v="0"/>
    <x v="2"/>
    <n v="570"/>
    <x v="0"/>
    <n v="0.89649122807017545"/>
    <x v="0"/>
    <n v="0.2050561797752809"/>
    <s v="Viewers"/>
  </r>
  <r>
    <n v="7896"/>
    <s v="Michael"/>
    <x v="500"/>
    <d v="2024-11-29T00:00:00"/>
    <n v="11.99"/>
    <n v="139"/>
    <x v="2"/>
    <n v="4"/>
    <n v="5"/>
    <b v="1"/>
    <n v="539"/>
    <n v="152"/>
    <x v="1"/>
    <x v="1"/>
    <x v="1"/>
    <x v="60"/>
    <n v="3.8"/>
    <x v="1"/>
    <x v="0"/>
    <x v="808"/>
    <x v="1"/>
    <x v="0"/>
    <x v="3"/>
    <n v="163"/>
    <x v="1"/>
    <n v="5.9693251533742338"/>
    <x v="1"/>
    <n v="0.20115774240231549"/>
    <s v="Viewers"/>
  </r>
  <r>
    <n v="5495"/>
    <s v="Grant"/>
    <x v="394"/>
    <d v="2024-11-29T00:00:00"/>
    <n v="11.99"/>
    <n v="327"/>
    <x v="3"/>
    <n v="2"/>
    <n v="6"/>
    <b v="1"/>
    <n v="182"/>
    <n v="14"/>
    <x v="0"/>
    <x v="1"/>
    <x v="5"/>
    <x v="9"/>
    <n v="3.4"/>
    <x v="0"/>
    <x v="0"/>
    <x v="809"/>
    <x v="3"/>
    <x v="2"/>
    <x v="0"/>
    <n v="317"/>
    <x v="1"/>
    <n v="7.2208201892744484"/>
    <x v="1"/>
    <n v="1.6683673469387754"/>
    <s v="Viewers"/>
  </r>
  <r>
    <n v="6219"/>
    <s v="Michelle"/>
    <x v="77"/>
    <d v="2024-12-16T00:00:00"/>
    <n v="11.99"/>
    <n v="206"/>
    <x v="1"/>
    <n v="4"/>
    <n v="1"/>
    <b v="0"/>
    <n v="981"/>
    <n v="60"/>
    <x v="2"/>
    <x v="0"/>
    <x v="4"/>
    <x v="81"/>
    <n v="4.4000000000000004"/>
    <x v="1"/>
    <x v="0"/>
    <x v="810"/>
    <x v="1"/>
    <x v="1"/>
    <x v="0"/>
    <n v="147"/>
    <x v="1"/>
    <n v="9.8095238095238102"/>
    <x v="1"/>
    <n v="0.19788664745437079"/>
    <s v="Viewers"/>
  </r>
  <r>
    <n v="4458"/>
    <s v="Sydney"/>
    <x v="501"/>
    <d v="2024-11-20T00:00:00"/>
    <n v="15.99"/>
    <n v="23"/>
    <x v="2"/>
    <n v="3"/>
    <n v="3"/>
    <b v="1"/>
    <n v="489"/>
    <n v="7"/>
    <x v="3"/>
    <x v="1"/>
    <x v="2"/>
    <x v="84"/>
    <n v="4.5"/>
    <x v="1"/>
    <x v="0"/>
    <x v="811"/>
    <x v="4"/>
    <x v="2"/>
    <x v="1"/>
    <n v="391"/>
    <x v="2"/>
    <n v="0.41176470588235298"/>
    <x v="0"/>
    <n v="4.6370967741935484E-2"/>
    <s v=" Browsers"/>
  </r>
  <r>
    <n v="4115"/>
    <s v="Shawna"/>
    <x v="59"/>
    <d v="2024-12-24T00:00:00"/>
    <n v="15.99"/>
    <n v="158"/>
    <x v="5"/>
    <n v="1"/>
    <n v="5"/>
    <b v="1"/>
    <n v="603"/>
    <n v="72"/>
    <x v="3"/>
    <x v="2"/>
    <x v="0"/>
    <x v="51"/>
    <n v="3.3"/>
    <x v="0"/>
    <x v="0"/>
    <x v="812"/>
    <x v="2"/>
    <x v="4"/>
    <x v="3"/>
    <n v="30"/>
    <x v="2"/>
    <n v="36.866666666666667"/>
    <x v="2"/>
    <n v="0.23407407407407407"/>
    <s v="Viewers"/>
  </r>
  <r>
    <n v="6586"/>
    <s v="Allison"/>
    <x v="281"/>
    <d v="2024-12-15T00:00:00"/>
    <n v="15.99"/>
    <n v="459"/>
    <x v="5"/>
    <n v="2"/>
    <n v="1"/>
    <b v="0"/>
    <n v="445"/>
    <n v="153"/>
    <x v="6"/>
    <x v="0"/>
    <x v="0"/>
    <x v="44"/>
    <n v="4.2"/>
    <x v="0"/>
    <x v="0"/>
    <x v="28"/>
    <x v="1"/>
    <x v="3"/>
    <x v="1"/>
    <n v="689"/>
    <x v="2"/>
    <n v="4.6632801161103048"/>
    <x v="0"/>
    <n v="0.76755852842809369"/>
    <s v="Viewers"/>
  </r>
  <r>
    <n v="3985"/>
    <s v="Andrew"/>
    <x v="502"/>
    <d v="2024-12-12T00:00:00"/>
    <n v="15.99"/>
    <n v="30"/>
    <x v="3"/>
    <n v="4"/>
    <n v="6"/>
    <b v="0"/>
    <n v="233"/>
    <n v="10"/>
    <x v="5"/>
    <x v="3"/>
    <x v="3"/>
    <x v="5"/>
    <n v="4.5999999999999996"/>
    <x v="0"/>
    <x v="0"/>
    <x v="813"/>
    <x v="0"/>
    <x v="3"/>
    <x v="0"/>
    <n v="183"/>
    <x v="2"/>
    <n v="1.1475409836065573"/>
    <x v="0"/>
    <n v="0.12345679012345678"/>
    <s v=" Browsers"/>
  </r>
  <r>
    <n v="8501"/>
    <s v="Mark"/>
    <x v="412"/>
    <d v="2024-11-19T00:00:00"/>
    <n v="11.99"/>
    <n v="42"/>
    <x v="3"/>
    <n v="5"/>
    <n v="2"/>
    <b v="1"/>
    <n v="464"/>
    <n v="171"/>
    <x v="0"/>
    <x v="3"/>
    <x v="4"/>
    <x v="51"/>
    <n v="4.5999999999999996"/>
    <x v="1"/>
    <x v="0"/>
    <x v="814"/>
    <x v="2"/>
    <x v="2"/>
    <x v="2"/>
    <n v="225"/>
    <x v="1"/>
    <n v="1.3066666666666666"/>
    <x v="0"/>
    <n v="6.6141732283464566E-2"/>
    <s v=" Browsers"/>
  </r>
  <r>
    <n v="4048"/>
    <s v="Nicole"/>
    <x v="221"/>
    <d v="2024-12-17T00:00:00"/>
    <n v="11.99"/>
    <n v="242"/>
    <x v="4"/>
    <n v="3"/>
    <n v="1"/>
    <b v="0"/>
    <n v="273"/>
    <n v="96"/>
    <x v="5"/>
    <x v="2"/>
    <x v="5"/>
    <x v="91"/>
    <n v="4.9000000000000004"/>
    <x v="1"/>
    <x v="0"/>
    <x v="696"/>
    <x v="2"/>
    <x v="2"/>
    <x v="2"/>
    <n v="198"/>
    <x v="1"/>
    <n v="8.5555555555555554"/>
    <x v="1"/>
    <n v="0.65582655826558267"/>
    <s v="Viewers"/>
  </r>
  <r>
    <n v="4466"/>
    <s v="Matthew"/>
    <x v="503"/>
    <d v="2024-11-27T00:00:00"/>
    <n v="11.99"/>
    <n v="25"/>
    <x v="1"/>
    <n v="5"/>
    <n v="2"/>
    <b v="0"/>
    <n v="162"/>
    <n v="147"/>
    <x v="5"/>
    <x v="1"/>
    <x v="4"/>
    <x v="45"/>
    <n v="4.3"/>
    <x v="0"/>
    <x v="0"/>
    <x v="815"/>
    <x v="2"/>
    <x v="1"/>
    <x v="0"/>
    <n v="52"/>
    <x v="1"/>
    <n v="3.3653846153846154"/>
    <x v="0"/>
    <n v="8.0906148867313912E-2"/>
    <s v=" Browsers"/>
  </r>
  <r>
    <n v="5479"/>
    <s v="David"/>
    <x v="204"/>
    <d v="2024-12-08T00:00:00"/>
    <n v="7.99"/>
    <n v="140"/>
    <x v="6"/>
    <n v="4"/>
    <n v="4"/>
    <b v="0"/>
    <n v="218"/>
    <n v="5"/>
    <x v="3"/>
    <x v="0"/>
    <x v="5"/>
    <x v="89"/>
    <n v="3.6"/>
    <x v="0"/>
    <x v="0"/>
    <x v="487"/>
    <x v="1"/>
    <x v="4"/>
    <x v="0"/>
    <n v="645"/>
    <x v="0"/>
    <n v="1.5193798449612403"/>
    <x v="0"/>
    <n v="0.62780269058295968"/>
    <s v="Viewers"/>
  </r>
  <r>
    <n v="2480"/>
    <s v="Shane"/>
    <x v="330"/>
    <d v="2024-12-17T00:00:00"/>
    <n v="15.99"/>
    <n v="192"/>
    <x v="5"/>
    <n v="5"/>
    <n v="3"/>
    <b v="0"/>
    <n v="39"/>
    <n v="18"/>
    <x v="2"/>
    <x v="3"/>
    <x v="1"/>
    <x v="100"/>
    <n v="3.3"/>
    <x v="1"/>
    <x v="0"/>
    <x v="400"/>
    <x v="1"/>
    <x v="2"/>
    <x v="2"/>
    <n v="479"/>
    <x v="2"/>
    <n v="2.8058455114822545"/>
    <x v="0"/>
    <n v="3.3684210526315788"/>
    <s v="Viewers"/>
  </r>
  <r>
    <n v="6288"/>
    <s v="Kathryn"/>
    <x v="445"/>
    <d v="2024-12-11T00:00:00"/>
    <n v="15.99"/>
    <n v="267"/>
    <x v="6"/>
    <n v="1"/>
    <n v="2"/>
    <b v="0"/>
    <n v="107"/>
    <n v="140"/>
    <x v="4"/>
    <x v="0"/>
    <x v="5"/>
    <x v="34"/>
    <n v="4.8"/>
    <x v="0"/>
    <x v="0"/>
    <x v="816"/>
    <x v="2"/>
    <x v="1"/>
    <x v="1"/>
    <n v="253"/>
    <x v="2"/>
    <n v="7.387351778656126"/>
    <x v="1"/>
    <n v="1.0809716599190284"/>
    <s v="Viewers"/>
  </r>
  <r>
    <n v="9973"/>
    <s v="John"/>
    <x v="410"/>
    <d v="2024-12-15T00:00:00"/>
    <n v="11.99"/>
    <n v="410"/>
    <x v="6"/>
    <n v="4"/>
    <n v="4"/>
    <b v="0"/>
    <n v="513"/>
    <n v="52"/>
    <x v="1"/>
    <x v="1"/>
    <x v="5"/>
    <x v="96"/>
    <n v="4.7"/>
    <x v="0"/>
    <x v="0"/>
    <x v="817"/>
    <x v="2"/>
    <x v="1"/>
    <x v="0"/>
    <n v="611"/>
    <x v="1"/>
    <n v="4.6972176759410802"/>
    <x v="0"/>
    <n v="0.72566371681415931"/>
    <s v="Viewers"/>
  </r>
  <r>
    <n v="6078"/>
    <s v="Kara"/>
    <x v="207"/>
    <d v="2024-12-15T00:00:00"/>
    <n v="7.99"/>
    <n v="281"/>
    <x v="5"/>
    <n v="4"/>
    <n v="5"/>
    <b v="0"/>
    <n v="905"/>
    <n v="128"/>
    <x v="5"/>
    <x v="3"/>
    <x v="1"/>
    <x v="85"/>
    <n v="4.3"/>
    <x v="0"/>
    <x v="0"/>
    <x v="818"/>
    <x v="3"/>
    <x v="2"/>
    <x v="1"/>
    <n v="83"/>
    <x v="0"/>
    <n v="23.69879518072289"/>
    <x v="2"/>
    <n v="0.27202323330106487"/>
    <s v="Viewers"/>
  </r>
  <r>
    <n v="5362"/>
    <s v="Julie"/>
    <x v="495"/>
    <d v="2024-11-27T00:00:00"/>
    <n v="15.99"/>
    <n v="478"/>
    <x v="5"/>
    <n v="4"/>
    <n v="3"/>
    <b v="1"/>
    <n v="551"/>
    <n v="96"/>
    <x v="2"/>
    <x v="3"/>
    <x v="3"/>
    <x v="15"/>
    <n v="4.5999999999999996"/>
    <x v="1"/>
    <x v="0"/>
    <x v="819"/>
    <x v="3"/>
    <x v="4"/>
    <x v="2"/>
    <n v="265"/>
    <x v="2"/>
    <n v="12.626415094339624"/>
    <x v="1"/>
    <n v="0.73879443585780524"/>
    <s v="Viewers"/>
  </r>
  <r>
    <n v="1687"/>
    <s v="Joshua"/>
    <x v="292"/>
    <d v="2024-11-24T00:00:00"/>
    <n v="7.99"/>
    <n v="44"/>
    <x v="0"/>
    <n v="4"/>
    <n v="5"/>
    <b v="1"/>
    <n v="190"/>
    <n v="193"/>
    <x v="6"/>
    <x v="0"/>
    <x v="0"/>
    <x v="44"/>
    <n v="3.1"/>
    <x v="0"/>
    <x v="0"/>
    <x v="820"/>
    <x v="3"/>
    <x v="2"/>
    <x v="0"/>
    <n v="219"/>
    <x v="0"/>
    <n v="1.4063926940639271"/>
    <x v="0"/>
    <n v="0.11488250652741515"/>
    <s v=" Browsers"/>
  </r>
  <r>
    <n v="8986"/>
    <s v="Gary"/>
    <x v="129"/>
    <d v="2024-12-16T00:00:00"/>
    <n v="15.99"/>
    <n v="250"/>
    <x v="0"/>
    <n v="1"/>
    <n v="2"/>
    <b v="1"/>
    <n v="69"/>
    <n v="35"/>
    <x v="1"/>
    <x v="2"/>
    <x v="1"/>
    <x v="44"/>
    <n v="3.3"/>
    <x v="1"/>
    <x v="0"/>
    <x v="821"/>
    <x v="2"/>
    <x v="1"/>
    <x v="1"/>
    <n v="15"/>
    <x v="2"/>
    <n v="116.66666666666667"/>
    <x v="2"/>
    <n v="2.4038461538461537"/>
    <s v="Viewers"/>
  </r>
  <r>
    <n v="5994"/>
    <s v="Chelsea"/>
    <x v="87"/>
    <d v="2024-12-04T00:00:00"/>
    <n v="7.99"/>
    <n v="225"/>
    <x v="1"/>
    <n v="5"/>
    <n v="5"/>
    <b v="0"/>
    <n v="274"/>
    <n v="83"/>
    <x v="2"/>
    <x v="2"/>
    <x v="1"/>
    <x v="30"/>
    <n v="3.9"/>
    <x v="0"/>
    <x v="0"/>
    <x v="822"/>
    <x v="0"/>
    <x v="0"/>
    <x v="3"/>
    <n v="410"/>
    <x v="0"/>
    <n v="3.8414634146341466"/>
    <x v="0"/>
    <n v="0.63025210084033612"/>
    <s v="Viewers"/>
  </r>
  <r>
    <n v="6293"/>
    <s v="John"/>
    <x v="279"/>
    <d v="2024-11-21T00:00:00"/>
    <n v="15.99"/>
    <n v="473"/>
    <x v="2"/>
    <n v="4"/>
    <n v="4"/>
    <b v="0"/>
    <n v="605"/>
    <n v="93"/>
    <x v="5"/>
    <x v="1"/>
    <x v="2"/>
    <x v="44"/>
    <n v="4.8"/>
    <x v="0"/>
    <x v="0"/>
    <x v="823"/>
    <x v="1"/>
    <x v="0"/>
    <x v="0"/>
    <n v="66"/>
    <x v="2"/>
    <n v="50.166666666666664"/>
    <x v="2"/>
    <n v="0.67765042979942691"/>
    <s v="Viewers"/>
  </r>
  <r>
    <n v="7558"/>
    <s v="Sandra"/>
    <x v="451"/>
    <d v="2024-12-08T00:00:00"/>
    <n v="11.99"/>
    <n v="236"/>
    <x v="2"/>
    <n v="1"/>
    <n v="5"/>
    <b v="1"/>
    <n v="225"/>
    <n v="94"/>
    <x v="5"/>
    <x v="1"/>
    <x v="4"/>
    <x v="47"/>
    <n v="3.7"/>
    <x v="0"/>
    <x v="0"/>
    <x v="824"/>
    <x v="3"/>
    <x v="0"/>
    <x v="1"/>
    <n v="25"/>
    <x v="1"/>
    <n v="66.08"/>
    <x v="2"/>
    <n v="0.7398119122257053"/>
    <s v="Viewers"/>
  </r>
  <r>
    <n v="1805"/>
    <s v="Jennifer"/>
    <x v="504"/>
    <d v="2024-11-30T00:00:00"/>
    <n v="11.99"/>
    <n v="349"/>
    <x v="5"/>
    <n v="4"/>
    <n v="4"/>
    <b v="1"/>
    <n v="386"/>
    <n v="195"/>
    <x v="0"/>
    <x v="3"/>
    <x v="1"/>
    <x v="76"/>
    <n v="4.5999999999999996"/>
    <x v="0"/>
    <x v="0"/>
    <x v="108"/>
    <x v="3"/>
    <x v="0"/>
    <x v="0"/>
    <n v="665"/>
    <x v="1"/>
    <n v="3.6736842105263157"/>
    <x v="0"/>
    <n v="0.60068846815834764"/>
    <s v="Viewers"/>
  </r>
  <r>
    <n v="1661"/>
    <s v="Margaret"/>
    <x v="505"/>
    <d v="2024-12-08T00:00:00"/>
    <n v="15.99"/>
    <n v="139"/>
    <x v="5"/>
    <n v="4"/>
    <n v="5"/>
    <b v="1"/>
    <n v="442"/>
    <n v="110"/>
    <x v="1"/>
    <x v="2"/>
    <x v="0"/>
    <x v="23"/>
    <n v="4.7"/>
    <x v="1"/>
    <x v="0"/>
    <x v="825"/>
    <x v="0"/>
    <x v="4"/>
    <x v="1"/>
    <n v="602"/>
    <x v="2"/>
    <n v="1.6162790697674418"/>
    <x v="0"/>
    <n v="0.25181159420289856"/>
    <s v="Viewers"/>
  </r>
  <r>
    <n v="8960"/>
    <s v="Jason"/>
    <x v="280"/>
    <d v="2024-12-02T00:00:00"/>
    <n v="15.99"/>
    <n v="278"/>
    <x v="6"/>
    <n v="3"/>
    <n v="2"/>
    <b v="1"/>
    <n v="382"/>
    <n v="25"/>
    <x v="2"/>
    <x v="0"/>
    <x v="5"/>
    <x v="35"/>
    <n v="4.4000000000000004"/>
    <x v="0"/>
    <x v="0"/>
    <x v="826"/>
    <x v="0"/>
    <x v="4"/>
    <x v="3"/>
    <n v="321"/>
    <x v="2"/>
    <n v="6.0623052959501562"/>
    <x v="1"/>
    <n v="0.68304668304668303"/>
    <s v="Viewers"/>
  </r>
  <r>
    <n v="6131"/>
    <s v="Nichole"/>
    <x v="295"/>
    <d v="2024-12-17T00:00:00"/>
    <n v="7.99"/>
    <n v="242"/>
    <x v="4"/>
    <n v="5"/>
    <n v="2"/>
    <b v="1"/>
    <n v="156"/>
    <n v="166"/>
    <x v="6"/>
    <x v="3"/>
    <x v="0"/>
    <x v="56"/>
    <n v="5"/>
    <x v="0"/>
    <x v="0"/>
    <x v="827"/>
    <x v="4"/>
    <x v="2"/>
    <x v="0"/>
    <n v="140"/>
    <x v="0"/>
    <n v="12.1"/>
    <x v="1"/>
    <n v="0.75155279503105588"/>
    <s v="Viewers"/>
  </r>
  <r>
    <n v="4114"/>
    <s v="Eric"/>
    <x v="285"/>
    <d v="2024-12-14T00:00:00"/>
    <n v="11.99"/>
    <n v="251"/>
    <x v="4"/>
    <n v="5"/>
    <n v="6"/>
    <b v="1"/>
    <n v="687"/>
    <n v="160"/>
    <x v="3"/>
    <x v="1"/>
    <x v="4"/>
    <x v="51"/>
    <n v="4.5"/>
    <x v="0"/>
    <x v="0"/>
    <x v="828"/>
    <x v="4"/>
    <x v="2"/>
    <x v="1"/>
    <n v="380"/>
    <x v="1"/>
    <n v="4.6236842105263163"/>
    <x v="0"/>
    <n v="0.29634002361275086"/>
    <s v="Viewers"/>
  </r>
  <r>
    <n v="4833"/>
    <s v="Nathan"/>
    <x v="272"/>
    <d v="2024-12-10T00:00:00"/>
    <n v="7.99"/>
    <n v="268"/>
    <x v="1"/>
    <n v="4"/>
    <n v="4"/>
    <b v="1"/>
    <n v="778"/>
    <n v="122"/>
    <x v="1"/>
    <x v="2"/>
    <x v="0"/>
    <x v="32"/>
    <n v="3.8"/>
    <x v="1"/>
    <x v="0"/>
    <x v="829"/>
    <x v="3"/>
    <x v="1"/>
    <x v="1"/>
    <n v="241"/>
    <x v="0"/>
    <n v="7.7842323651452281"/>
    <x v="1"/>
    <n v="0.29777777777777775"/>
    <s v="Viewers"/>
  </r>
  <r>
    <n v="2401"/>
    <s v="Rachel"/>
    <x v="503"/>
    <d v="2024-12-02T00:00:00"/>
    <n v="7.99"/>
    <n v="322"/>
    <x v="5"/>
    <n v="4"/>
    <n v="6"/>
    <b v="0"/>
    <n v="616"/>
    <n v="45"/>
    <x v="5"/>
    <x v="0"/>
    <x v="3"/>
    <x v="46"/>
    <n v="4.9000000000000004"/>
    <x v="1"/>
    <x v="0"/>
    <x v="830"/>
    <x v="2"/>
    <x v="0"/>
    <x v="1"/>
    <n v="57"/>
    <x v="0"/>
    <n v="39.543859649122808"/>
    <x v="2"/>
    <n v="0.48714069591527986"/>
    <s v="Viewers"/>
  </r>
  <r>
    <n v="1037"/>
    <s v="Natalie"/>
    <x v="506"/>
    <d v="2024-11-30T00:00:00"/>
    <n v="7.99"/>
    <n v="356"/>
    <x v="3"/>
    <n v="3"/>
    <n v="3"/>
    <b v="1"/>
    <n v="314"/>
    <n v="50"/>
    <x v="1"/>
    <x v="2"/>
    <x v="2"/>
    <x v="34"/>
    <n v="4.9000000000000004"/>
    <x v="1"/>
    <x v="0"/>
    <x v="831"/>
    <x v="2"/>
    <x v="1"/>
    <x v="2"/>
    <n v="524"/>
    <x v="0"/>
    <n v="4.7557251908396942"/>
    <x v="0"/>
    <n v="0.97802197802197799"/>
    <s v="Viewers"/>
  </r>
  <r>
    <n v="2675"/>
    <s v="Chad"/>
    <x v="507"/>
    <d v="2024-12-04T00:00:00"/>
    <n v="15.99"/>
    <n v="28"/>
    <x v="3"/>
    <n v="2"/>
    <n v="1"/>
    <b v="1"/>
    <n v="666"/>
    <n v="65"/>
    <x v="6"/>
    <x v="0"/>
    <x v="1"/>
    <x v="68"/>
    <n v="4.3"/>
    <x v="0"/>
    <x v="0"/>
    <x v="832"/>
    <x v="1"/>
    <x v="2"/>
    <x v="0"/>
    <n v="655"/>
    <x v="2"/>
    <n v="0.29923664122137406"/>
    <x v="0"/>
    <n v="3.8303693570451436E-2"/>
    <s v=" Browsers"/>
  </r>
  <r>
    <n v="1665"/>
    <s v="Megan"/>
    <x v="387"/>
    <d v="2024-12-17T00:00:00"/>
    <n v="11.99"/>
    <n v="43"/>
    <x v="5"/>
    <n v="5"/>
    <n v="2"/>
    <b v="0"/>
    <n v="767"/>
    <n v="83"/>
    <x v="4"/>
    <x v="3"/>
    <x v="1"/>
    <x v="27"/>
    <n v="3"/>
    <x v="1"/>
    <x v="0"/>
    <x v="833"/>
    <x v="1"/>
    <x v="0"/>
    <x v="3"/>
    <n v="293"/>
    <x v="1"/>
    <n v="1.0273037542662118"/>
    <x v="0"/>
    <n v="5.0588235294117649E-2"/>
    <s v=" Browsers"/>
  </r>
  <r>
    <n v="5671"/>
    <s v="Martin"/>
    <x v="369"/>
    <d v="2024-11-29T00:00:00"/>
    <n v="11.99"/>
    <n v="391"/>
    <x v="1"/>
    <n v="3"/>
    <n v="3"/>
    <b v="1"/>
    <n v="811"/>
    <n v="3"/>
    <x v="0"/>
    <x v="0"/>
    <x v="5"/>
    <x v="71"/>
    <n v="4.2"/>
    <x v="0"/>
    <x v="0"/>
    <x v="606"/>
    <x v="2"/>
    <x v="0"/>
    <x v="2"/>
    <n v="552"/>
    <x v="1"/>
    <n v="4.958333333333333"/>
    <x v="0"/>
    <n v="0.48034398034398035"/>
    <s v="Viewers"/>
  </r>
  <r>
    <n v="5153"/>
    <s v="Ryan"/>
    <x v="411"/>
    <d v="2024-12-18T00:00:00"/>
    <n v="7.99"/>
    <n v="300"/>
    <x v="2"/>
    <n v="1"/>
    <n v="4"/>
    <b v="1"/>
    <n v="413"/>
    <n v="154"/>
    <x v="1"/>
    <x v="0"/>
    <x v="5"/>
    <x v="61"/>
    <n v="4.0999999999999996"/>
    <x v="0"/>
    <x v="0"/>
    <x v="160"/>
    <x v="1"/>
    <x v="4"/>
    <x v="1"/>
    <n v="175"/>
    <x v="0"/>
    <n v="12"/>
    <x v="1"/>
    <n v="0.52910052910052907"/>
    <s v="Viewers"/>
  </r>
  <r>
    <n v="1114"/>
    <s v="Angela"/>
    <x v="417"/>
    <d v="2024-12-15T00:00:00"/>
    <n v="11.99"/>
    <n v="75"/>
    <x v="4"/>
    <n v="3"/>
    <n v="3"/>
    <b v="0"/>
    <n v="324"/>
    <n v="175"/>
    <x v="0"/>
    <x v="1"/>
    <x v="1"/>
    <x v="57"/>
    <n v="3.3"/>
    <x v="0"/>
    <x v="0"/>
    <x v="834"/>
    <x v="4"/>
    <x v="3"/>
    <x v="1"/>
    <n v="713"/>
    <x v="1"/>
    <n v="0.73632538569424966"/>
    <x v="0"/>
    <n v="0.15030060120240482"/>
    <s v="Viewers"/>
  </r>
  <r>
    <n v="6180"/>
    <s v="Chad"/>
    <x v="508"/>
    <d v="2024-12-02T00:00:00"/>
    <n v="11.99"/>
    <n v="154"/>
    <x v="6"/>
    <n v="1"/>
    <n v="5"/>
    <b v="1"/>
    <n v="52"/>
    <n v="108"/>
    <x v="5"/>
    <x v="2"/>
    <x v="1"/>
    <x v="43"/>
    <n v="4.0999999999999996"/>
    <x v="0"/>
    <x v="0"/>
    <x v="835"/>
    <x v="4"/>
    <x v="2"/>
    <x v="0"/>
    <n v="115"/>
    <x v="1"/>
    <n v="9.3739130434782609"/>
    <x v="1"/>
    <n v="0.96250000000000002"/>
    <s v="Viewers"/>
  </r>
  <r>
    <n v="8237"/>
    <s v="Mary"/>
    <x v="392"/>
    <d v="2024-12-07T00:00:00"/>
    <n v="7.99"/>
    <n v="179"/>
    <x v="5"/>
    <n v="2"/>
    <n v="6"/>
    <b v="0"/>
    <n v="680"/>
    <n v="50"/>
    <x v="0"/>
    <x v="2"/>
    <x v="4"/>
    <x v="64"/>
    <n v="3.4"/>
    <x v="0"/>
    <x v="0"/>
    <x v="836"/>
    <x v="0"/>
    <x v="1"/>
    <x v="0"/>
    <n v="568"/>
    <x v="0"/>
    <n v="2.205985915492958"/>
    <x v="0"/>
    <n v="0.24520547945205479"/>
    <s v="Viewers"/>
  </r>
  <r>
    <n v="9500"/>
    <s v="Marissa"/>
    <x v="383"/>
    <d v="2024-12-10T00:00:00"/>
    <n v="11.99"/>
    <n v="147"/>
    <x v="3"/>
    <n v="1"/>
    <n v="1"/>
    <b v="1"/>
    <n v="780"/>
    <n v="76"/>
    <x v="0"/>
    <x v="2"/>
    <x v="2"/>
    <x v="68"/>
    <n v="4.4000000000000004"/>
    <x v="1"/>
    <x v="0"/>
    <x v="837"/>
    <x v="4"/>
    <x v="1"/>
    <x v="0"/>
    <n v="454"/>
    <x v="1"/>
    <n v="2.266519823788546"/>
    <x v="0"/>
    <n v="0.17172897196261683"/>
    <s v="Viewers"/>
  </r>
  <r>
    <n v="7476"/>
    <s v="Patrick"/>
    <x v="509"/>
    <d v="2024-11-27T00:00:00"/>
    <n v="11.99"/>
    <n v="235"/>
    <x v="4"/>
    <n v="3"/>
    <n v="1"/>
    <b v="1"/>
    <n v="569"/>
    <n v="176"/>
    <x v="6"/>
    <x v="1"/>
    <x v="5"/>
    <x v="57"/>
    <n v="3.8"/>
    <x v="1"/>
    <x v="0"/>
    <x v="838"/>
    <x v="1"/>
    <x v="0"/>
    <x v="3"/>
    <n v="530"/>
    <x v="1"/>
    <n v="3.1037735849056607"/>
    <x v="0"/>
    <n v="0.31543624161073824"/>
    <s v="Viewers"/>
  </r>
  <r>
    <n v="9908"/>
    <s v="Kelly"/>
    <x v="218"/>
    <d v="2024-12-04T00:00:00"/>
    <n v="11.99"/>
    <n v="390"/>
    <x v="6"/>
    <n v="3"/>
    <n v="1"/>
    <b v="0"/>
    <n v="256"/>
    <n v="183"/>
    <x v="5"/>
    <x v="2"/>
    <x v="1"/>
    <x v="83"/>
    <n v="3.2"/>
    <x v="1"/>
    <x v="0"/>
    <x v="839"/>
    <x v="2"/>
    <x v="3"/>
    <x v="1"/>
    <n v="701"/>
    <x v="1"/>
    <n v="3.8944365192582029"/>
    <x v="0"/>
    <n v="0.88838268792710706"/>
    <s v="Viewers"/>
  </r>
  <r>
    <n v="1534"/>
    <s v="Mary"/>
    <x v="77"/>
    <d v="2024-12-18T00:00:00"/>
    <n v="7.99"/>
    <n v="116"/>
    <x v="0"/>
    <n v="1"/>
    <n v="4"/>
    <b v="0"/>
    <n v="799"/>
    <n v="137"/>
    <x v="0"/>
    <x v="2"/>
    <x v="2"/>
    <x v="18"/>
    <n v="4.5999999999999996"/>
    <x v="1"/>
    <x v="0"/>
    <x v="840"/>
    <x v="1"/>
    <x v="4"/>
    <x v="1"/>
    <n v="149"/>
    <x v="0"/>
    <n v="5.4496644295302019"/>
    <x v="1"/>
    <n v="0.12393162393162394"/>
    <s v=" Browsers"/>
  </r>
  <r>
    <n v="4613"/>
    <s v="Cynthia"/>
    <x v="393"/>
    <d v="2024-12-04T00:00:00"/>
    <n v="15.99"/>
    <n v="492"/>
    <x v="0"/>
    <n v="1"/>
    <n v="2"/>
    <b v="0"/>
    <n v="237"/>
    <n v="55"/>
    <x v="4"/>
    <x v="3"/>
    <x v="2"/>
    <x v="48"/>
    <n v="4.9000000000000004"/>
    <x v="1"/>
    <x v="0"/>
    <x v="841"/>
    <x v="0"/>
    <x v="0"/>
    <x v="1"/>
    <n v="642"/>
    <x v="2"/>
    <n v="5.3644859813084116"/>
    <x v="1"/>
    <n v="1.6849315068493151"/>
    <s v="Viewers"/>
  </r>
  <r>
    <n v="5063"/>
    <s v="Jasmine"/>
    <x v="356"/>
    <d v="2024-11-22T00:00:00"/>
    <n v="7.99"/>
    <n v="159"/>
    <x v="0"/>
    <n v="4"/>
    <n v="5"/>
    <b v="1"/>
    <n v="138"/>
    <n v="3"/>
    <x v="5"/>
    <x v="1"/>
    <x v="0"/>
    <x v="32"/>
    <n v="3.9"/>
    <x v="1"/>
    <x v="0"/>
    <x v="842"/>
    <x v="3"/>
    <x v="1"/>
    <x v="2"/>
    <n v="171"/>
    <x v="0"/>
    <n v="6.5087719298245617"/>
    <x v="1"/>
    <n v="1.1276595744680851"/>
    <s v="Viewers"/>
  </r>
  <r>
    <n v="4548"/>
    <s v="Sarah"/>
    <x v="173"/>
    <d v="2024-11-20T00:00:00"/>
    <n v="7.99"/>
    <n v="279"/>
    <x v="6"/>
    <n v="4"/>
    <n v="6"/>
    <b v="0"/>
    <n v="636"/>
    <n v="176"/>
    <x v="6"/>
    <x v="3"/>
    <x v="5"/>
    <x v="7"/>
    <n v="3.7"/>
    <x v="1"/>
    <x v="0"/>
    <x v="341"/>
    <x v="0"/>
    <x v="1"/>
    <x v="3"/>
    <n v="531"/>
    <x v="0"/>
    <n v="3.6779661016949152"/>
    <x v="0"/>
    <n v="0.34359605911330049"/>
    <s v="Viewers"/>
  </r>
  <r>
    <n v="7556"/>
    <s v="Adam"/>
    <x v="165"/>
    <d v="2024-11-26T00:00:00"/>
    <n v="15.99"/>
    <n v="386"/>
    <x v="0"/>
    <n v="2"/>
    <n v="6"/>
    <b v="1"/>
    <n v="461"/>
    <n v="178"/>
    <x v="0"/>
    <x v="3"/>
    <x v="0"/>
    <x v="37"/>
    <n v="3.7"/>
    <x v="0"/>
    <x v="0"/>
    <x v="791"/>
    <x v="4"/>
    <x v="0"/>
    <x v="3"/>
    <n v="132"/>
    <x v="2"/>
    <n v="20.469696969696969"/>
    <x v="2"/>
    <n v="0.6040688575899843"/>
    <s v="Viewers"/>
  </r>
  <r>
    <n v="1846"/>
    <s v="Mason"/>
    <x v="226"/>
    <d v="2024-12-07T00:00:00"/>
    <n v="15.99"/>
    <n v="332"/>
    <x v="2"/>
    <n v="1"/>
    <n v="6"/>
    <b v="0"/>
    <n v="20"/>
    <n v="128"/>
    <x v="4"/>
    <x v="2"/>
    <x v="4"/>
    <x v="16"/>
    <n v="5"/>
    <x v="0"/>
    <x v="0"/>
    <x v="486"/>
    <x v="2"/>
    <x v="3"/>
    <x v="0"/>
    <n v="169"/>
    <x v="2"/>
    <n v="13.751479289940828"/>
    <x v="1"/>
    <n v="2.2432432432432434"/>
    <s v="Viewers"/>
  </r>
  <r>
    <n v="7088"/>
    <s v="Amy"/>
    <x v="357"/>
    <d v="2024-11-21T00:00:00"/>
    <n v="11.99"/>
    <n v="176"/>
    <x v="3"/>
    <n v="5"/>
    <n v="5"/>
    <b v="1"/>
    <n v="276"/>
    <n v="138"/>
    <x v="4"/>
    <x v="0"/>
    <x v="3"/>
    <x v="2"/>
    <n v="4.7"/>
    <x v="0"/>
    <x v="0"/>
    <x v="843"/>
    <x v="0"/>
    <x v="2"/>
    <x v="2"/>
    <n v="325"/>
    <x v="1"/>
    <n v="3.7907692307692304"/>
    <x v="0"/>
    <n v="0.4251207729468599"/>
    <s v="Viewers"/>
  </r>
  <r>
    <n v="1179"/>
    <s v="Craig"/>
    <x v="386"/>
    <d v="2024-12-18T00:00:00"/>
    <n v="11.99"/>
    <n v="221"/>
    <x v="6"/>
    <n v="4"/>
    <n v="1"/>
    <b v="1"/>
    <n v="603"/>
    <n v="141"/>
    <x v="5"/>
    <x v="3"/>
    <x v="0"/>
    <x v="52"/>
    <n v="3.3"/>
    <x v="1"/>
    <x v="0"/>
    <x v="844"/>
    <x v="0"/>
    <x v="0"/>
    <x v="3"/>
    <n v="194"/>
    <x v="1"/>
    <n v="7.9742268041237114"/>
    <x v="1"/>
    <n v="0.29704301075268819"/>
    <s v="Viewers"/>
  </r>
  <r>
    <n v="2190"/>
    <s v="Lindsay"/>
    <x v="74"/>
    <d v="2024-12-05T00:00:00"/>
    <n v="7.99"/>
    <n v="263"/>
    <x v="4"/>
    <n v="4"/>
    <n v="1"/>
    <b v="1"/>
    <n v="799"/>
    <n v="14"/>
    <x v="0"/>
    <x v="2"/>
    <x v="2"/>
    <x v="7"/>
    <n v="3.3"/>
    <x v="0"/>
    <x v="0"/>
    <x v="845"/>
    <x v="2"/>
    <x v="4"/>
    <x v="1"/>
    <n v="340"/>
    <x v="0"/>
    <n v="5.4147058823529415"/>
    <x v="1"/>
    <n v="0.32349323493234933"/>
    <s v="Viewers"/>
  </r>
  <r>
    <n v="2847"/>
    <s v="Charles"/>
    <x v="425"/>
    <d v="2024-11-27T00:00:00"/>
    <n v="15.99"/>
    <n v="222"/>
    <x v="3"/>
    <n v="1"/>
    <n v="3"/>
    <b v="0"/>
    <n v="785"/>
    <n v="147"/>
    <x v="6"/>
    <x v="2"/>
    <x v="2"/>
    <x v="68"/>
    <n v="4.8"/>
    <x v="1"/>
    <x v="0"/>
    <x v="846"/>
    <x v="2"/>
    <x v="3"/>
    <x v="2"/>
    <n v="431"/>
    <x v="2"/>
    <n v="3.605568445475638"/>
    <x v="0"/>
    <n v="0.23819742489270387"/>
    <s v="Viewers"/>
  </r>
  <r>
    <n v="6570"/>
    <s v="Joseph"/>
    <x v="485"/>
    <d v="2024-12-12T00:00:00"/>
    <n v="11.99"/>
    <n v="39"/>
    <x v="6"/>
    <n v="5"/>
    <n v="3"/>
    <b v="1"/>
    <n v="28"/>
    <n v="189"/>
    <x v="1"/>
    <x v="2"/>
    <x v="5"/>
    <x v="8"/>
    <n v="4.5999999999999996"/>
    <x v="1"/>
    <x v="0"/>
    <x v="847"/>
    <x v="0"/>
    <x v="4"/>
    <x v="1"/>
    <n v="4"/>
    <x v="1"/>
    <n v="68.25"/>
    <x v="2"/>
    <n v="0.17972350230414746"/>
    <s v="Viewers"/>
  </r>
  <r>
    <n v="1149"/>
    <s v="Michael"/>
    <x v="230"/>
    <d v="2024-11-28T00:00:00"/>
    <n v="11.99"/>
    <n v="445"/>
    <x v="0"/>
    <n v="3"/>
    <n v="2"/>
    <b v="1"/>
    <n v="637"/>
    <n v="14"/>
    <x v="0"/>
    <x v="1"/>
    <x v="5"/>
    <x v="16"/>
    <n v="3.2"/>
    <x v="1"/>
    <x v="0"/>
    <x v="848"/>
    <x v="1"/>
    <x v="3"/>
    <x v="0"/>
    <n v="549"/>
    <x v="1"/>
    <n v="5.6739526411657559"/>
    <x v="1"/>
    <n v="0.68356374807987708"/>
    <s v="Viewers"/>
  </r>
  <r>
    <n v="1336"/>
    <s v="James"/>
    <x v="210"/>
    <d v="2024-12-10T00:00:00"/>
    <n v="11.99"/>
    <n v="164"/>
    <x v="2"/>
    <n v="3"/>
    <n v="3"/>
    <b v="1"/>
    <n v="79"/>
    <n v="130"/>
    <x v="1"/>
    <x v="0"/>
    <x v="5"/>
    <x v="3"/>
    <n v="3.9"/>
    <x v="0"/>
    <x v="0"/>
    <x v="849"/>
    <x v="3"/>
    <x v="4"/>
    <x v="2"/>
    <n v="229"/>
    <x v="1"/>
    <n v="5.0131004366812224"/>
    <x v="1"/>
    <n v="0.78468899521531099"/>
    <s v="Viewers"/>
  </r>
  <r>
    <n v="6956"/>
    <s v="Brandon"/>
    <x v="473"/>
    <d v="2024-11-24T00:00:00"/>
    <n v="15.99"/>
    <n v="101"/>
    <x v="2"/>
    <n v="5"/>
    <n v="1"/>
    <b v="1"/>
    <n v="175"/>
    <n v="125"/>
    <x v="3"/>
    <x v="1"/>
    <x v="2"/>
    <x v="52"/>
    <n v="3.6"/>
    <x v="1"/>
    <x v="0"/>
    <x v="850"/>
    <x v="3"/>
    <x v="4"/>
    <x v="1"/>
    <n v="277"/>
    <x v="2"/>
    <n v="2.5523465703971122"/>
    <x v="0"/>
    <n v="0.33666666666666667"/>
    <s v="Viewers"/>
  </r>
  <r>
    <n v="7015"/>
    <s v="Jaclyn"/>
    <x v="312"/>
    <d v="2024-12-09T00:00:00"/>
    <n v="11.99"/>
    <n v="424"/>
    <x v="1"/>
    <n v="1"/>
    <n v="3"/>
    <b v="1"/>
    <n v="684"/>
    <n v="127"/>
    <x v="5"/>
    <x v="3"/>
    <x v="2"/>
    <x v="28"/>
    <n v="4.5999999999999996"/>
    <x v="0"/>
    <x v="0"/>
    <x v="851"/>
    <x v="3"/>
    <x v="1"/>
    <x v="0"/>
    <n v="68"/>
    <x v="1"/>
    <n v="43.647058823529413"/>
    <x v="2"/>
    <n v="0.52281134401972873"/>
    <s v="Viewers"/>
  </r>
  <r>
    <n v="4104"/>
    <s v="Alvin"/>
    <x v="510"/>
    <d v="2024-11-20T00:00:00"/>
    <n v="15.99"/>
    <n v="182"/>
    <x v="2"/>
    <n v="4"/>
    <n v="5"/>
    <b v="0"/>
    <n v="247"/>
    <n v="197"/>
    <x v="0"/>
    <x v="3"/>
    <x v="5"/>
    <x v="9"/>
    <n v="4.7"/>
    <x v="0"/>
    <x v="0"/>
    <x v="852"/>
    <x v="3"/>
    <x v="0"/>
    <x v="1"/>
    <n v="487"/>
    <x v="2"/>
    <n v="2.6160164271047228"/>
    <x v="0"/>
    <n v="0.40990990990990989"/>
    <s v="Viewers"/>
  </r>
  <r>
    <n v="9413"/>
    <s v="Megan"/>
    <x v="511"/>
    <d v="2024-12-03T00:00:00"/>
    <n v="15.99"/>
    <n v="115"/>
    <x v="2"/>
    <n v="2"/>
    <n v="3"/>
    <b v="1"/>
    <n v="741"/>
    <n v="68"/>
    <x v="0"/>
    <x v="3"/>
    <x v="0"/>
    <x v="55"/>
    <n v="5"/>
    <x v="1"/>
    <x v="0"/>
    <x v="853"/>
    <x v="0"/>
    <x v="0"/>
    <x v="2"/>
    <n v="464"/>
    <x v="2"/>
    <n v="1.7349137931034482"/>
    <x v="0"/>
    <n v="0.14215080346106304"/>
    <s v=" Browsers"/>
  </r>
  <r>
    <n v="8300"/>
    <s v="Carolyn"/>
    <x v="384"/>
    <d v="2024-12-13T00:00:00"/>
    <n v="15.99"/>
    <n v="33"/>
    <x v="3"/>
    <n v="1"/>
    <n v="4"/>
    <b v="0"/>
    <n v="623"/>
    <n v="53"/>
    <x v="1"/>
    <x v="2"/>
    <x v="4"/>
    <x v="71"/>
    <n v="3.5"/>
    <x v="0"/>
    <x v="0"/>
    <x v="854"/>
    <x v="1"/>
    <x v="4"/>
    <x v="3"/>
    <n v="233"/>
    <x v="2"/>
    <n v="0.99141630901287559"/>
    <x v="0"/>
    <n v="4.8816568047337278E-2"/>
    <s v=" Browsers"/>
  </r>
  <r>
    <n v="5126"/>
    <s v="Christopher"/>
    <x v="512"/>
    <d v="2024-12-03T00:00:00"/>
    <n v="7.99"/>
    <n v="259"/>
    <x v="1"/>
    <n v="1"/>
    <n v="1"/>
    <b v="1"/>
    <n v="327"/>
    <n v="76"/>
    <x v="2"/>
    <x v="0"/>
    <x v="5"/>
    <x v="87"/>
    <n v="4.3"/>
    <x v="1"/>
    <x v="0"/>
    <x v="238"/>
    <x v="4"/>
    <x v="1"/>
    <x v="3"/>
    <n v="211"/>
    <x v="0"/>
    <n v="8.5924170616113749"/>
    <x v="1"/>
    <n v="0.64267990074441683"/>
    <s v="Viewers"/>
  </r>
  <r>
    <n v="1754"/>
    <s v="Patricia"/>
    <x v="21"/>
    <d v="2024-11-20T00:00:00"/>
    <n v="15.99"/>
    <n v="309"/>
    <x v="6"/>
    <n v="5"/>
    <n v="6"/>
    <b v="0"/>
    <n v="760"/>
    <n v="72"/>
    <x v="6"/>
    <x v="2"/>
    <x v="5"/>
    <x v="23"/>
    <n v="4.8"/>
    <x v="1"/>
    <x v="0"/>
    <x v="855"/>
    <x v="2"/>
    <x v="3"/>
    <x v="3"/>
    <n v="160"/>
    <x v="2"/>
    <n v="13.518749999999999"/>
    <x v="1"/>
    <n v="0.37139423076923078"/>
    <s v="Viewers"/>
  </r>
  <r>
    <n v="7089"/>
    <s v="Richard"/>
    <x v="393"/>
    <d v="2024-12-11T00:00:00"/>
    <n v="7.99"/>
    <n v="367"/>
    <x v="6"/>
    <n v="1"/>
    <n v="3"/>
    <b v="0"/>
    <n v="522"/>
    <n v="10"/>
    <x v="0"/>
    <x v="0"/>
    <x v="2"/>
    <x v="85"/>
    <n v="3.8"/>
    <x v="0"/>
    <x v="0"/>
    <x v="856"/>
    <x v="1"/>
    <x v="1"/>
    <x v="2"/>
    <n v="649"/>
    <x v="0"/>
    <n v="3.9583975346687215"/>
    <x v="0"/>
    <n v="0.68984962406015038"/>
    <s v="Viewers"/>
  </r>
  <r>
    <n v="1697"/>
    <s v="Tiffany"/>
    <x v="467"/>
    <d v="2024-11-27T00:00:00"/>
    <n v="7.99"/>
    <n v="472"/>
    <x v="0"/>
    <n v="5"/>
    <n v="2"/>
    <b v="1"/>
    <n v="76"/>
    <n v="157"/>
    <x v="0"/>
    <x v="1"/>
    <x v="5"/>
    <x v="65"/>
    <n v="3.1"/>
    <x v="1"/>
    <x v="0"/>
    <x v="857"/>
    <x v="3"/>
    <x v="4"/>
    <x v="3"/>
    <n v="433"/>
    <x v="0"/>
    <n v="7.6304849884526567"/>
    <x v="1"/>
    <n v="2.0257510729613735"/>
    <s v="Viewers"/>
  </r>
  <r>
    <n v="4768"/>
    <s v="Thomas"/>
    <x v="170"/>
    <d v="2024-11-23T00:00:00"/>
    <n v="15.99"/>
    <n v="449"/>
    <x v="3"/>
    <n v="5"/>
    <n v="4"/>
    <b v="0"/>
    <n v="61"/>
    <n v="61"/>
    <x v="5"/>
    <x v="1"/>
    <x v="5"/>
    <x v="51"/>
    <n v="3.7"/>
    <x v="1"/>
    <x v="0"/>
    <x v="858"/>
    <x v="4"/>
    <x v="3"/>
    <x v="3"/>
    <n v="355"/>
    <x v="2"/>
    <n v="8.8535211267605636"/>
    <x v="1"/>
    <n v="3.680327868852459"/>
    <s v="Viewers"/>
  </r>
  <r>
    <n v="4205"/>
    <s v="Daniel"/>
    <x v="342"/>
    <d v="2024-12-06T00:00:00"/>
    <n v="15.99"/>
    <n v="302"/>
    <x v="5"/>
    <n v="4"/>
    <n v="4"/>
    <b v="1"/>
    <n v="800"/>
    <n v="101"/>
    <x v="0"/>
    <x v="3"/>
    <x v="4"/>
    <x v="83"/>
    <n v="4.3"/>
    <x v="0"/>
    <x v="0"/>
    <x v="859"/>
    <x v="1"/>
    <x v="4"/>
    <x v="1"/>
    <n v="358"/>
    <x v="2"/>
    <n v="5.9050279329608939"/>
    <x v="1"/>
    <n v="0.33518312985571586"/>
    <s v="Viewers"/>
  </r>
  <r>
    <n v="8844"/>
    <s v="Ashley"/>
    <x v="227"/>
    <d v="2024-12-18T00:00:00"/>
    <n v="7.99"/>
    <n v="70"/>
    <x v="2"/>
    <n v="3"/>
    <n v="6"/>
    <b v="1"/>
    <n v="226"/>
    <n v="104"/>
    <x v="0"/>
    <x v="1"/>
    <x v="1"/>
    <x v="76"/>
    <n v="3.3"/>
    <x v="1"/>
    <x v="0"/>
    <x v="321"/>
    <x v="3"/>
    <x v="3"/>
    <x v="0"/>
    <n v="85"/>
    <x v="0"/>
    <n v="5.7647058823529411"/>
    <x v="1"/>
    <n v="0.21212121212121213"/>
    <s v="Viewers"/>
  </r>
  <r>
    <n v="1103"/>
    <s v="Lindsey"/>
    <x v="324"/>
    <d v="2024-12-02T00:00:00"/>
    <n v="7.99"/>
    <n v="157"/>
    <x v="2"/>
    <n v="2"/>
    <n v="1"/>
    <b v="0"/>
    <n v="792"/>
    <n v="141"/>
    <x v="1"/>
    <x v="2"/>
    <x v="3"/>
    <x v="57"/>
    <n v="4.2"/>
    <x v="0"/>
    <x v="0"/>
    <x v="860"/>
    <x v="0"/>
    <x v="4"/>
    <x v="3"/>
    <n v="574"/>
    <x v="0"/>
    <n v="1.9146341463414633"/>
    <x v="0"/>
    <n v="0.16827438370846731"/>
    <s v="Viewers"/>
  </r>
  <r>
    <n v="2180"/>
    <s v="Yvonne"/>
    <x v="505"/>
    <d v="2024-11-24T00:00:00"/>
    <n v="7.99"/>
    <n v="17"/>
    <x v="4"/>
    <n v="5"/>
    <n v="5"/>
    <b v="0"/>
    <n v="498"/>
    <n v="67"/>
    <x v="2"/>
    <x v="0"/>
    <x v="2"/>
    <x v="79"/>
    <n v="3"/>
    <x v="1"/>
    <x v="0"/>
    <x v="279"/>
    <x v="2"/>
    <x v="0"/>
    <x v="0"/>
    <n v="588"/>
    <x v="0"/>
    <n v="0.20238095238095238"/>
    <x v="0"/>
    <n v="3.0088495575221239E-2"/>
    <s v=" Browsers"/>
  </r>
  <r>
    <n v="6607"/>
    <s v="Gene"/>
    <x v="513"/>
    <d v="2024-12-02T00:00:00"/>
    <n v="15.99"/>
    <n v="173"/>
    <x v="1"/>
    <n v="1"/>
    <n v="3"/>
    <b v="1"/>
    <n v="950"/>
    <n v="163"/>
    <x v="6"/>
    <x v="1"/>
    <x v="5"/>
    <x v="41"/>
    <n v="4.9000000000000004"/>
    <x v="1"/>
    <x v="0"/>
    <x v="861"/>
    <x v="2"/>
    <x v="0"/>
    <x v="0"/>
    <n v="689"/>
    <x v="2"/>
    <n v="1.7576197387518142"/>
    <x v="0"/>
    <n v="0.1554357592093441"/>
    <s v="Viewers"/>
  </r>
  <r>
    <n v="7949"/>
    <s v="Phyllis"/>
    <x v="514"/>
    <d v="2024-11-21T00:00:00"/>
    <n v="11.99"/>
    <n v="301"/>
    <x v="5"/>
    <n v="5"/>
    <n v="4"/>
    <b v="0"/>
    <n v="906"/>
    <n v="141"/>
    <x v="4"/>
    <x v="2"/>
    <x v="0"/>
    <x v="2"/>
    <n v="4.5"/>
    <x v="1"/>
    <x v="0"/>
    <x v="862"/>
    <x v="1"/>
    <x v="0"/>
    <x v="3"/>
    <n v="680"/>
    <x v="1"/>
    <n v="3.098529411764706"/>
    <x v="0"/>
    <n v="0.28748806112702963"/>
    <s v="Viewers"/>
  </r>
  <r>
    <n v="5337"/>
    <s v="Travis"/>
    <x v="187"/>
    <d v="2024-11-28T00:00:00"/>
    <n v="7.99"/>
    <n v="357"/>
    <x v="4"/>
    <n v="2"/>
    <n v="4"/>
    <b v="1"/>
    <n v="245"/>
    <n v="116"/>
    <x v="6"/>
    <x v="3"/>
    <x v="2"/>
    <x v="5"/>
    <n v="4.2"/>
    <x v="1"/>
    <x v="0"/>
    <x v="863"/>
    <x v="0"/>
    <x v="2"/>
    <x v="0"/>
    <n v="104"/>
    <x v="0"/>
    <n v="24.028846153846153"/>
    <x v="2"/>
    <n v="0.9889196675900277"/>
    <s v="Viewers"/>
  </r>
  <r>
    <n v="8477"/>
    <s v="Aaron"/>
    <x v="41"/>
    <d v="2024-12-02T00:00:00"/>
    <n v="7.99"/>
    <n v="48"/>
    <x v="1"/>
    <n v="4"/>
    <n v="2"/>
    <b v="0"/>
    <n v="33"/>
    <n v="7"/>
    <x v="0"/>
    <x v="0"/>
    <x v="1"/>
    <x v="44"/>
    <n v="4.8"/>
    <x v="1"/>
    <x v="0"/>
    <x v="864"/>
    <x v="2"/>
    <x v="3"/>
    <x v="2"/>
    <n v="503"/>
    <x v="0"/>
    <n v="0.66799204771371767"/>
    <x v="0"/>
    <n v="1.2"/>
    <s v="Viewers"/>
  </r>
  <r>
    <n v="7673"/>
    <s v="Nina"/>
    <x v="37"/>
    <d v="2024-11-22T00:00:00"/>
    <n v="7.99"/>
    <n v="351"/>
    <x v="0"/>
    <n v="4"/>
    <n v="2"/>
    <b v="0"/>
    <n v="70"/>
    <n v="41"/>
    <x v="5"/>
    <x v="3"/>
    <x v="3"/>
    <x v="18"/>
    <n v="3.7"/>
    <x v="0"/>
    <x v="0"/>
    <x v="865"/>
    <x v="0"/>
    <x v="4"/>
    <x v="1"/>
    <n v="462"/>
    <x v="0"/>
    <n v="5.3181818181818183"/>
    <x v="1"/>
    <n v="3.1621621621621623"/>
    <s v="Viewers"/>
  </r>
  <r>
    <n v="6113"/>
    <s v="Stacy"/>
    <x v="341"/>
    <d v="2024-12-14T00:00:00"/>
    <n v="11.99"/>
    <n v="491"/>
    <x v="5"/>
    <n v="3"/>
    <n v="4"/>
    <b v="1"/>
    <n v="779"/>
    <n v="86"/>
    <x v="2"/>
    <x v="3"/>
    <x v="0"/>
    <x v="26"/>
    <n v="4.7"/>
    <x v="1"/>
    <x v="0"/>
    <x v="866"/>
    <x v="3"/>
    <x v="4"/>
    <x v="1"/>
    <n v="404"/>
    <x v="1"/>
    <n v="8.5074257425742577"/>
    <x v="1"/>
    <n v="0.5676300578034682"/>
    <s v="Viewers"/>
  </r>
  <r>
    <n v="7457"/>
    <s v="Madison"/>
    <x v="275"/>
    <d v="2024-11-29T00:00:00"/>
    <n v="11.99"/>
    <n v="164"/>
    <x v="2"/>
    <n v="2"/>
    <n v="1"/>
    <b v="1"/>
    <n v="536"/>
    <n v="150"/>
    <x v="2"/>
    <x v="1"/>
    <x v="2"/>
    <x v="34"/>
    <n v="3.2"/>
    <x v="1"/>
    <x v="0"/>
    <x v="867"/>
    <x v="0"/>
    <x v="3"/>
    <x v="2"/>
    <n v="597"/>
    <x v="1"/>
    <n v="1.9229480737018425"/>
    <x v="0"/>
    <n v="0.239067055393586"/>
    <s v="Viewers"/>
  </r>
  <r>
    <n v="6639"/>
    <s v="Victoria"/>
    <x v="81"/>
    <d v="2024-12-18T00:00:00"/>
    <n v="7.99"/>
    <n v="304"/>
    <x v="0"/>
    <n v="1"/>
    <n v="6"/>
    <b v="1"/>
    <n v="902"/>
    <n v="20"/>
    <x v="5"/>
    <x v="0"/>
    <x v="2"/>
    <x v="12"/>
    <n v="3.9"/>
    <x v="1"/>
    <x v="0"/>
    <x v="700"/>
    <x v="1"/>
    <x v="0"/>
    <x v="1"/>
    <n v="366"/>
    <x v="0"/>
    <n v="5.8142076502732243"/>
    <x v="1"/>
    <n v="0.32971800433839482"/>
    <s v="Viewers"/>
  </r>
  <r>
    <n v="5220"/>
    <s v="Justin"/>
    <x v="515"/>
    <d v="2024-12-08T00:00:00"/>
    <n v="7.99"/>
    <n v="166"/>
    <x v="4"/>
    <n v="2"/>
    <n v="3"/>
    <b v="1"/>
    <n v="493"/>
    <n v="168"/>
    <x v="0"/>
    <x v="0"/>
    <x v="4"/>
    <x v="38"/>
    <n v="3.4"/>
    <x v="1"/>
    <x v="0"/>
    <x v="868"/>
    <x v="3"/>
    <x v="2"/>
    <x v="1"/>
    <n v="483"/>
    <x v="0"/>
    <n v="2.4057971014492754"/>
    <x v="0"/>
    <n v="0.25113464447806355"/>
    <s v="Viewers"/>
  </r>
  <r>
    <n v="6970"/>
    <s v="Tammy"/>
    <x v="188"/>
    <d v="2024-12-17T00:00:00"/>
    <n v="7.99"/>
    <n v="225"/>
    <x v="6"/>
    <n v="3"/>
    <n v="3"/>
    <b v="1"/>
    <n v="589"/>
    <n v="103"/>
    <x v="1"/>
    <x v="2"/>
    <x v="0"/>
    <x v="67"/>
    <n v="3.2"/>
    <x v="1"/>
    <x v="0"/>
    <x v="869"/>
    <x v="2"/>
    <x v="0"/>
    <x v="2"/>
    <n v="12"/>
    <x v="0"/>
    <n v="131.25"/>
    <x v="2"/>
    <n v="0.32514450867052025"/>
    <s v="Viewers"/>
  </r>
  <r>
    <n v="6705"/>
    <s v="Joshua"/>
    <x v="516"/>
    <d v="2024-12-09T00:00:00"/>
    <n v="7.99"/>
    <n v="163"/>
    <x v="6"/>
    <n v="2"/>
    <n v="6"/>
    <b v="1"/>
    <n v="206"/>
    <n v="132"/>
    <x v="5"/>
    <x v="1"/>
    <x v="0"/>
    <x v="40"/>
    <n v="3.5"/>
    <x v="1"/>
    <x v="0"/>
    <x v="870"/>
    <x v="1"/>
    <x v="0"/>
    <x v="1"/>
    <n v="72"/>
    <x v="0"/>
    <n v="15.847222222222221"/>
    <x v="2"/>
    <n v="0.48224852071005919"/>
    <s v="Viewers"/>
  </r>
  <r>
    <n v="2477"/>
    <s v="Sara"/>
    <x v="151"/>
    <d v="2024-11-26T00:00:00"/>
    <n v="15.99"/>
    <n v="419"/>
    <x v="2"/>
    <n v="2"/>
    <n v="6"/>
    <b v="1"/>
    <n v="752"/>
    <n v="21"/>
    <x v="0"/>
    <x v="1"/>
    <x v="0"/>
    <x v="43"/>
    <n v="3.9"/>
    <x v="0"/>
    <x v="0"/>
    <x v="108"/>
    <x v="1"/>
    <x v="0"/>
    <x v="3"/>
    <n v="624"/>
    <x v="2"/>
    <n v="4.7003205128205128"/>
    <x v="0"/>
    <n v="0.54204398447606728"/>
    <s v="Viewers"/>
  </r>
  <r>
    <n v="6236"/>
    <s v="Benjamin"/>
    <x v="372"/>
    <d v="2024-11-22T00:00:00"/>
    <n v="11.99"/>
    <n v="293"/>
    <x v="0"/>
    <n v="2"/>
    <n v="3"/>
    <b v="0"/>
    <n v="514"/>
    <n v="68"/>
    <x v="3"/>
    <x v="2"/>
    <x v="2"/>
    <x v="69"/>
    <n v="4.7"/>
    <x v="0"/>
    <x v="0"/>
    <x v="871"/>
    <x v="4"/>
    <x v="1"/>
    <x v="0"/>
    <n v="635"/>
    <x v="1"/>
    <n v="3.22992125984252"/>
    <x v="0"/>
    <n v="0.50343642611683848"/>
    <s v="Viewers"/>
  </r>
  <r>
    <n v="4079"/>
    <s v="Kristen"/>
    <x v="463"/>
    <d v="2024-12-15T00:00:00"/>
    <n v="7.99"/>
    <n v="171"/>
    <x v="4"/>
    <n v="3"/>
    <n v="6"/>
    <b v="1"/>
    <n v="858"/>
    <n v="58"/>
    <x v="5"/>
    <x v="1"/>
    <x v="1"/>
    <x v="68"/>
    <n v="4.5"/>
    <x v="1"/>
    <x v="0"/>
    <x v="872"/>
    <x v="0"/>
    <x v="3"/>
    <x v="3"/>
    <n v="699"/>
    <x v="0"/>
    <n v="1.7124463519313304"/>
    <x v="0"/>
    <n v="0.18668122270742357"/>
    <s v="Viewers"/>
  </r>
  <r>
    <n v="7927"/>
    <s v="Erika"/>
    <x v="514"/>
    <d v="2024-11-20T00:00:00"/>
    <n v="7.99"/>
    <n v="438"/>
    <x v="3"/>
    <n v="4"/>
    <n v="3"/>
    <b v="0"/>
    <n v="970"/>
    <n v="59"/>
    <x v="5"/>
    <x v="2"/>
    <x v="3"/>
    <x v="18"/>
    <n v="4.5999999999999996"/>
    <x v="1"/>
    <x v="0"/>
    <x v="873"/>
    <x v="4"/>
    <x v="4"/>
    <x v="0"/>
    <n v="679"/>
    <x v="0"/>
    <n v="4.5154639175257731"/>
    <x v="0"/>
    <n v="0.42565597667638483"/>
    <s v="Viewers"/>
  </r>
  <r>
    <n v="5059"/>
    <s v="Robert"/>
    <x v="433"/>
    <d v="2024-11-27T00:00:00"/>
    <n v="11.99"/>
    <n v="247"/>
    <x v="5"/>
    <n v="4"/>
    <n v="4"/>
    <b v="0"/>
    <n v="510"/>
    <n v="87"/>
    <x v="4"/>
    <x v="1"/>
    <x v="2"/>
    <x v="33"/>
    <n v="3.5"/>
    <x v="0"/>
    <x v="0"/>
    <x v="874"/>
    <x v="2"/>
    <x v="3"/>
    <x v="3"/>
    <n v="85"/>
    <x v="1"/>
    <n v="20.341176470588238"/>
    <x v="2"/>
    <n v="0.41373534338358459"/>
    <s v="Viewers"/>
  </r>
  <r>
    <n v="4210"/>
    <s v="Paul"/>
    <x v="517"/>
    <d v="2024-11-26T00:00:00"/>
    <n v="11.99"/>
    <n v="85"/>
    <x v="4"/>
    <n v="1"/>
    <n v="2"/>
    <b v="0"/>
    <n v="770"/>
    <n v="132"/>
    <x v="2"/>
    <x v="1"/>
    <x v="3"/>
    <x v="33"/>
    <n v="4.4000000000000004"/>
    <x v="0"/>
    <x v="0"/>
    <x v="875"/>
    <x v="4"/>
    <x v="0"/>
    <x v="2"/>
    <n v="363"/>
    <x v="1"/>
    <n v="1.6391184573002755"/>
    <x v="0"/>
    <n v="9.4235033259423506E-2"/>
    <s v=" Browsers"/>
  </r>
  <r>
    <n v="5054"/>
    <s v="Robert"/>
    <x v="514"/>
    <d v="2024-11-30T00:00:00"/>
    <n v="11.99"/>
    <n v="203"/>
    <x v="3"/>
    <n v="5"/>
    <n v="2"/>
    <b v="0"/>
    <n v="903"/>
    <n v="19"/>
    <x v="1"/>
    <x v="2"/>
    <x v="0"/>
    <x v="24"/>
    <n v="4.5999999999999996"/>
    <x v="0"/>
    <x v="0"/>
    <x v="824"/>
    <x v="3"/>
    <x v="3"/>
    <x v="2"/>
    <n v="689"/>
    <x v="1"/>
    <n v="2.0624092888243832"/>
    <x v="0"/>
    <n v="0.22017353579175705"/>
    <s v="Viewers"/>
  </r>
  <r>
    <n v="5836"/>
    <s v="Bianca"/>
    <x v="174"/>
    <d v="2024-11-21T00:00:00"/>
    <n v="15.99"/>
    <n v="219"/>
    <x v="2"/>
    <n v="1"/>
    <n v="5"/>
    <b v="1"/>
    <n v="347"/>
    <n v="55"/>
    <x v="6"/>
    <x v="3"/>
    <x v="2"/>
    <x v="61"/>
    <n v="4.5999999999999996"/>
    <x v="1"/>
    <x v="0"/>
    <x v="876"/>
    <x v="2"/>
    <x v="0"/>
    <x v="1"/>
    <n v="105"/>
    <x v="2"/>
    <n v="14.6"/>
    <x v="1"/>
    <n v="0.54477611940298509"/>
    <s v="Viewers"/>
  </r>
  <r>
    <n v="8612"/>
    <s v="Joseph"/>
    <x v="171"/>
    <d v="2024-12-18T00:00:00"/>
    <n v="7.99"/>
    <n v="285"/>
    <x v="5"/>
    <n v="5"/>
    <n v="5"/>
    <b v="0"/>
    <n v="600"/>
    <n v="109"/>
    <x v="5"/>
    <x v="3"/>
    <x v="2"/>
    <x v="24"/>
    <n v="4"/>
    <x v="0"/>
    <x v="0"/>
    <x v="877"/>
    <x v="0"/>
    <x v="1"/>
    <x v="2"/>
    <n v="300"/>
    <x v="0"/>
    <n v="6.65"/>
    <x v="1"/>
    <n v="0.40197461212976021"/>
    <s v="Viewers"/>
  </r>
  <r>
    <n v="7445"/>
    <s v="Lauren"/>
    <x v="22"/>
    <d v="2024-11-23T00:00:00"/>
    <n v="15.99"/>
    <n v="115"/>
    <x v="4"/>
    <n v="2"/>
    <n v="6"/>
    <b v="1"/>
    <n v="583"/>
    <n v="127"/>
    <x v="0"/>
    <x v="2"/>
    <x v="4"/>
    <x v="13"/>
    <n v="3.6"/>
    <x v="0"/>
    <x v="0"/>
    <x v="878"/>
    <x v="1"/>
    <x v="0"/>
    <x v="0"/>
    <n v="370"/>
    <x v="2"/>
    <n v="2.1756756756756759"/>
    <x v="0"/>
    <n v="0.1619718309859155"/>
    <s v="Viewers"/>
  </r>
  <r>
    <n v="6135"/>
    <s v="Carol"/>
    <x v="240"/>
    <d v="2024-11-21T00:00:00"/>
    <n v="7.99"/>
    <n v="322"/>
    <x v="1"/>
    <n v="1"/>
    <n v="5"/>
    <b v="1"/>
    <n v="446"/>
    <n v="114"/>
    <x v="4"/>
    <x v="2"/>
    <x v="4"/>
    <x v="0"/>
    <n v="4.5"/>
    <x v="1"/>
    <x v="0"/>
    <x v="879"/>
    <x v="4"/>
    <x v="1"/>
    <x v="0"/>
    <n v="42"/>
    <x v="0"/>
    <n v="53.666666666666664"/>
    <x v="2"/>
    <n v="0.57499999999999996"/>
    <s v="Viewers"/>
  </r>
  <r>
    <n v="3168"/>
    <s v="Alicia"/>
    <x v="450"/>
    <d v="2024-11-21T00:00:00"/>
    <n v="7.99"/>
    <n v="348"/>
    <x v="0"/>
    <n v="2"/>
    <n v="2"/>
    <b v="1"/>
    <n v="797"/>
    <n v="81"/>
    <x v="4"/>
    <x v="0"/>
    <x v="3"/>
    <x v="32"/>
    <n v="5"/>
    <x v="1"/>
    <x v="0"/>
    <x v="561"/>
    <x v="2"/>
    <x v="3"/>
    <x v="2"/>
    <n v="228"/>
    <x v="0"/>
    <n v="10.684210526315789"/>
    <x v="1"/>
    <n v="0.39635535307517084"/>
    <s v="Viewers"/>
  </r>
  <r>
    <n v="2981"/>
    <s v="Laura"/>
    <x v="439"/>
    <d v="2024-12-03T00:00:00"/>
    <n v="11.99"/>
    <n v="482"/>
    <x v="2"/>
    <n v="5"/>
    <n v="2"/>
    <b v="1"/>
    <n v="665"/>
    <n v="96"/>
    <x v="6"/>
    <x v="1"/>
    <x v="3"/>
    <x v="50"/>
    <n v="4.7"/>
    <x v="1"/>
    <x v="0"/>
    <x v="880"/>
    <x v="0"/>
    <x v="2"/>
    <x v="3"/>
    <n v="210"/>
    <x v="1"/>
    <n v="16.066666666666666"/>
    <x v="2"/>
    <n v="0.63337713534822604"/>
    <s v="Viewers"/>
  </r>
  <r>
    <n v="7739"/>
    <s v="Ryan"/>
    <x v="518"/>
    <d v="2024-12-11T00:00:00"/>
    <n v="7.99"/>
    <n v="384"/>
    <x v="2"/>
    <n v="4"/>
    <n v="3"/>
    <b v="1"/>
    <n v="188"/>
    <n v="140"/>
    <x v="6"/>
    <x v="3"/>
    <x v="5"/>
    <x v="18"/>
    <n v="3.9"/>
    <x v="0"/>
    <x v="0"/>
    <x v="881"/>
    <x v="0"/>
    <x v="1"/>
    <x v="3"/>
    <n v="640"/>
    <x v="0"/>
    <n v="4.2"/>
    <x v="0"/>
    <n v="1.1707317073170731"/>
    <s v="Viewers"/>
  </r>
  <r>
    <n v="5905"/>
    <s v="Brian"/>
    <x v="354"/>
    <d v="2024-12-09T00:00:00"/>
    <n v="15.99"/>
    <n v="178"/>
    <x v="5"/>
    <n v="5"/>
    <n v="5"/>
    <b v="0"/>
    <n v="489"/>
    <n v="6"/>
    <x v="3"/>
    <x v="0"/>
    <x v="3"/>
    <x v="35"/>
    <n v="4.5"/>
    <x v="0"/>
    <x v="0"/>
    <x v="882"/>
    <x v="4"/>
    <x v="4"/>
    <x v="0"/>
    <n v="278"/>
    <x v="2"/>
    <n v="4.4820143884892083"/>
    <x v="0"/>
    <n v="0.35959595959595958"/>
    <s v="Viewers"/>
  </r>
  <r>
    <n v="1443"/>
    <s v="Sandra"/>
    <x v="519"/>
    <d v="2024-12-17T00:00:00"/>
    <n v="11.99"/>
    <n v="91"/>
    <x v="1"/>
    <n v="1"/>
    <n v="2"/>
    <b v="0"/>
    <n v="377"/>
    <n v="14"/>
    <x v="0"/>
    <x v="2"/>
    <x v="1"/>
    <x v="56"/>
    <n v="4.5999999999999996"/>
    <x v="0"/>
    <x v="0"/>
    <x v="883"/>
    <x v="4"/>
    <x v="4"/>
    <x v="0"/>
    <n v="545"/>
    <x v="1"/>
    <n v="1.1688073394495413"/>
    <x v="0"/>
    <n v="0.23273657289002558"/>
    <s v="Viewers"/>
  </r>
  <r>
    <n v="6181"/>
    <s v="Krista"/>
    <x v="129"/>
    <d v="2024-12-05T00:00:00"/>
    <n v="11.99"/>
    <n v="175"/>
    <x v="4"/>
    <n v="4"/>
    <n v="3"/>
    <b v="1"/>
    <n v="424"/>
    <n v="125"/>
    <x v="2"/>
    <x v="2"/>
    <x v="5"/>
    <x v="44"/>
    <n v="4.7"/>
    <x v="1"/>
    <x v="0"/>
    <x v="481"/>
    <x v="2"/>
    <x v="0"/>
    <x v="1"/>
    <n v="4"/>
    <x v="1"/>
    <n v="306.25"/>
    <x v="2"/>
    <n v="0.31876138433515483"/>
    <s v="Viewers"/>
  </r>
  <r>
    <n v="8406"/>
    <s v="Jeremiah"/>
    <x v="22"/>
    <d v="2024-12-14T00:00:00"/>
    <n v="11.99"/>
    <n v="187"/>
    <x v="0"/>
    <n v="5"/>
    <n v="5"/>
    <b v="1"/>
    <n v="491"/>
    <n v="197"/>
    <x v="2"/>
    <x v="0"/>
    <x v="5"/>
    <x v="84"/>
    <n v="3.3"/>
    <x v="1"/>
    <x v="0"/>
    <x v="884"/>
    <x v="0"/>
    <x v="0"/>
    <x v="0"/>
    <n v="391"/>
    <x v="1"/>
    <n v="3.347826086956522"/>
    <x v="0"/>
    <n v="0.27180232558139533"/>
    <s v="Viewers"/>
  </r>
  <r>
    <n v="5389"/>
    <s v="Leon"/>
    <x v="520"/>
    <d v="2024-11-29T00:00:00"/>
    <n v="11.99"/>
    <n v="352"/>
    <x v="1"/>
    <n v="4"/>
    <n v="1"/>
    <b v="0"/>
    <n v="521"/>
    <n v="128"/>
    <x v="5"/>
    <x v="3"/>
    <x v="4"/>
    <x v="76"/>
    <n v="4.5999999999999996"/>
    <x v="1"/>
    <x v="0"/>
    <x v="885"/>
    <x v="1"/>
    <x v="3"/>
    <x v="3"/>
    <n v="186"/>
    <x v="1"/>
    <n v="13.247311827956988"/>
    <x v="1"/>
    <n v="0.5423728813559322"/>
    <s v="Viewers"/>
  </r>
  <r>
    <n v="4586"/>
    <s v="Tracey"/>
    <x v="82"/>
    <d v="2024-12-01T00:00:00"/>
    <n v="7.99"/>
    <n v="448"/>
    <x v="0"/>
    <n v="3"/>
    <n v="4"/>
    <b v="1"/>
    <n v="506"/>
    <n v="193"/>
    <x v="5"/>
    <x v="1"/>
    <x v="3"/>
    <x v="37"/>
    <n v="4.3"/>
    <x v="0"/>
    <x v="0"/>
    <x v="886"/>
    <x v="2"/>
    <x v="1"/>
    <x v="0"/>
    <n v="406"/>
    <x v="0"/>
    <n v="7.7241379310344831"/>
    <x v="1"/>
    <n v="0.64091559370529327"/>
    <s v="Viewers"/>
  </r>
  <r>
    <n v="4020"/>
    <s v="Edward"/>
    <x v="355"/>
    <d v="2024-12-02T00:00:00"/>
    <n v="15.99"/>
    <n v="81"/>
    <x v="2"/>
    <n v="1"/>
    <n v="6"/>
    <b v="0"/>
    <n v="390"/>
    <n v="43"/>
    <x v="2"/>
    <x v="1"/>
    <x v="2"/>
    <x v="36"/>
    <n v="4"/>
    <x v="0"/>
    <x v="0"/>
    <x v="887"/>
    <x v="1"/>
    <x v="3"/>
    <x v="3"/>
    <n v="257"/>
    <x v="2"/>
    <n v="2.2062256809338523"/>
    <x v="0"/>
    <n v="0.18706697459584296"/>
    <s v="Viewers"/>
  </r>
  <r>
    <n v="1635"/>
    <s v="Larry"/>
    <x v="262"/>
    <d v="2024-12-05T00:00:00"/>
    <n v="15.99"/>
    <n v="321"/>
    <x v="2"/>
    <n v="1"/>
    <n v="5"/>
    <b v="1"/>
    <n v="276"/>
    <n v="182"/>
    <x v="4"/>
    <x v="3"/>
    <x v="2"/>
    <x v="64"/>
    <n v="4.9000000000000004"/>
    <x v="1"/>
    <x v="0"/>
    <x v="888"/>
    <x v="2"/>
    <x v="0"/>
    <x v="3"/>
    <n v="349"/>
    <x v="2"/>
    <n v="6.4383954154727796"/>
    <x v="1"/>
    <n v="0.70087336244541487"/>
    <s v="Viewers"/>
  </r>
  <r>
    <n v="9257"/>
    <s v="Jonathan"/>
    <x v="521"/>
    <d v="2024-11-29T00:00:00"/>
    <n v="7.99"/>
    <n v="114"/>
    <x v="4"/>
    <n v="1"/>
    <n v="1"/>
    <b v="1"/>
    <n v="896"/>
    <n v="9"/>
    <x v="4"/>
    <x v="1"/>
    <x v="2"/>
    <x v="22"/>
    <n v="3.2"/>
    <x v="0"/>
    <x v="0"/>
    <x v="794"/>
    <x v="1"/>
    <x v="2"/>
    <x v="2"/>
    <n v="177"/>
    <x v="0"/>
    <n v="4.5084745762711869"/>
    <x v="0"/>
    <n v="0.12596685082872927"/>
    <s v=" Browsers"/>
  </r>
  <r>
    <n v="6380"/>
    <s v="Jennifer"/>
    <x v="42"/>
    <d v="2024-12-14T00:00:00"/>
    <n v="7.99"/>
    <n v="493"/>
    <x v="1"/>
    <n v="5"/>
    <n v="2"/>
    <b v="1"/>
    <n v="29"/>
    <n v="82"/>
    <x v="3"/>
    <x v="3"/>
    <x v="0"/>
    <x v="61"/>
    <n v="3.4"/>
    <x v="0"/>
    <x v="0"/>
    <x v="889"/>
    <x v="0"/>
    <x v="2"/>
    <x v="1"/>
    <n v="620"/>
    <x v="0"/>
    <n v="5.5661290322580648"/>
    <x v="1"/>
    <n v="4.4414414414414418"/>
    <s v="Viewers"/>
  </r>
  <r>
    <n v="6385"/>
    <s v="Travis"/>
    <x v="476"/>
    <d v="2024-11-28T00:00:00"/>
    <n v="11.99"/>
    <n v="475"/>
    <x v="3"/>
    <n v="1"/>
    <n v="5"/>
    <b v="0"/>
    <n v="523"/>
    <n v="30"/>
    <x v="5"/>
    <x v="3"/>
    <x v="1"/>
    <x v="99"/>
    <n v="4.8"/>
    <x v="0"/>
    <x v="0"/>
    <x v="890"/>
    <x v="0"/>
    <x v="2"/>
    <x v="0"/>
    <n v="498"/>
    <x v="1"/>
    <n v="6.6767068273092374"/>
    <x v="1"/>
    <n v="0.8589511754068716"/>
    <s v="Viewers"/>
  </r>
  <r>
    <n v="6858"/>
    <s v="Michelle"/>
    <x v="522"/>
    <d v="2024-12-12T00:00:00"/>
    <n v="11.99"/>
    <n v="287"/>
    <x v="3"/>
    <n v="1"/>
    <n v="2"/>
    <b v="0"/>
    <n v="918"/>
    <n v="82"/>
    <x v="3"/>
    <x v="1"/>
    <x v="1"/>
    <x v="74"/>
    <n v="3.2"/>
    <x v="0"/>
    <x v="0"/>
    <x v="891"/>
    <x v="2"/>
    <x v="4"/>
    <x v="3"/>
    <n v="355"/>
    <x v="1"/>
    <n v="5.6591549295774648"/>
    <x v="1"/>
    <n v="0.28699999999999998"/>
    <s v="Viewers"/>
  </r>
  <r>
    <n v="8875"/>
    <s v="Larry"/>
    <x v="10"/>
    <d v="2024-12-17T00:00:00"/>
    <n v="15.99"/>
    <n v="138"/>
    <x v="0"/>
    <n v="5"/>
    <n v="2"/>
    <b v="0"/>
    <n v="40"/>
    <n v="166"/>
    <x v="2"/>
    <x v="3"/>
    <x v="5"/>
    <x v="75"/>
    <n v="4.2"/>
    <x v="0"/>
    <x v="0"/>
    <x v="892"/>
    <x v="4"/>
    <x v="1"/>
    <x v="2"/>
    <n v="630"/>
    <x v="2"/>
    <n v="1.5333333333333334"/>
    <x v="0"/>
    <n v="0.66990291262135926"/>
    <s v="Viewers"/>
  </r>
  <r>
    <n v="3334"/>
    <s v="Kenneth"/>
    <x v="450"/>
    <d v="2024-12-05T00:00:00"/>
    <n v="15.99"/>
    <n v="198"/>
    <x v="0"/>
    <n v="3"/>
    <n v="1"/>
    <b v="1"/>
    <n v="614"/>
    <n v="69"/>
    <x v="6"/>
    <x v="0"/>
    <x v="3"/>
    <x v="21"/>
    <n v="3.6"/>
    <x v="1"/>
    <x v="0"/>
    <x v="893"/>
    <x v="0"/>
    <x v="1"/>
    <x v="0"/>
    <n v="242"/>
    <x v="2"/>
    <n v="5.7272727272727275"/>
    <x v="1"/>
    <n v="0.28989751098096633"/>
    <s v="Viewers"/>
  </r>
  <r>
    <n v="5850"/>
    <s v="Joshua"/>
    <x v="436"/>
    <d v="2024-12-11T00:00:00"/>
    <n v="15.99"/>
    <n v="164"/>
    <x v="0"/>
    <n v="2"/>
    <n v="1"/>
    <b v="0"/>
    <n v="833"/>
    <n v="89"/>
    <x v="6"/>
    <x v="3"/>
    <x v="3"/>
    <x v="7"/>
    <n v="4.9000000000000004"/>
    <x v="0"/>
    <x v="0"/>
    <x v="894"/>
    <x v="2"/>
    <x v="2"/>
    <x v="1"/>
    <n v="492"/>
    <x v="2"/>
    <n v="2.333333333333333"/>
    <x v="0"/>
    <n v="0.17787418655097614"/>
    <s v="Viewers"/>
  </r>
  <r>
    <n v="8593"/>
    <s v="James"/>
    <x v="291"/>
    <d v="2024-12-10T00:00:00"/>
    <n v="15.99"/>
    <n v="65"/>
    <x v="4"/>
    <n v="4"/>
    <n v="3"/>
    <b v="0"/>
    <n v="238"/>
    <n v="39"/>
    <x v="6"/>
    <x v="3"/>
    <x v="1"/>
    <x v="73"/>
    <n v="4.7"/>
    <x v="0"/>
    <x v="0"/>
    <x v="895"/>
    <x v="2"/>
    <x v="3"/>
    <x v="1"/>
    <n v="140"/>
    <x v="2"/>
    <n v="3.25"/>
    <x v="0"/>
    <n v="0.23465703971119134"/>
    <s v="Viewers"/>
  </r>
  <r>
    <n v="6278"/>
    <s v="Richard"/>
    <x v="156"/>
    <d v="2024-11-25T00:00:00"/>
    <n v="7.99"/>
    <n v="388"/>
    <x v="1"/>
    <n v="1"/>
    <n v="6"/>
    <b v="1"/>
    <n v="861"/>
    <n v="59"/>
    <x v="0"/>
    <x v="1"/>
    <x v="0"/>
    <x v="19"/>
    <n v="4.4000000000000004"/>
    <x v="0"/>
    <x v="0"/>
    <x v="896"/>
    <x v="3"/>
    <x v="3"/>
    <x v="2"/>
    <n v="526"/>
    <x v="0"/>
    <n v="5.163498098859316"/>
    <x v="1"/>
    <n v="0.42173913043478262"/>
    <s v="Viewers"/>
  </r>
  <r>
    <n v="1388"/>
    <s v="Michael"/>
    <x v="243"/>
    <d v="2024-12-10T00:00:00"/>
    <n v="15.99"/>
    <n v="412"/>
    <x v="6"/>
    <n v="3"/>
    <n v="3"/>
    <b v="1"/>
    <n v="999"/>
    <n v="127"/>
    <x v="0"/>
    <x v="3"/>
    <x v="0"/>
    <x v="69"/>
    <n v="4"/>
    <x v="0"/>
    <x v="0"/>
    <x v="897"/>
    <x v="1"/>
    <x v="2"/>
    <x v="0"/>
    <n v="326"/>
    <x v="2"/>
    <n v="8.8466257668711652"/>
    <x v="1"/>
    <n v="0.36589698046181174"/>
    <s v="Viewers"/>
  </r>
  <r>
    <n v="2521"/>
    <s v="Jessica"/>
    <x v="523"/>
    <d v="2024-11-27T00:00:00"/>
    <n v="15.99"/>
    <n v="267"/>
    <x v="0"/>
    <n v="4"/>
    <n v="4"/>
    <b v="0"/>
    <n v="118"/>
    <n v="6"/>
    <x v="0"/>
    <x v="3"/>
    <x v="4"/>
    <x v="10"/>
    <n v="5"/>
    <x v="0"/>
    <x v="0"/>
    <x v="898"/>
    <x v="0"/>
    <x v="4"/>
    <x v="1"/>
    <n v="211"/>
    <x v="2"/>
    <n v="8.8578199052132707"/>
    <x v="1"/>
    <n v="2.153225806451613"/>
    <s v="Viewers"/>
  </r>
  <r>
    <n v="1269"/>
    <s v="Helen"/>
    <x v="524"/>
    <d v="2024-11-29T00:00:00"/>
    <n v="15.99"/>
    <n v="29"/>
    <x v="0"/>
    <n v="3"/>
    <n v="2"/>
    <b v="0"/>
    <n v="404"/>
    <n v="177"/>
    <x v="0"/>
    <x v="3"/>
    <x v="3"/>
    <x v="74"/>
    <n v="4.4000000000000004"/>
    <x v="0"/>
    <x v="0"/>
    <x v="539"/>
    <x v="4"/>
    <x v="2"/>
    <x v="1"/>
    <n v="690"/>
    <x v="2"/>
    <n v="0.29420289855072462"/>
    <x v="0"/>
    <n v="4.9913941480206538E-2"/>
    <s v=" Browsers"/>
  </r>
  <r>
    <n v="9959"/>
    <s v="Dustin"/>
    <x v="278"/>
    <d v="2024-12-10T00:00:00"/>
    <n v="15.99"/>
    <n v="454"/>
    <x v="0"/>
    <n v="5"/>
    <n v="6"/>
    <b v="1"/>
    <n v="938"/>
    <n v="75"/>
    <x v="5"/>
    <x v="1"/>
    <x v="1"/>
    <x v="82"/>
    <n v="3.1"/>
    <x v="0"/>
    <x v="0"/>
    <x v="899"/>
    <x v="2"/>
    <x v="1"/>
    <x v="3"/>
    <n v="90"/>
    <x v="2"/>
    <n v="35.31111111111111"/>
    <x v="2"/>
    <n v="0.44817374136229021"/>
    <s v="Viewers"/>
  </r>
  <r>
    <n v="7549"/>
    <s v="Jeremiah"/>
    <x v="118"/>
    <d v="2024-11-28T00:00:00"/>
    <n v="15.99"/>
    <n v="119"/>
    <x v="6"/>
    <n v="1"/>
    <n v="5"/>
    <b v="1"/>
    <n v="112"/>
    <n v="181"/>
    <x v="6"/>
    <x v="2"/>
    <x v="1"/>
    <x v="3"/>
    <n v="3.2"/>
    <x v="1"/>
    <x v="0"/>
    <x v="900"/>
    <x v="1"/>
    <x v="2"/>
    <x v="3"/>
    <n v="182"/>
    <x v="2"/>
    <n v="4.5769230769230766"/>
    <x v="0"/>
    <n v="0.4061433447098976"/>
    <s v="Viewers"/>
  </r>
  <r>
    <n v="4747"/>
    <s v="John"/>
    <x v="525"/>
    <d v="2024-12-09T00:00:00"/>
    <n v="11.99"/>
    <n v="311"/>
    <x v="0"/>
    <n v="5"/>
    <n v="1"/>
    <b v="1"/>
    <n v="430"/>
    <n v="188"/>
    <x v="2"/>
    <x v="2"/>
    <x v="5"/>
    <x v="18"/>
    <n v="4.4000000000000004"/>
    <x v="1"/>
    <x v="0"/>
    <x v="901"/>
    <x v="2"/>
    <x v="4"/>
    <x v="2"/>
    <n v="303"/>
    <x v="1"/>
    <n v="7.1848184818481853"/>
    <x v="1"/>
    <n v="0.50323624595469252"/>
    <s v="Viewers"/>
  </r>
  <r>
    <n v="8320"/>
    <s v="Heather"/>
    <x v="286"/>
    <d v="2024-12-09T00:00:00"/>
    <n v="15.99"/>
    <n v="122"/>
    <x v="5"/>
    <n v="2"/>
    <n v="2"/>
    <b v="0"/>
    <n v="626"/>
    <n v="69"/>
    <x v="0"/>
    <x v="0"/>
    <x v="2"/>
    <x v="71"/>
    <n v="4.2"/>
    <x v="1"/>
    <x v="0"/>
    <x v="902"/>
    <x v="3"/>
    <x v="0"/>
    <x v="2"/>
    <n v="342"/>
    <x v="2"/>
    <n v="2.4970760233918132"/>
    <x v="0"/>
    <n v="0.17553956834532375"/>
    <s v="Viewers"/>
  </r>
  <r>
    <n v="1333"/>
    <s v="Mark"/>
    <x v="526"/>
    <d v="2024-11-19T00:00:00"/>
    <n v="15.99"/>
    <n v="300"/>
    <x v="2"/>
    <n v="5"/>
    <n v="4"/>
    <b v="1"/>
    <n v="819"/>
    <n v="143"/>
    <x v="1"/>
    <x v="2"/>
    <x v="1"/>
    <x v="73"/>
    <n v="5"/>
    <x v="0"/>
    <x v="0"/>
    <x v="903"/>
    <x v="1"/>
    <x v="3"/>
    <x v="1"/>
    <n v="217"/>
    <x v="2"/>
    <n v="9.67741935483871"/>
    <x v="1"/>
    <n v="0.31185031185031187"/>
    <s v="Viewers"/>
  </r>
  <r>
    <n v="5254"/>
    <s v="Thomas"/>
    <x v="278"/>
    <d v="2024-11-30T00:00:00"/>
    <n v="15.99"/>
    <n v="59"/>
    <x v="6"/>
    <n v="4"/>
    <n v="3"/>
    <b v="0"/>
    <n v="718"/>
    <n v="3"/>
    <x v="1"/>
    <x v="1"/>
    <x v="1"/>
    <x v="80"/>
    <n v="4.2"/>
    <x v="1"/>
    <x v="0"/>
    <x v="904"/>
    <x v="1"/>
    <x v="2"/>
    <x v="0"/>
    <n v="80"/>
    <x v="2"/>
    <n v="5.1624999999999996"/>
    <x v="1"/>
    <n v="8.1830790568654652E-2"/>
    <s v=" Browsers"/>
  </r>
  <r>
    <n v="6842"/>
    <s v="Cody"/>
    <x v="31"/>
    <d v="2024-12-08T00:00:00"/>
    <n v="15.99"/>
    <n v="34"/>
    <x v="1"/>
    <n v="1"/>
    <n v="4"/>
    <b v="1"/>
    <n v="109"/>
    <n v="174"/>
    <x v="1"/>
    <x v="1"/>
    <x v="0"/>
    <x v="98"/>
    <n v="4.4000000000000004"/>
    <x v="1"/>
    <x v="0"/>
    <x v="905"/>
    <x v="4"/>
    <x v="4"/>
    <x v="0"/>
    <n v="535"/>
    <x v="2"/>
    <n v="0.44485981308411215"/>
    <x v="0"/>
    <n v="0.12014134275618374"/>
    <s v=" Browsers"/>
  </r>
  <r>
    <n v="9333"/>
    <s v="Jonathon"/>
    <x v="527"/>
    <d v="2024-12-17T00:00:00"/>
    <n v="11.99"/>
    <n v="23"/>
    <x v="5"/>
    <n v="2"/>
    <n v="1"/>
    <b v="0"/>
    <n v="544"/>
    <n v="25"/>
    <x v="3"/>
    <x v="3"/>
    <x v="1"/>
    <x v="3"/>
    <n v="3.6"/>
    <x v="0"/>
    <x v="0"/>
    <x v="765"/>
    <x v="3"/>
    <x v="1"/>
    <x v="1"/>
    <n v="366"/>
    <x v="1"/>
    <n v="0.43989071038251365"/>
    <x v="0"/>
    <n v="4.0421792618629174E-2"/>
    <s v=" Browsers"/>
  </r>
  <r>
    <n v="9122"/>
    <s v="Kyle"/>
    <x v="528"/>
    <d v="2024-12-11T00:00:00"/>
    <n v="15.99"/>
    <n v="168"/>
    <x v="0"/>
    <n v="3"/>
    <n v="2"/>
    <b v="1"/>
    <n v="25"/>
    <n v="171"/>
    <x v="6"/>
    <x v="0"/>
    <x v="0"/>
    <x v="37"/>
    <n v="4"/>
    <x v="0"/>
    <x v="0"/>
    <x v="906"/>
    <x v="1"/>
    <x v="1"/>
    <x v="1"/>
    <n v="130"/>
    <x v="2"/>
    <n v="9.046153846153846"/>
    <x v="1"/>
    <n v="0.8571428571428571"/>
    <s v="Viewers"/>
  </r>
  <r>
    <n v="6221"/>
    <s v="Jessica"/>
    <x v="159"/>
    <d v="2024-11-25T00:00:00"/>
    <n v="11.99"/>
    <n v="306"/>
    <x v="0"/>
    <n v="5"/>
    <n v="1"/>
    <b v="1"/>
    <n v="513"/>
    <n v="70"/>
    <x v="0"/>
    <x v="2"/>
    <x v="3"/>
    <x v="89"/>
    <n v="3.7"/>
    <x v="0"/>
    <x v="0"/>
    <x v="907"/>
    <x v="1"/>
    <x v="2"/>
    <x v="0"/>
    <n v="9"/>
    <x v="1"/>
    <n v="237.99999999999997"/>
    <x v="2"/>
    <n v="0.52487135506003435"/>
    <s v="Viewers"/>
  </r>
  <r>
    <n v="9957"/>
    <s v="Richard"/>
    <x v="529"/>
    <d v="2024-12-13T00:00:00"/>
    <n v="15.99"/>
    <n v="433"/>
    <x v="3"/>
    <n v="2"/>
    <n v="6"/>
    <b v="1"/>
    <n v="1000"/>
    <n v="48"/>
    <x v="6"/>
    <x v="1"/>
    <x v="3"/>
    <x v="92"/>
    <n v="3.7"/>
    <x v="0"/>
    <x v="0"/>
    <x v="908"/>
    <x v="4"/>
    <x v="4"/>
    <x v="0"/>
    <n v="401"/>
    <x v="2"/>
    <n v="7.5586034912718203"/>
    <x v="1"/>
    <n v="0.41316793893129772"/>
    <s v="Viewers"/>
  </r>
  <r>
    <n v="4680"/>
    <s v="Alexandria"/>
    <x v="530"/>
    <d v="2024-12-16T00:00:00"/>
    <n v="11.99"/>
    <n v="221"/>
    <x v="6"/>
    <n v="5"/>
    <n v="5"/>
    <b v="1"/>
    <n v="749"/>
    <n v="66"/>
    <x v="0"/>
    <x v="3"/>
    <x v="1"/>
    <x v="86"/>
    <n v="3.3"/>
    <x v="1"/>
    <x v="0"/>
    <x v="909"/>
    <x v="2"/>
    <x v="0"/>
    <x v="3"/>
    <n v="5"/>
    <x v="1"/>
    <n v="309.39999999999998"/>
    <x v="2"/>
    <n v="0.27116564417177913"/>
    <s v="Viewers"/>
  </r>
  <r>
    <n v="5974"/>
    <s v="Spencer"/>
    <x v="76"/>
    <d v="2024-11-23T00:00:00"/>
    <n v="15.99"/>
    <n v="236"/>
    <x v="3"/>
    <n v="3"/>
    <n v="5"/>
    <b v="1"/>
    <n v="600"/>
    <n v="199"/>
    <x v="2"/>
    <x v="3"/>
    <x v="1"/>
    <x v="2"/>
    <n v="3.7"/>
    <x v="0"/>
    <x v="0"/>
    <x v="716"/>
    <x v="4"/>
    <x v="2"/>
    <x v="1"/>
    <n v="34"/>
    <x v="2"/>
    <n v="48.588235294117652"/>
    <x v="2"/>
    <n v="0.29536921151439299"/>
    <s v="Viewers"/>
  </r>
  <r>
    <n v="6938"/>
    <s v="Diana"/>
    <x v="169"/>
    <d v="2024-12-12T00:00:00"/>
    <n v="11.99"/>
    <n v="75"/>
    <x v="0"/>
    <n v="4"/>
    <n v="6"/>
    <b v="0"/>
    <n v="897"/>
    <n v="59"/>
    <x v="5"/>
    <x v="2"/>
    <x v="0"/>
    <x v="17"/>
    <n v="3.4"/>
    <x v="0"/>
    <x v="0"/>
    <x v="910"/>
    <x v="1"/>
    <x v="2"/>
    <x v="3"/>
    <n v="221"/>
    <x v="1"/>
    <n v="2.3755656108597285"/>
    <x v="0"/>
    <n v="7.8451882845188281E-2"/>
    <s v=" Browsers"/>
  </r>
  <r>
    <n v="1175"/>
    <s v="Todd"/>
    <x v="531"/>
    <d v="2024-11-21T00:00:00"/>
    <n v="15.99"/>
    <n v="325"/>
    <x v="5"/>
    <n v="3"/>
    <n v="6"/>
    <b v="1"/>
    <n v="412"/>
    <n v="117"/>
    <x v="5"/>
    <x v="2"/>
    <x v="0"/>
    <x v="60"/>
    <n v="4"/>
    <x v="1"/>
    <x v="0"/>
    <x v="911"/>
    <x v="4"/>
    <x v="1"/>
    <x v="3"/>
    <n v="254"/>
    <x v="2"/>
    <n v="8.9566929133858277"/>
    <x v="1"/>
    <n v="0.61436672967863892"/>
    <s v="Viewers"/>
  </r>
  <r>
    <n v="1260"/>
    <s v="Harold"/>
    <x v="531"/>
    <d v="2024-12-03T00:00:00"/>
    <n v="7.99"/>
    <n v="217"/>
    <x v="3"/>
    <n v="5"/>
    <n v="2"/>
    <b v="0"/>
    <n v="669"/>
    <n v="155"/>
    <x v="5"/>
    <x v="1"/>
    <x v="2"/>
    <x v="42"/>
    <n v="4.8"/>
    <x v="1"/>
    <x v="0"/>
    <x v="85"/>
    <x v="4"/>
    <x v="0"/>
    <x v="0"/>
    <n v="266"/>
    <x v="0"/>
    <n v="5.7105263157894735"/>
    <x v="1"/>
    <n v="0.26334951456310679"/>
    <s v="Viewers"/>
  </r>
  <r>
    <n v="4645"/>
    <s v="Stephanie"/>
    <x v="532"/>
    <d v="2024-12-14T00:00:00"/>
    <n v="7.99"/>
    <n v="178"/>
    <x v="0"/>
    <n v="4"/>
    <n v="5"/>
    <b v="1"/>
    <n v="323"/>
    <n v="130"/>
    <x v="5"/>
    <x v="3"/>
    <x v="5"/>
    <x v="94"/>
    <n v="3"/>
    <x v="1"/>
    <x v="0"/>
    <x v="912"/>
    <x v="1"/>
    <x v="0"/>
    <x v="3"/>
    <n v="564"/>
    <x v="0"/>
    <n v="2.2092198581560285"/>
    <x v="0"/>
    <n v="0.39293598233995586"/>
    <s v="Viewers"/>
  </r>
  <r>
    <n v="1637"/>
    <s v="Kimberly"/>
    <x v="533"/>
    <d v="2024-11-19T00:00:00"/>
    <n v="15.99"/>
    <n v="74"/>
    <x v="2"/>
    <n v="4"/>
    <n v="3"/>
    <b v="1"/>
    <n v="646"/>
    <n v="38"/>
    <x v="2"/>
    <x v="3"/>
    <x v="0"/>
    <x v="86"/>
    <n v="4.0999999999999996"/>
    <x v="0"/>
    <x v="0"/>
    <x v="913"/>
    <x v="4"/>
    <x v="3"/>
    <x v="0"/>
    <n v="228"/>
    <x v="2"/>
    <n v="2.2719298245614037"/>
    <x v="0"/>
    <n v="0.10818713450292397"/>
    <s v=" Browsers"/>
  </r>
  <r>
    <n v="7960"/>
    <s v="Pamela"/>
    <x v="524"/>
    <d v="2024-11-22T00:00:00"/>
    <n v="15.99"/>
    <n v="373"/>
    <x v="5"/>
    <n v="1"/>
    <n v="3"/>
    <b v="0"/>
    <n v="507"/>
    <n v="130"/>
    <x v="1"/>
    <x v="2"/>
    <x v="4"/>
    <x v="81"/>
    <n v="3.3"/>
    <x v="1"/>
    <x v="0"/>
    <x v="914"/>
    <x v="0"/>
    <x v="2"/>
    <x v="2"/>
    <n v="683"/>
    <x v="2"/>
    <n v="3.8228404099560764"/>
    <x v="0"/>
    <n v="0.58555729984301408"/>
    <s v="Viewers"/>
  </r>
  <r>
    <n v="9693"/>
    <s v="Gregg"/>
    <x v="28"/>
    <d v="2024-11-30T00:00:00"/>
    <n v="15.99"/>
    <n v="64"/>
    <x v="5"/>
    <n v="5"/>
    <n v="1"/>
    <b v="0"/>
    <n v="881"/>
    <n v="15"/>
    <x v="2"/>
    <x v="0"/>
    <x v="2"/>
    <x v="46"/>
    <n v="3.6"/>
    <x v="0"/>
    <x v="0"/>
    <x v="915"/>
    <x v="4"/>
    <x v="2"/>
    <x v="3"/>
    <n v="247"/>
    <x v="2"/>
    <n v="1.8137651821862348"/>
    <x v="0"/>
    <n v="7.1428571428571425E-2"/>
    <s v=" Browsers"/>
  </r>
  <r>
    <n v="8743"/>
    <s v="Katherine"/>
    <x v="27"/>
    <d v="2024-11-25T00:00:00"/>
    <n v="11.99"/>
    <n v="129"/>
    <x v="0"/>
    <n v="3"/>
    <n v="5"/>
    <b v="1"/>
    <n v="594"/>
    <n v="127"/>
    <x v="3"/>
    <x v="0"/>
    <x v="1"/>
    <x v="37"/>
    <n v="3.9"/>
    <x v="0"/>
    <x v="0"/>
    <x v="916"/>
    <x v="0"/>
    <x v="3"/>
    <x v="2"/>
    <n v="300"/>
    <x v="1"/>
    <n v="3.0100000000000002"/>
    <x v="0"/>
    <n v="0.17891816920943135"/>
    <s v="Viewers"/>
  </r>
  <r>
    <n v="3379"/>
    <s v="Grant"/>
    <x v="197"/>
    <d v="2024-12-12T00:00:00"/>
    <n v="15.99"/>
    <n v="297"/>
    <x v="2"/>
    <n v="3"/>
    <n v="1"/>
    <b v="1"/>
    <n v="667"/>
    <n v="75"/>
    <x v="3"/>
    <x v="0"/>
    <x v="1"/>
    <x v="83"/>
    <n v="4.5"/>
    <x v="0"/>
    <x v="0"/>
    <x v="917"/>
    <x v="4"/>
    <x v="4"/>
    <x v="3"/>
    <n v="461"/>
    <x v="2"/>
    <n v="4.5097613882863339"/>
    <x v="0"/>
    <n v="0.40026954177897572"/>
    <s v="Viewers"/>
  </r>
  <r>
    <n v="7696"/>
    <s v="John"/>
    <x v="298"/>
    <d v="2024-11-30T00:00:00"/>
    <n v="15.99"/>
    <n v="235"/>
    <x v="0"/>
    <n v="2"/>
    <n v="5"/>
    <b v="0"/>
    <n v="709"/>
    <n v="151"/>
    <x v="2"/>
    <x v="1"/>
    <x v="1"/>
    <x v="35"/>
    <n v="3.7"/>
    <x v="0"/>
    <x v="0"/>
    <x v="661"/>
    <x v="3"/>
    <x v="3"/>
    <x v="3"/>
    <n v="389"/>
    <x v="2"/>
    <n v="4.2287917737789202"/>
    <x v="0"/>
    <n v="0.27325581395348836"/>
    <s v="Viewers"/>
  </r>
  <r>
    <n v="8552"/>
    <s v="Amber"/>
    <x v="534"/>
    <d v="2024-11-27T00:00:00"/>
    <n v="15.99"/>
    <n v="390"/>
    <x v="0"/>
    <n v="2"/>
    <n v="4"/>
    <b v="0"/>
    <n v="537"/>
    <n v="101"/>
    <x v="2"/>
    <x v="1"/>
    <x v="3"/>
    <x v="61"/>
    <n v="3"/>
    <x v="1"/>
    <x v="0"/>
    <x v="918"/>
    <x v="1"/>
    <x v="4"/>
    <x v="2"/>
    <n v="371"/>
    <x v="2"/>
    <n v="7.3584905660377355"/>
    <x v="1"/>
    <n v="0.61128526645768022"/>
    <s v="Viewers"/>
  </r>
  <r>
    <n v="5065"/>
    <s v="Daniel"/>
    <x v="217"/>
    <d v="2024-11-30T00:00:00"/>
    <n v="11.99"/>
    <n v="362"/>
    <x v="6"/>
    <n v="2"/>
    <n v="6"/>
    <b v="1"/>
    <n v="490"/>
    <n v="22"/>
    <x v="2"/>
    <x v="3"/>
    <x v="1"/>
    <x v="12"/>
    <n v="4.7"/>
    <x v="1"/>
    <x v="0"/>
    <x v="919"/>
    <x v="1"/>
    <x v="4"/>
    <x v="3"/>
    <n v="645"/>
    <x v="1"/>
    <n v="3.9286821705426358"/>
    <x v="0"/>
    <n v="0.70703125"/>
    <s v="Viewers"/>
  </r>
  <r>
    <n v="6878"/>
    <s v="Mary"/>
    <x v="535"/>
    <d v="2024-11-27T00:00:00"/>
    <n v="7.99"/>
    <n v="136"/>
    <x v="2"/>
    <n v="5"/>
    <n v="5"/>
    <b v="1"/>
    <n v="20"/>
    <n v="18"/>
    <x v="1"/>
    <x v="1"/>
    <x v="0"/>
    <x v="34"/>
    <n v="4.4000000000000004"/>
    <x v="1"/>
    <x v="0"/>
    <x v="920"/>
    <x v="4"/>
    <x v="0"/>
    <x v="0"/>
    <n v="215"/>
    <x v="0"/>
    <n v="4.4279069767441861"/>
    <x v="0"/>
    <n v="3.5789473684210527"/>
    <s v="Viewers"/>
  </r>
  <r>
    <n v="5681"/>
    <s v="Ryan"/>
    <x v="310"/>
    <d v="2024-12-08T00:00:00"/>
    <n v="11.99"/>
    <n v="159"/>
    <x v="6"/>
    <n v="4"/>
    <n v="6"/>
    <b v="1"/>
    <n v="824"/>
    <n v="31"/>
    <x v="3"/>
    <x v="3"/>
    <x v="4"/>
    <x v="44"/>
    <n v="3.3"/>
    <x v="0"/>
    <x v="0"/>
    <x v="921"/>
    <x v="1"/>
    <x v="2"/>
    <x v="2"/>
    <n v="214"/>
    <x v="1"/>
    <n v="5.2009345794392523"/>
    <x v="1"/>
    <n v="0.18596491228070175"/>
    <s v="Viewers"/>
  </r>
  <r>
    <n v="4448"/>
    <s v="David"/>
    <x v="202"/>
    <d v="2024-12-16T00:00:00"/>
    <n v="11.99"/>
    <n v="99"/>
    <x v="2"/>
    <n v="4"/>
    <n v="2"/>
    <b v="0"/>
    <n v="319"/>
    <n v="187"/>
    <x v="4"/>
    <x v="2"/>
    <x v="4"/>
    <x v="27"/>
    <n v="3.6"/>
    <x v="0"/>
    <x v="0"/>
    <x v="839"/>
    <x v="4"/>
    <x v="0"/>
    <x v="2"/>
    <n v="268"/>
    <x v="1"/>
    <n v="2.5858208955223883"/>
    <x v="0"/>
    <n v="0.19565217391304349"/>
    <s v="Viewers"/>
  </r>
  <r>
    <n v="5795"/>
    <s v="John"/>
    <x v="536"/>
    <d v="2024-12-13T00:00:00"/>
    <n v="11.99"/>
    <n v="157"/>
    <x v="0"/>
    <n v="4"/>
    <n v="2"/>
    <b v="0"/>
    <n v="754"/>
    <n v="23"/>
    <x v="5"/>
    <x v="1"/>
    <x v="3"/>
    <x v="80"/>
    <n v="4.4000000000000004"/>
    <x v="0"/>
    <x v="0"/>
    <x v="922"/>
    <x v="3"/>
    <x v="1"/>
    <x v="2"/>
    <n v="384"/>
    <x v="1"/>
    <n v="2.861979166666667"/>
    <x v="0"/>
    <n v="0.20205920205920205"/>
    <s v="Viewers"/>
  </r>
  <r>
    <n v="5320"/>
    <s v="Katherine"/>
    <x v="332"/>
    <d v="2024-12-09T00:00:00"/>
    <n v="11.99"/>
    <n v="123"/>
    <x v="3"/>
    <n v="1"/>
    <n v="6"/>
    <b v="0"/>
    <n v="718"/>
    <n v="25"/>
    <x v="0"/>
    <x v="0"/>
    <x v="1"/>
    <x v="59"/>
    <n v="4.4000000000000004"/>
    <x v="0"/>
    <x v="0"/>
    <x v="923"/>
    <x v="2"/>
    <x v="1"/>
    <x v="2"/>
    <n v="438"/>
    <x v="1"/>
    <n v="1.9657534246575343"/>
    <x v="0"/>
    <n v="0.16554508748317631"/>
    <s v="Viewer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B75ED6-1C63-45C7-B109-C278B95BB978}" name="1. Subscription &amp; Revenue Analysis: 1.0"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4" rowHeaderCaption="Subscription Tier">
  <location ref="D4:F8" firstHeaderRow="0" firstDataRow="1" firstDataCol="1"/>
  <pivotFields count="34">
    <pivotField dataField="1" numFmtId="1" showAll="0"/>
    <pivotField showAll="0"/>
    <pivotField numFmtId="14" showAll="0">
      <items count="538">
        <item x="91"/>
        <item x="302"/>
        <item x="102"/>
        <item x="424"/>
        <item x="54"/>
        <item x="127"/>
        <item x="51"/>
        <item x="274"/>
        <item x="137"/>
        <item x="53"/>
        <item x="201"/>
        <item x="417"/>
        <item x="218"/>
        <item x="228"/>
        <item x="374"/>
        <item x="524"/>
        <item x="484"/>
        <item x="514"/>
        <item x="470"/>
        <item x="513"/>
        <item x="333"/>
        <item x="463"/>
        <item x="368"/>
        <item x="222"/>
        <item x="176"/>
        <item x="119"/>
        <item x="255"/>
        <item x="270"/>
        <item x="281"/>
        <item x="251"/>
        <item x="344"/>
        <item x="497"/>
        <item x="3"/>
        <item x="200"/>
        <item x="58"/>
        <item x="504"/>
        <item x="86"/>
        <item x="147"/>
        <item x="116"/>
        <item x="224"/>
        <item x="359"/>
        <item x="478"/>
        <item x="440"/>
        <item x="16"/>
        <item x="242"/>
        <item x="471"/>
        <item x="100"/>
        <item x="507"/>
        <item x="65"/>
        <item x="128"/>
        <item x="233"/>
        <item x="131"/>
        <item x="217"/>
        <item x="152"/>
        <item x="372"/>
        <item x="62"/>
        <item x="397"/>
        <item x="393"/>
        <item x="204"/>
        <item x="364"/>
        <item x="139"/>
        <item x="112"/>
        <item x="253"/>
        <item x="475"/>
        <item x="518"/>
        <item x="151"/>
        <item x="378"/>
        <item x="264"/>
        <item x="123"/>
        <item x="269"/>
        <item x="353"/>
        <item x="453"/>
        <item x="45"/>
        <item x="47"/>
        <item x="12"/>
        <item x="10"/>
        <item x="361"/>
        <item x="108"/>
        <item x="1"/>
        <item x="42"/>
        <item x="408"/>
        <item x="428"/>
        <item x="334"/>
        <item x="367"/>
        <item x="459"/>
        <item x="275"/>
        <item x="64"/>
        <item x="410"/>
        <item x="90"/>
        <item x="505"/>
        <item x="241"/>
        <item x="154"/>
        <item x="336"/>
        <item x="306"/>
        <item x="232"/>
        <item x="211"/>
        <item x="413"/>
        <item x="44"/>
        <item x="491"/>
        <item x="494"/>
        <item x="80"/>
        <item x="427"/>
        <item x="124"/>
        <item x="132"/>
        <item x="400"/>
        <item x="324"/>
        <item x="177"/>
        <item x="480"/>
        <item x="130"/>
        <item x="172"/>
        <item x="0"/>
        <item x="190"/>
        <item x="315"/>
        <item x="366"/>
        <item x="392"/>
        <item x="282"/>
        <item x="181"/>
        <item x="194"/>
        <item x="318"/>
        <item x="266"/>
        <item x="369"/>
        <item x="461"/>
        <item x="230"/>
        <item x="532"/>
        <item x="257"/>
        <item x="178"/>
        <item x="17"/>
        <item x="469"/>
        <item x="351"/>
        <item x="4"/>
        <item x="14"/>
        <item x="173"/>
        <item x="148"/>
        <item x="175"/>
        <item x="405"/>
        <item x="339"/>
        <item x="509"/>
        <item x="8"/>
        <item x="156"/>
        <item x="25"/>
        <item x="98"/>
        <item x="519"/>
        <item x="31"/>
        <item x="391"/>
        <item x="60"/>
        <item x="506"/>
        <item x="220"/>
        <item x="434"/>
        <item x="454"/>
        <item x="19"/>
        <item x="164"/>
        <item x="402"/>
        <item x="373"/>
        <item x="273"/>
        <item x="294"/>
        <item x="199"/>
        <item x="20"/>
        <item x="41"/>
        <item x="476"/>
        <item x="244"/>
        <item x="510"/>
        <item x="94"/>
        <item x="468"/>
        <item x="229"/>
        <item x="49"/>
        <item x="239"/>
        <item x="395"/>
        <item x="68"/>
        <item x="2"/>
        <item x="88"/>
        <item x="250"/>
        <item x="236"/>
        <item x="101"/>
        <item x="436"/>
        <item x="247"/>
        <item x="260"/>
        <item x="189"/>
        <item x="515"/>
        <item x="183"/>
        <item x="37"/>
        <item x="75"/>
        <item x="398"/>
        <item x="482"/>
        <item x="335"/>
        <item x="330"/>
        <item x="511"/>
        <item x="296"/>
        <item x="208"/>
        <item x="213"/>
        <item x="399"/>
        <item x="46"/>
        <item x="206"/>
        <item x="288"/>
        <item x="133"/>
        <item x="69"/>
        <item x="457"/>
        <item x="197"/>
        <item x="409"/>
        <item x="337"/>
        <item x="84"/>
        <item x="486"/>
        <item x="383"/>
        <item x="35"/>
        <item x="442"/>
        <item x="5"/>
        <item x="381"/>
        <item x="293"/>
        <item x="18"/>
        <item x="467"/>
        <item x="23"/>
        <item x="425"/>
        <item x="162"/>
        <item x="423"/>
        <item x="332"/>
        <item x="271"/>
        <item x="106"/>
        <item x="346"/>
        <item x="113"/>
        <item x="477"/>
        <item x="437"/>
        <item x="422"/>
        <item x="57"/>
        <item x="67"/>
        <item x="223"/>
        <item x="153"/>
        <item x="140"/>
        <item x="87"/>
        <item x="82"/>
        <item x="231"/>
        <item x="73"/>
        <item x="501"/>
        <item x="305"/>
        <item x="89"/>
        <item x="431"/>
        <item x="340"/>
        <item x="143"/>
        <item x="456"/>
        <item x="472"/>
        <item x="341"/>
        <item x="298"/>
        <item x="529"/>
        <item x="326"/>
        <item x="212"/>
        <item x="195"/>
        <item x="347"/>
        <item x="462"/>
        <item x="196"/>
        <item x="22"/>
        <item x="388"/>
        <item x="534"/>
        <item x="120"/>
        <item x="536"/>
        <item x="66"/>
        <item x="32"/>
        <item x="517"/>
        <item x="285"/>
        <item x="9"/>
        <item x="492"/>
        <item x="170"/>
        <item x="72"/>
        <item x="327"/>
        <item x="96"/>
        <item x="184"/>
        <item x="329"/>
        <item x="371"/>
        <item x="320"/>
        <item x="342"/>
        <item x="377"/>
        <item x="452"/>
        <item x="527"/>
        <item x="81"/>
        <item x="56"/>
        <item x="418"/>
        <item x="406"/>
        <item x="262"/>
        <item x="522"/>
        <item x="209"/>
        <item x="263"/>
        <item x="61"/>
        <item x="307"/>
        <item x="74"/>
        <item x="357"/>
        <item x="286"/>
        <item x="205"/>
        <item x="261"/>
        <item x="443"/>
        <item x="414"/>
        <item x="203"/>
        <item x="33"/>
        <item x="126"/>
        <item x="248"/>
        <item x="142"/>
        <item x="280"/>
        <item x="394"/>
        <item x="287"/>
        <item x="243"/>
        <item x="110"/>
        <item x="317"/>
        <item x="303"/>
        <item x="161"/>
        <item x="489"/>
        <item x="215"/>
        <item x="27"/>
        <item x="144"/>
        <item x="121"/>
        <item x="246"/>
        <item x="321"/>
        <item x="163"/>
        <item x="525"/>
        <item x="104"/>
        <item x="415"/>
        <item x="92"/>
        <item x="419"/>
        <item x="38"/>
        <item x="438"/>
        <item x="309"/>
        <item x="150"/>
        <item x="473"/>
        <item x="171"/>
        <item x="155"/>
        <item x="348"/>
        <item x="198"/>
        <item x="185"/>
        <item x="387"/>
        <item x="83"/>
        <item x="426"/>
        <item x="11"/>
        <item x="103"/>
        <item x="375"/>
        <item x="354"/>
        <item x="495"/>
        <item x="219"/>
        <item x="498"/>
        <item x="432"/>
        <item x="531"/>
        <item x="252"/>
        <item x="63"/>
        <item x="99"/>
        <item x="355"/>
        <item x="328"/>
        <item x="358"/>
        <item x="202"/>
        <item x="180"/>
        <item x="157"/>
        <item x="28"/>
        <item x="379"/>
        <item x="444"/>
        <item x="445"/>
        <item x="138"/>
        <item x="533"/>
        <item x="52"/>
        <item x="450"/>
        <item x="412"/>
        <item x="43"/>
        <item x="420"/>
        <item x="272"/>
        <item x="370"/>
        <item x="526"/>
        <item x="290"/>
        <item x="292"/>
        <item x="283"/>
        <item x="300"/>
        <item x="343"/>
        <item x="384"/>
        <item x="210"/>
        <item x="535"/>
        <item x="145"/>
        <item x="401"/>
        <item x="523"/>
        <item x="403"/>
        <item x="179"/>
        <item x="350"/>
        <item x="169"/>
        <item x="512"/>
        <item x="439"/>
        <item x="310"/>
        <item x="256"/>
        <item x="235"/>
        <item x="376"/>
        <item x="363"/>
        <item x="396"/>
        <item x="24"/>
        <item x="254"/>
        <item x="15"/>
        <item x="149"/>
        <item x="26"/>
        <item x="465"/>
        <item x="458"/>
        <item x="520"/>
        <item x="490"/>
        <item x="352"/>
        <item x="118"/>
        <item x="7"/>
        <item x="93"/>
        <item x="221"/>
        <item x="214"/>
        <item x="356"/>
        <item x="521"/>
        <item x="345"/>
        <item x="386"/>
        <item x="448"/>
        <item x="441"/>
        <item x="429"/>
        <item x="502"/>
        <item x="21"/>
        <item x="182"/>
        <item x="365"/>
        <item x="141"/>
        <item x="48"/>
        <item x="500"/>
        <item x="299"/>
        <item x="226"/>
        <item x="338"/>
        <item x="85"/>
        <item x="481"/>
        <item x="411"/>
        <item x="488"/>
        <item x="297"/>
        <item x="29"/>
        <item x="167"/>
        <item x="97"/>
        <item x="70"/>
        <item x="447"/>
        <item x="238"/>
        <item x="109"/>
        <item x="380"/>
        <item x="325"/>
        <item x="466"/>
        <item x="389"/>
        <item x="165"/>
        <item x="404"/>
        <item x="71"/>
        <item x="277"/>
        <item x="77"/>
        <item x="291"/>
        <item x="446"/>
        <item x="455"/>
        <item x="289"/>
        <item x="237"/>
        <item x="295"/>
        <item x="362"/>
        <item x="349"/>
        <item x="528"/>
        <item x="39"/>
        <item x="174"/>
        <item x="508"/>
        <item x="258"/>
        <item x="135"/>
        <item x="168"/>
        <item x="493"/>
        <item x="187"/>
        <item x="268"/>
        <item x="483"/>
        <item x="78"/>
        <item x="304"/>
        <item x="474"/>
        <item x="6"/>
        <item x="301"/>
        <item x="284"/>
        <item x="79"/>
        <item x="186"/>
        <item x="276"/>
        <item x="433"/>
        <item x="499"/>
        <item x="216"/>
        <item x="323"/>
        <item x="55"/>
        <item x="278"/>
        <item x="193"/>
        <item x="316"/>
        <item x="13"/>
        <item x="279"/>
        <item x="40"/>
        <item x="314"/>
        <item x="191"/>
        <item x="146"/>
        <item x="416"/>
        <item x="207"/>
        <item x="227"/>
        <item x="259"/>
        <item x="105"/>
        <item x="249"/>
        <item x="516"/>
        <item x="136"/>
        <item x="36"/>
        <item x="312"/>
        <item x="34"/>
        <item x="319"/>
        <item x="503"/>
        <item x="331"/>
        <item x="240"/>
        <item x="421"/>
        <item x="192"/>
        <item x="311"/>
        <item x="267"/>
        <item x="117"/>
        <item x="496"/>
        <item x="134"/>
        <item x="390"/>
        <item x="449"/>
        <item x="76"/>
        <item x="160"/>
        <item x="360"/>
        <item x="385"/>
        <item x="460"/>
        <item x="166"/>
        <item x="234"/>
        <item x="245"/>
        <item x="95"/>
        <item x="50"/>
        <item x="407"/>
        <item x="322"/>
        <item x="265"/>
        <item x="464"/>
        <item x="479"/>
        <item x="487"/>
        <item x="451"/>
        <item x="115"/>
        <item x="159"/>
        <item x="225"/>
        <item x="111"/>
        <item x="308"/>
        <item x="122"/>
        <item x="114"/>
        <item x="59"/>
        <item x="382"/>
        <item x="129"/>
        <item x="188"/>
        <item x="485"/>
        <item x="107"/>
        <item x="158"/>
        <item x="530"/>
        <item x="30"/>
        <item x="125"/>
        <item x="313"/>
        <item x="430"/>
        <item x="435"/>
        <item t="default"/>
      </items>
    </pivotField>
    <pivotField numFmtId="14" showAll="0"/>
    <pivotField dataField="1" numFmtId="165" showAll="0"/>
    <pivotField numFmtId="1" showAll="0"/>
    <pivotField showAll="0">
      <items count="8">
        <item x="0"/>
        <item x="5"/>
        <item x="3"/>
        <item x="1"/>
        <item x="4"/>
        <item x="6"/>
        <item x="2"/>
        <item t="default"/>
      </items>
    </pivotField>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pivotField showAll="0"/>
    <pivotField numFmtId="1" showAll="0">
      <items count="102">
        <item x="13"/>
        <item x="6"/>
        <item x="99"/>
        <item x="20"/>
        <item x="69"/>
        <item x="78"/>
        <item x="65"/>
        <item x="34"/>
        <item x="39"/>
        <item x="87"/>
        <item x="95"/>
        <item x="17"/>
        <item x="32"/>
        <item x="44"/>
        <item x="31"/>
        <item x="48"/>
        <item x="88"/>
        <item x="71"/>
        <item x="57"/>
        <item x="96"/>
        <item x="66"/>
        <item x="68"/>
        <item x="46"/>
        <item x="73"/>
        <item x="50"/>
        <item x="14"/>
        <item x="8"/>
        <item x="21"/>
        <item x="72"/>
        <item x="94"/>
        <item x="55"/>
        <item x="97"/>
        <item x="7"/>
        <item x="36"/>
        <item x="91"/>
        <item x="93"/>
        <item x="58"/>
        <item x="86"/>
        <item x="11"/>
        <item x="4"/>
        <item x="42"/>
        <item x="81"/>
        <item x="19"/>
        <item x="80"/>
        <item x="52"/>
        <item x="30"/>
        <item x="63"/>
        <item x="3"/>
        <item x="60"/>
        <item x="77"/>
        <item x="16"/>
        <item x="82"/>
        <item x="64"/>
        <item x="56"/>
        <item x="84"/>
        <item x="38"/>
        <item x="2"/>
        <item x="10"/>
        <item x="27"/>
        <item x="76"/>
        <item x="22"/>
        <item x="47"/>
        <item x="12"/>
        <item x="40"/>
        <item x="61"/>
        <item x="15"/>
        <item x="29"/>
        <item x="79"/>
        <item x="53"/>
        <item x="1"/>
        <item x="85"/>
        <item x="5"/>
        <item x="35"/>
        <item x="59"/>
        <item x="98"/>
        <item x="100"/>
        <item x="24"/>
        <item x="70"/>
        <item x="18"/>
        <item x="37"/>
        <item x="54"/>
        <item x="74"/>
        <item x="45"/>
        <item x="75"/>
        <item x="0"/>
        <item x="26"/>
        <item x="89"/>
        <item x="62"/>
        <item x="51"/>
        <item x="83"/>
        <item x="9"/>
        <item x="23"/>
        <item x="92"/>
        <item x="67"/>
        <item x="43"/>
        <item x="49"/>
        <item x="41"/>
        <item x="28"/>
        <item x="25"/>
        <item x="33"/>
        <item x="90"/>
        <item t="default"/>
      </items>
    </pivotField>
    <pivotField numFmtId="164" showAll="0"/>
    <pivotField showAll="0"/>
    <pivotField showAll="0"/>
    <pivotField numFmtId="1" showAll="0">
      <items count="925">
        <item x="820"/>
        <item x="647"/>
        <item x="269"/>
        <item x="416"/>
        <item x="448"/>
        <item x="701"/>
        <item x="5"/>
        <item x="919"/>
        <item x="73"/>
        <item x="680"/>
        <item x="640"/>
        <item x="290"/>
        <item x="407"/>
        <item x="395"/>
        <item x="423"/>
        <item x="272"/>
        <item x="409"/>
        <item x="332"/>
        <item x="422"/>
        <item x="205"/>
        <item x="150"/>
        <item x="609"/>
        <item x="565"/>
        <item x="435"/>
        <item x="206"/>
        <item x="180"/>
        <item x="125"/>
        <item x="509"/>
        <item x="203"/>
        <item x="323"/>
        <item x="342"/>
        <item x="314"/>
        <item x="718"/>
        <item x="761"/>
        <item x="858"/>
        <item x="432"/>
        <item x="592"/>
        <item x="141"/>
        <item x="459"/>
        <item x="11"/>
        <item x="175"/>
        <item x="174"/>
        <item x="528"/>
        <item x="786"/>
        <item x="705"/>
        <item x="394"/>
        <item x="229"/>
        <item x="207"/>
        <item x="883"/>
        <item x="86"/>
        <item x="532"/>
        <item x="451"/>
        <item x="374"/>
        <item x="878"/>
        <item x="833"/>
        <item x="700"/>
        <item x="526"/>
        <item x="22"/>
        <item x="292"/>
        <item x="246"/>
        <item x="494"/>
        <item x="679"/>
        <item x="601"/>
        <item x="367"/>
        <item x="399"/>
        <item x="337"/>
        <item x="8"/>
        <item x="677"/>
        <item x="401"/>
        <item x="68"/>
        <item x="66"/>
        <item x="468"/>
        <item x="260"/>
        <item x="517"/>
        <item x="729"/>
        <item x="277"/>
        <item x="502"/>
        <item x="650"/>
        <item x="866"/>
        <item x="627"/>
        <item x="612"/>
        <item x="462"/>
        <item x="415"/>
        <item x="660"/>
        <item x="67"/>
        <item x="489"/>
        <item x="238"/>
        <item x="775"/>
        <item x="678"/>
        <item x="768"/>
        <item x="51"/>
        <item x="181"/>
        <item x="893"/>
        <item x="157"/>
        <item x="607"/>
        <item x="46"/>
        <item x="482"/>
        <item x="241"/>
        <item x="156"/>
        <item x="127"/>
        <item x="153"/>
        <item x="550"/>
        <item x="280"/>
        <item x="515"/>
        <item x="805"/>
        <item x="554"/>
        <item x="512"/>
        <item x="450"/>
        <item x="479"/>
        <item x="88"/>
        <item x="698"/>
        <item x="389"/>
        <item x="90"/>
        <item x="44"/>
        <item x="320"/>
        <item x="340"/>
        <item x="308"/>
        <item x="800"/>
        <item x="122"/>
        <item x="321"/>
        <item x="431"/>
        <item x="785"/>
        <item x="15"/>
        <item x="222"/>
        <item x="94"/>
        <item x="10"/>
        <item x="559"/>
        <item x="588"/>
        <item x="553"/>
        <item x="210"/>
        <item x="237"/>
        <item x="441"/>
        <item x="434"/>
        <item x="755"/>
        <item x="235"/>
        <item x="117"/>
        <item x="474"/>
        <item x="160"/>
        <item x="587"/>
        <item x="257"/>
        <item x="318"/>
        <item x="457"/>
        <item x="492"/>
        <item x="6"/>
        <item x="491"/>
        <item x="499"/>
        <item x="728"/>
        <item x="906"/>
        <item x="692"/>
        <item x="356"/>
        <item x="816"/>
        <item x="31"/>
        <item x="719"/>
        <item x="58"/>
        <item x="309"/>
        <item x="822"/>
        <item x="651"/>
        <item x="37"/>
        <item x="889"/>
        <item x="764"/>
        <item x="516"/>
        <item x="655"/>
        <item x="819"/>
        <item x="633"/>
        <item x="696"/>
        <item x="577"/>
        <item x="726"/>
        <item x="518"/>
        <item x="147"/>
        <item x="463"/>
        <item x="618"/>
        <item x="335"/>
        <item x="848"/>
        <item x="212"/>
        <item x="75"/>
        <item x="165"/>
        <item x="115"/>
        <item x="709"/>
        <item x="739"/>
        <item x="211"/>
        <item x="3"/>
        <item x="868"/>
        <item x="467"/>
        <item x="376"/>
        <item x="61"/>
        <item x="225"/>
        <item x="495"/>
        <item x="784"/>
        <item x="254"/>
        <item x="799"/>
        <item x="259"/>
        <item x="725"/>
        <item x="888"/>
        <item x="403"/>
        <item x="567"/>
        <item x="281"/>
        <item x="908"/>
        <item x="142"/>
        <item x="546"/>
        <item x="188"/>
        <item x="14"/>
        <item x="464"/>
        <item x="184"/>
        <item x="200"/>
        <item x="751"/>
        <item x="541"/>
        <item x="600"/>
        <item x="311"/>
        <item x="319"/>
        <item x="544"/>
        <item x="63"/>
        <item x="265"/>
        <item x="295"/>
        <item x="896"/>
        <item x="746"/>
        <item x="192"/>
        <item x="620"/>
        <item x="62"/>
        <item x="17"/>
        <item x="596"/>
        <item x="132"/>
        <item x="839"/>
        <item x="285"/>
        <item x="414"/>
        <item x="591"/>
        <item x="684"/>
        <item x="689"/>
        <item x="406"/>
        <item x="796"/>
        <item x="804"/>
        <item x="91"/>
        <item x="687"/>
        <item x="824"/>
        <item x="625"/>
        <item x="897"/>
        <item x="575"/>
        <item x="628"/>
        <item x="676"/>
        <item x="387"/>
        <item x="498"/>
        <item x="446"/>
        <item x="576"/>
        <item x="49"/>
        <item x="381"/>
        <item x="769"/>
        <item x="703"/>
        <item x="593"/>
        <item x="433"/>
        <item x="548"/>
        <item x="674"/>
        <item x="616"/>
        <item x="78"/>
        <item x="864"/>
        <item x="551"/>
        <item x="801"/>
        <item x="358"/>
        <item x="776"/>
        <item x="857"/>
        <item x="120"/>
        <item x="444"/>
        <item x="844"/>
        <item x="606"/>
        <item x="594"/>
        <item x="733"/>
        <item x="388"/>
        <item x="777"/>
        <item x="187"/>
        <item x="555"/>
        <item x="24"/>
        <item x="566"/>
        <item x="712"/>
        <item x="828"/>
        <item x="317"/>
        <item x="158"/>
        <item x="313"/>
        <item x="339"/>
        <item x="438"/>
        <item x="392"/>
        <item x="244"/>
        <item x="652"/>
        <item x="297"/>
        <item x="378"/>
        <item x="177"/>
        <item x="386"/>
        <item x="779"/>
        <item x="558"/>
        <item x="811"/>
        <item x="228"/>
        <item x="657"/>
        <item x="439"/>
        <item x="621"/>
        <item x="867"/>
        <item x="590"/>
        <item x="312"/>
        <item x="440"/>
        <item x="74"/>
        <item x="329"/>
        <item x="266"/>
        <item x="429"/>
        <item x="580"/>
        <item x="110"/>
        <item x="542"/>
        <item x="853"/>
        <item x="860"/>
        <item x="879"/>
        <item x="331"/>
        <item x="293"/>
        <item x="282"/>
        <item x="12"/>
        <item x="735"/>
        <item x="326"/>
        <item x="595"/>
        <item x="136"/>
        <item x="40"/>
        <item x="408"/>
        <item x="48"/>
        <item x="634"/>
        <item x="791"/>
        <item x="236"/>
        <item x="220"/>
        <item x="179"/>
        <item x="497"/>
        <item x="345"/>
        <item x="681"/>
        <item x="648"/>
        <item x="907"/>
        <item x="905"/>
        <item x="862"/>
        <item x="26"/>
        <item x="81"/>
        <item x="535"/>
        <item x="798"/>
        <item x="186"/>
        <item x="2"/>
        <item x="827"/>
        <item x="699"/>
        <item x="597"/>
        <item x="900"/>
        <item x="413"/>
        <item x="65"/>
        <item x="578"/>
        <item x="50"/>
        <item x="129"/>
        <item x="330"/>
        <item x="418"/>
        <item x="224"/>
        <item x="56"/>
        <item x="102"/>
        <item x="752"/>
        <item x="500"/>
        <item x="797"/>
        <item x="870"/>
        <item x="626"/>
        <item x="720"/>
        <item x="398"/>
        <item x="802"/>
        <item x="4"/>
        <item x="370"/>
        <item x="649"/>
        <item x="279"/>
        <item x="821"/>
        <item x="133"/>
        <item x="641"/>
        <item x="25"/>
        <item x="193"/>
        <item x="569"/>
        <item x="871"/>
        <item x="373"/>
        <item x="274"/>
        <item x="530"/>
        <item x="646"/>
        <item x="793"/>
        <item x="64"/>
        <item x="305"/>
        <item x="713"/>
        <item x="404"/>
        <item x="194"/>
        <item x="166"/>
        <item x="103"/>
        <item x="197"/>
        <item x="818"/>
        <item x="283"/>
        <item x="223"/>
        <item x="899"/>
        <item x="922"/>
        <item x="671"/>
        <item x="581"/>
        <item x="152"/>
        <item x="708"/>
        <item x="714"/>
        <item x="334"/>
        <item x="145"/>
        <item x="355"/>
        <item x="505"/>
        <item x="472"/>
        <item x="724"/>
        <item x="744"/>
        <item x="351"/>
        <item x="146"/>
        <item x="911"/>
        <item x="465"/>
        <item x="851"/>
        <item x="470"/>
        <item x="456"/>
        <item x="226"/>
        <item x="521"/>
        <item x="727"/>
        <item x="352"/>
        <item x="471"/>
        <item x="372"/>
        <item x="854"/>
        <item x="402"/>
        <item x="658"/>
        <item x="885"/>
        <item x="672"/>
        <item x="740"/>
        <item x="823"/>
        <item x="377"/>
        <item x="124"/>
        <item x="661"/>
        <item x="82"/>
        <item x="547"/>
        <item x="232"/>
        <item x="863"/>
        <item x="562"/>
        <item x="149"/>
        <item x="261"/>
        <item x="234"/>
        <item x="789"/>
        <item x="665"/>
        <item x="199"/>
        <item x="656"/>
        <item x="610"/>
        <item x="901"/>
        <item x="1"/>
        <item x="255"/>
        <item x="36"/>
        <item x="845"/>
        <item x="787"/>
        <item x="189"/>
        <item x="877"/>
        <item x="694"/>
        <item x="855"/>
        <item x="881"/>
        <item x="856"/>
        <item x="704"/>
        <item x="369"/>
        <item x="673"/>
        <item x="173"/>
        <item x="123"/>
        <item x="353"/>
        <item x="503"/>
        <item x="393"/>
        <item x="306"/>
        <item x="85"/>
        <item x="230"/>
        <item x="169"/>
        <item x="196"/>
        <item x="478"/>
        <item x="23"/>
        <item x="536"/>
        <item x="39"/>
        <item x="302"/>
        <item x="490"/>
        <item x="890"/>
        <item x="461"/>
        <item x="348"/>
        <item x="579"/>
        <item x="750"/>
        <item x="382"/>
        <item x="915"/>
        <item x="667"/>
        <item x="424"/>
        <item x="154"/>
        <item x="850"/>
        <item x="872"/>
        <item x="106"/>
        <item x="757"/>
        <item x="738"/>
        <item x="693"/>
        <item x="832"/>
        <item x="239"/>
        <item x="903"/>
        <item x="572"/>
        <item x="248"/>
        <item x="215"/>
        <item x="614"/>
        <item x="666"/>
        <item x="636"/>
        <item x="419"/>
        <item x="216"/>
        <item x="275"/>
        <item x="185"/>
        <item x="198"/>
        <item x="34"/>
        <item x="806"/>
        <item x="586"/>
        <item x="291"/>
        <item x="163"/>
        <item x="582"/>
        <item x="643"/>
        <item x="139"/>
        <item x="758"/>
        <item x="322"/>
        <item x="537"/>
        <item x="262"/>
        <item x="894"/>
        <item x="263"/>
        <item x="436"/>
        <item x="561"/>
        <item x="425"/>
        <item x="38"/>
        <item x="137"/>
        <item x="895"/>
        <item x="428"/>
        <item x="773"/>
        <item x="209"/>
        <item x="485"/>
        <item x="107"/>
        <item x="734"/>
        <item x="794"/>
        <item x="349"/>
        <item x="396"/>
        <item x="116"/>
        <item x="27"/>
        <item x="501"/>
        <item x="765"/>
        <item x="35"/>
        <item x="221"/>
        <item x="513"/>
        <item x="347"/>
        <item x="126"/>
        <item x="762"/>
        <item x="568"/>
        <item x="481"/>
        <item x="560"/>
        <item x="604"/>
        <item x="258"/>
        <item x="178"/>
        <item x="84"/>
        <item x="686"/>
        <item x="303"/>
        <item x="916"/>
        <item x="108"/>
        <item x="7"/>
        <item x="98"/>
        <item x="483"/>
        <item x="605"/>
        <item x="0"/>
        <item x="529"/>
        <item x="843"/>
        <item x="245"/>
        <item x="364"/>
        <item x="921"/>
        <item x="213"/>
        <item x="836"/>
        <item x="447"/>
        <item x="96"/>
        <item x="100"/>
        <item x="201"/>
        <item x="826"/>
        <item x="195"/>
        <item x="617"/>
        <item x="243"/>
        <item x="77"/>
        <item x="695"/>
        <item x="599"/>
        <item x="362"/>
        <item x="736"/>
        <item x="707"/>
        <item x="570"/>
        <item x="639"/>
        <item x="400"/>
        <item x="270"/>
        <item x="268"/>
        <item x="171"/>
        <item x="803"/>
        <item x="688"/>
        <item x="359"/>
        <item x="742"/>
        <item x="771"/>
        <item x="286"/>
        <item x="138"/>
        <item x="183"/>
        <item x="706"/>
        <item x="645"/>
        <item x="760"/>
        <item x="912"/>
        <item x="837"/>
        <item x="449"/>
        <item x="72"/>
        <item x="721"/>
        <item x="874"/>
        <item x="327"/>
        <item x="520"/>
        <item x="574"/>
        <item x="299"/>
        <item x="838"/>
        <item x="741"/>
        <item x="583"/>
        <item x="458"/>
        <item x="114"/>
        <item x="831"/>
        <item x="251"/>
        <item x="635"/>
        <item x="923"/>
        <item x="460"/>
        <item x="523"/>
        <item x="316"/>
        <item x="556"/>
        <item x="506"/>
        <item x="105"/>
        <item x="93"/>
        <item x="898"/>
        <item x="914"/>
        <item x="164"/>
        <item x="715"/>
        <item x="745"/>
        <item x="383"/>
        <item x="135"/>
        <item x="527"/>
        <item x="325"/>
        <item x="589"/>
        <item x="227"/>
        <item x="252"/>
        <item x="585"/>
        <item x="814"/>
        <item x="514"/>
        <item x="869"/>
        <item x="101"/>
        <item x="182"/>
        <item x="780"/>
        <item x="564"/>
        <item x="603"/>
        <item x="662"/>
        <item x="882"/>
        <item x="508"/>
        <item x="300"/>
        <item x="52"/>
        <item x="454"/>
        <item x="859"/>
        <item x="737"/>
        <item x="391"/>
        <item x="730"/>
        <item x="507"/>
        <item x="32"/>
        <item x="42"/>
        <item x="28"/>
        <item x="829"/>
        <item x="92"/>
        <item x="770"/>
        <item x="475"/>
        <item x="410"/>
        <item x="563"/>
        <item x="57"/>
        <item x="807"/>
        <item x="522"/>
        <item x="493"/>
        <item x="267"/>
        <item x="118"/>
        <item x="637"/>
        <item x="611"/>
        <item x="812"/>
        <item x="631"/>
        <item x="861"/>
        <item x="452"/>
        <item x="80"/>
        <item x="365"/>
        <item x="682"/>
        <item x="717"/>
        <item x="363"/>
        <item x="278"/>
        <item x="130"/>
        <item x="143"/>
        <item x="817"/>
        <item x="886"/>
        <item x="121"/>
        <item x="128"/>
        <item x="842"/>
        <item x="20"/>
        <item x="813"/>
        <item x="690"/>
        <item x="759"/>
        <item x="45"/>
        <item x="778"/>
        <item x="112"/>
        <item x="55"/>
        <item x="638"/>
        <item x="716"/>
        <item x="790"/>
        <item x="144"/>
        <item x="83"/>
        <item x="202"/>
        <item x="788"/>
        <item x="552"/>
        <item x="301"/>
        <item x="722"/>
        <item x="109"/>
        <item x="477"/>
        <item x="624"/>
        <item x="756"/>
        <item x="743"/>
        <item x="504"/>
        <item x="918"/>
        <item x="233"/>
        <item x="711"/>
        <item x="95"/>
        <item x="663"/>
        <item x="747"/>
        <item x="466"/>
        <item x="405"/>
        <item x="421"/>
        <item x="753"/>
        <item x="13"/>
        <item x="473"/>
        <item x="390"/>
        <item x="772"/>
        <item x="622"/>
        <item x="249"/>
        <item x="774"/>
        <item x="217"/>
        <item x="328"/>
        <item x="543"/>
        <item x="702"/>
        <item x="841"/>
        <item x="338"/>
        <item x="763"/>
        <item x="455"/>
        <item x="781"/>
        <item x="276"/>
        <item x="9"/>
        <item x="247"/>
        <item x="691"/>
        <item x="809"/>
        <item x="782"/>
        <item x="849"/>
        <item x="214"/>
        <item x="476"/>
        <item x="104"/>
        <item x="71"/>
        <item x="664"/>
        <item x="134"/>
        <item x="29"/>
        <item x="87"/>
        <item x="191"/>
        <item x="70"/>
        <item x="155"/>
        <item x="161"/>
        <item x="368"/>
        <item x="910"/>
        <item x="538"/>
        <item x="453"/>
        <item x="510"/>
        <item x="250"/>
        <item x="357"/>
        <item x="384"/>
        <item x="140"/>
        <item x="524"/>
        <item x="41"/>
        <item x="917"/>
        <item x="208"/>
        <item x="346"/>
        <item x="336"/>
        <item x="913"/>
        <item x="47"/>
        <item x="668"/>
        <item x="69"/>
        <item x="488"/>
        <item x="539"/>
        <item x="808"/>
        <item x="99"/>
        <item x="16"/>
        <item x="710"/>
        <item x="525"/>
        <item x="445"/>
        <item x="354"/>
        <item x="887"/>
        <item x="602"/>
        <item x="380"/>
        <item x="835"/>
        <item x="304"/>
        <item x="30"/>
        <item x="288"/>
        <item x="519"/>
        <item x="19"/>
        <item x="549"/>
        <item x="557"/>
        <item x="307"/>
        <item x="669"/>
        <item x="426"/>
        <item x="420"/>
        <item x="371"/>
        <item x="148"/>
        <item x="33"/>
        <item x="767"/>
        <item x="810"/>
        <item x="615"/>
        <item x="875"/>
        <item x="846"/>
        <item x="119"/>
        <item x="573"/>
        <item x="659"/>
        <item x="670"/>
        <item x="315"/>
        <item x="385"/>
        <item x="242"/>
        <item x="231"/>
        <item x="654"/>
        <item x="748"/>
        <item x="865"/>
        <item x="350"/>
        <item x="511"/>
        <item x="333"/>
        <item x="815"/>
        <item x="131"/>
        <item x="253"/>
        <item x="412"/>
        <item x="884"/>
        <item x="443"/>
        <item x="486"/>
        <item x="685"/>
        <item x="190"/>
        <item x="598"/>
        <item x="731"/>
        <item x="873"/>
        <item x="176"/>
        <item x="298"/>
        <item x="341"/>
        <item x="168"/>
        <item x="531"/>
        <item x="79"/>
        <item x="754"/>
        <item x="783"/>
        <item x="264"/>
        <item x="792"/>
        <item x="540"/>
        <item x="170"/>
        <item x="909"/>
        <item x="830"/>
        <item x="545"/>
        <item x="43"/>
        <item x="619"/>
        <item x="795"/>
        <item x="840"/>
        <item x="294"/>
        <item x="375"/>
        <item x="629"/>
        <item x="296"/>
        <item x="487"/>
        <item x="891"/>
        <item x="361"/>
        <item x="310"/>
        <item x="324"/>
        <item x="427"/>
        <item x="902"/>
        <item x="749"/>
        <item x="379"/>
        <item x="271"/>
        <item x="825"/>
        <item x="60"/>
        <item x="21"/>
        <item x="289"/>
        <item x="366"/>
        <item x="766"/>
        <item x="273"/>
        <item x="76"/>
        <item x="256"/>
        <item x="97"/>
        <item x="89"/>
        <item x="167"/>
        <item x="442"/>
        <item x="904"/>
        <item x="533"/>
        <item x="623"/>
        <item x="642"/>
        <item x="18"/>
        <item x="54"/>
        <item x="653"/>
        <item x="53"/>
        <item x="480"/>
        <item x="218"/>
        <item x="113"/>
        <item x="852"/>
        <item x="287"/>
        <item x="59"/>
        <item x="920"/>
        <item x="240"/>
        <item x="892"/>
        <item x="484"/>
        <item x="632"/>
        <item x="411"/>
        <item x="159"/>
        <item x="360"/>
        <item x="219"/>
        <item x="697"/>
        <item x="630"/>
        <item x="876"/>
        <item x="417"/>
        <item x="723"/>
        <item x="880"/>
        <item x="613"/>
        <item x="162"/>
        <item x="204"/>
        <item x="437"/>
        <item x="608"/>
        <item x="111"/>
        <item x="284"/>
        <item x="344"/>
        <item x="534"/>
        <item x="343"/>
        <item x="675"/>
        <item x="469"/>
        <item x="644"/>
        <item x="151"/>
        <item x="430"/>
        <item x="683"/>
        <item x="847"/>
        <item x="397"/>
        <item x="584"/>
        <item x="172"/>
        <item x="496"/>
        <item x="834"/>
        <item x="732"/>
        <item x="571"/>
        <item t="default"/>
      </items>
    </pivotField>
    <pivotField showAll="0">
      <items count="6">
        <item x="0"/>
        <item x="4"/>
        <item x="3"/>
        <item x="1"/>
        <item x="2"/>
        <item t="default"/>
      </items>
    </pivotField>
    <pivotField showAll="0">
      <items count="6">
        <item x="2"/>
        <item x="1"/>
        <item x="0"/>
        <item x="3"/>
        <item x="4"/>
        <item t="default"/>
      </items>
    </pivotField>
    <pivotField showAll="0"/>
    <pivotField numFmtId="1" showAll="0"/>
    <pivotField axis="axisRow" nonAutoSortDefault="1">
      <items count="4">
        <item x="0"/>
        <item x="1"/>
        <item x="2"/>
        <item t="default"/>
      </items>
    </pivotField>
    <pivotField numFmtId="164" showAll="0"/>
    <pivotField showAll="0"/>
    <pivotField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6">
        <item x="0"/>
        <item x="1"/>
        <item x="2"/>
        <item x="3"/>
        <item x="4"/>
        <item t="default"/>
      </items>
    </pivotField>
    <pivotField showAll="0">
      <items count="6">
        <item x="0"/>
        <item x="1"/>
        <item x="2"/>
        <item x="3"/>
        <item x="4"/>
        <item t="default"/>
      </items>
    </pivotField>
  </pivotFields>
  <rowFields count="1">
    <field x="24"/>
  </rowFields>
  <rowItems count="4">
    <i>
      <x/>
    </i>
    <i>
      <x v="1"/>
    </i>
    <i>
      <x v="2"/>
    </i>
    <i t="grand">
      <x/>
    </i>
  </rowItems>
  <colFields count="1">
    <field x="-2"/>
  </colFields>
  <colItems count="2">
    <i>
      <x/>
    </i>
    <i i="1">
      <x v="1"/>
    </i>
  </colItems>
  <dataFields count="2">
    <dataField name="User Count" fld="0" subtotal="count" baseField="18" baseItem="0"/>
    <dataField name="Subscription Amount" fld="4" baseField="0" baseItem="0" numFmtId="166"/>
  </dataFields>
  <formats count="19">
    <format dxfId="27">
      <pivotArea type="all" dataOnly="0" outline="0" fieldPosition="0"/>
    </format>
    <format dxfId="26">
      <pivotArea outline="0" collapsedLevelsAreSubtotals="1" fieldPosition="0"/>
    </format>
    <format dxfId="25">
      <pivotArea field="24" type="button" dataOnly="0" labelOnly="1" outline="0" axis="axisRow" fieldPosition="0"/>
    </format>
    <format dxfId="24">
      <pivotArea dataOnly="0" labelOnly="1" fieldPosition="0">
        <references count="1">
          <reference field="24" count="0"/>
        </references>
      </pivotArea>
    </format>
    <format dxfId="23">
      <pivotArea dataOnly="0" labelOnly="1" grandRow="1" outline="0" fieldPosition="0"/>
    </format>
    <format dxfId="22">
      <pivotArea dataOnly="0" labelOnly="1" outline="0" fieldPosition="0">
        <references count="1">
          <reference field="4294967294" count="2">
            <x v="0"/>
            <x v="1"/>
          </reference>
        </references>
      </pivotArea>
    </format>
    <format dxfId="21">
      <pivotArea type="all" dataOnly="0" outline="0" fieldPosition="0"/>
    </format>
    <format dxfId="20">
      <pivotArea outline="0" collapsedLevelsAreSubtotals="1" fieldPosition="0"/>
    </format>
    <format dxfId="19">
      <pivotArea field="24" type="button" dataOnly="0" labelOnly="1" outline="0" axis="axisRow" fieldPosition="0"/>
    </format>
    <format dxfId="18">
      <pivotArea dataOnly="0" labelOnly="1" fieldPosition="0">
        <references count="1">
          <reference field="24" count="0"/>
        </references>
      </pivotArea>
    </format>
    <format dxfId="17">
      <pivotArea dataOnly="0" labelOnly="1" grandRow="1" outline="0" fieldPosition="0"/>
    </format>
    <format dxfId="16">
      <pivotArea dataOnly="0" labelOnly="1" outline="0" fieldPosition="0">
        <references count="1">
          <reference field="4294967294" count="2">
            <x v="0"/>
            <x v="1"/>
          </reference>
        </references>
      </pivotArea>
    </format>
    <format dxfId="15">
      <pivotArea type="all" dataOnly="0" outline="0" fieldPosition="0"/>
    </format>
    <format dxfId="14">
      <pivotArea outline="0" collapsedLevelsAreSubtotals="1" fieldPosition="0"/>
    </format>
    <format dxfId="13">
      <pivotArea field="24" type="button" dataOnly="0" labelOnly="1" outline="0" axis="axisRow" fieldPosition="0"/>
    </format>
    <format dxfId="12">
      <pivotArea dataOnly="0" labelOnly="1" fieldPosition="0">
        <references count="1">
          <reference field="24" count="0"/>
        </references>
      </pivotArea>
    </format>
    <format dxfId="11">
      <pivotArea dataOnly="0" labelOnly="1" grandRow="1" outline="0" fieldPosition="0"/>
    </format>
    <format dxfId="10">
      <pivotArea dataOnly="0" labelOnly="1" outline="0" fieldPosition="0">
        <references count="1">
          <reference field="4294967294" count="2">
            <x v="0"/>
            <x v="1"/>
          </reference>
        </references>
      </pivotArea>
    </format>
    <format dxfId="9">
      <pivotArea outline="0" collapsedLevelsAreSubtotals="1" fieldPosition="0">
        <references count="1">
          <reference field="4294967294" count="1" selected="0">
            <x v="1"/>
          </reference>
        </references>
      </pivotArea>
    </format>
  </formats>
  <chartFormats count="20">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4" count="1" selected="0">
            <x v="0"/>
          </reference>
        </references>
      </pivotArea>
    </chartFormat>
    <chartFormat chart="3" format="12">
      <pivotArea type="data" outline="0" fieldPosition="0">
        <references count="2">
          <reference field="4294967294" count="1" selected="0">
            <x v="0"/>
          </reference>
          <reference field="24" count="1" selected="0">
            <x v="1"/>
          </reference>
        </references>
      </pivotArea>
    </chartFormat>
    <chartFormat chart="3" format="13">
      <pivotArea type="data" outline="0" fieldPosition="0">
        <references count="2">
          <reference field="4294967294" count="1" selected="0">
            <x v="0"/>
          </reference>
          <reference field="24" count="1" selected="0">
            <x v="2"/>
          </reference>
        </references>
      </pivotArea>
    </chartFormat>
    <chartFormat chart="3" format="14" series="1">
      <pivotArea type="data" outline="0" fieldPosition="0">
        <references count="1">
          <reference field="4294967294" count="1" selected="0">
            <x v="1"/>
          </reference>
        </references>
      </pivotArea>
    </chartFormat>
    <chartFormat chart="3" format="15">
      <pivotArea type="data" outline="0" fieldPosition="0">
        <references count="2">
          <reference field="4294967294" count="1" selected="0">
            <x v="1"/>
          </reference>
          <reference field="24" count="1" selected="0">
            <x v="0"/>
          </reference>
        </references>
      </pivotArea>
    </chartFormat>
    <chartFormat chart="3" format="16">
      <pivotArea type="data" outline="0" fieldPosition="0">
        <references count="2">
          <reference field="4294967294" count="1" selected="0">
            <x v="1"/>
          </reference>
          <reference field="24" count="1" selected="0">
            <x v="1"/>
          </reference>
        </references>
      </pivotArea>
    </chartFormat>
    <chartFormat chart="3" format="17">
      <pivotArea type="data" outline="0" fieldPosition="0">
        <references count="2">
          <reference field="4294967294" count="1" selected="0">
            <x v="1"/>
          </reference>
          <reference field="24" count="1" selected="0">
            <x v="2"/>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24" count="1" selected="0">
            <x v="0"/>
          </reference>
        </references>
      </pivotArea>
    </chartFormat>
    <chartFormat chart="11" format="12">
      <pivotArea type="data" outline="0" fieldPosition="0">
        <references count="2">
          <reference field="4294967294" count="1" selected="0">
            <x v="0"/>
          </reference>
          <reference field="24" count="1" selected="0">
            <x v="1"/>
          </reference>
        </references>
      </pivotArea>
    </chartFormat>
    <chartFormat chart="11" format="13">
      <pivotArea type="data" outline="0" fieldPosition="0">
        <references count="2">
          <reference field="4294967294" count="1" selected="0">
            <x v="0"/>
          </reference>
          <reference field="24" count="1" selected="0">
            <x v="2"/>
          </reference>
        </references>
      </pivotArea>
    </chartFormat>
    <chartFormat chart="11" format="14" series="1">
      <pivotArea type="data" outline="0" fieldPosition="0">
        <references count="1">
          <reference field="4294967294" count="1" selected="0">
            <x v="1"/>
          </reference>
        </references>
      </pivotArea>
    </chartFormat>
    <chartFormat chart="11" format="15">
      <pivotArea type="data" outline="0" fieldPosition="0">
        <references count="2">
          <reference field="4294967294" count="1" selected="0">
            <x v="1"/>
          </reference>
          <reference field="24" count="1" selected="0">
            <x v="0"/>
          </reference>
        </references>
      </pivotArea>
    </chartFormat>
    <chartFormat chart="11" format="16">
      <pivotArea type="data" outline="0" fieldPosition="0">
        <references count="2">
          <reference field="4294967294" count="1" selected="0">
            <x v="1"/>
          </reference>
          <reference field="24" count="1" selected="0">
            <x v="1"/>
          </reference>
        </references>
      </pivotArea>
    </chartFormat>
    <chartFormat chart="11" format="17">
      <pivotArea type="data" outline="0" fieldPosition="0">
        <references count="2">
          <reference field="4294967294" count="1" selected="0">
            <x v="1"/>
          </reference>
          <reference field="24" count="1" selected="0">
            <x v="2"/>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E5A413-DB51-4792-9BD1-9A1E5743A148}" name="4. Retention &amp; Loyalty:1.4" cacheId="0"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2" rowHeaderCaption="Avg Hrs/Wk">
  <location ref="AE11:AG16" firstHeaderRow="1" firstDataRow="2" firstDataCol="1"/>
  <pivotFields count="34">
    <pivotField dataField="1" numFmtId="1" showAll="0"/>
    <pivotField showAll="0"/>
    <pivotField numFmtId="14" showAll="0">
      <items count="538">
        <item x="91"/>
        <item x="302"/>
        <item x="102"/>
        <item x="424"/>
        <item x="54"/>
        <item x="127"/>
        <item x="51"/>
        <item x="274"/>
        <item x="137"/>
        <item x="53"/>
        <item x="201"/>
        <item x="417"/>
        <item x="218"/>
        <item x="228"/>
        <item x="374"/>
        <item x="524"/>
        <item x="484"/>
        <item x="514"/>
        <item x="470"/>
        <item x="513"/>
        <item x="333"/>
        <item x="463"/>
        <item x="368"/>
        <item x="222"/>
        <item x="176"/>
        <item x="119"/>
        <item x="255"/>
        <item x="270"/>
        <item x="281"/>
        <item x="251"/>
        <item x="344"/>
        <item x="497"/>
        <item x="3"/>
        <item x="200"/>
        <item x="58"/>
        <item x="504"/>
        <item x="86"/>
        <item x="147"/>
        <item x="116"/>
        <item x="224"/>
        <item x="359"/>
        <item x="478"/>
        <item x="440"/>
        <item x="16"/>
        <item x="242"/>
        <item x="471"/>
        <item x="100"/>
        <item x="507"/>
        <item x="65"/>
        <item x="128"/>
        <item x="233"/>
        <item x="131"/>
        <item x="217"/>
        <item x="152"/>
        <item x="372"/>
        <item x="62"/>
        <item x="397"/>
        <item x="393"/>
        <item x="204"/>
        <item x="364"/>
        <item x="139"/>
        <item x="112"/>
        <item x="253"/>
        <item x="475"/>
        <item x="518"/>
        <item x="151"/>
        <item x="378"/>
        <item x="264"/>
        <item x="123"/>
        <item x="269"/>
        <item x="353"/>
        <item x="453"/>
        <item x="45"/>
        <item x="47"/>
        <item x="12"/>
        <item x="10"/>
        <item x="361"/>
        <item x="108"/>
        <item x="1"/>
        <item x="42"/>
        <item x="408"/>
        <item x="428"/>
        <item x="334"/>
        <item x="367"/>
        <item x="459"/>
        <item x="275"/>
        <item x="64"/>
        <item x="410"/>
        <item x="90"/>
        <item x="505"/>
        <item x="241"/>
        <item x="154"/>
        <item x="336"/>
        <item x="306"/>
        <item x="232"/>
        <item x="211"/>
        <item x="413"/>
        <item x="44"/>
        <item x="491"/>
        <item x="494"/>
        <item x="80"/>
        <item x="427"/>
        <item x="124"/>
        <item x="132"/>
        <item x="400"/>
        <item x="324"/>
        <item x="177"/>
        <item x="480"/>
        <item x="130"/>
        <item x="172"/>
        <item x="0"/>
        <item x="190"/>
        <item x="315"/>
        <item x="366"/>
        <item x="392"/>
        <item x="282"/>
        <item x="181"/>
        <item x="194"/>
        <item x="318"/>
        <item x="266"/>
        <item x="369"/>
        <item x="461"/>
        <item x="230"/>
        <item x="532"/>
        <item x="257"/>
        <item x="178"/>
        <item x="17"/>
        <item x="469"/>
        <item x="351"/>
        <item x="4"/>
        <item x="14"/>
        <item x="173"/>
        <item x="148"/>
        <item x="175"/>
        <item x="405"/>
        <item x="339"/>
        <item x="509"/>
        <item x="8"/>
        <item x="156"/>
        <item x="25"/>
        <item x="98"/>
        <item x="519"/>
        <item x="31"/>
        <item x="391"/>
        <item x="60"/>
        <item x="506"/>
        <item x="220"/>
        <item x="434"/>
        <item x="454"/>
        <item x="19"/>
        <item x="164"/>
        <item x="402"/>
        <item x="373"/>
        <item x="273"/>
        <item x="294"/>
        <item x="199"/>
        <item x="20"/>
        <item x="41"/>
        <item x="476"/>
        <item x="244"/>
        <item x="510"/>
        <item x="94"/>
        <item x="468"/>
        <item x="229"/>
        <item x="49"/>
        <item x="239"/>
        <item x="395"/>
        <item x="68"/>
        <item x="2"/>
        <item x="88"/>
        <item x="250"/>
        <item x="236"/>
        <item x="101"/>
        <item x="436"/>
        <item x="247"/>
        <item x="260"/>
        <item x="189"/>
        <item x="515"/>
        <item x="183"/>
        <item x="37"/>
        <item x="75"/>
        <item x="398"/>
        <item x="482"/>
        <item x="335"/>
        <item x="330"/>
        <item x="511"/>
        <item x="296"/>
        <item x="208"/>
        <item x="213"/>
        <item x="399"/>
        <item x="46"/>
        <item x="206"/>
        <item x="288"/>
        <item x="133"/>
        <item x="69"/>
        <item x="457"/>
        <item x="197"/>
        <item x="409"/>
        <item x="337"/>
        <item x="84"/>
        <item x="486"/>
        <item x="383"/>
        <item x="35"/>
        <item x="442"/>
        <item x="5"/>
        <item x="381"/>
        <item x="293"/>
        <item x="18"/>
        <item x="467"/>
        <item x="23"/>
        <item x="425"/>
        <item x="162"/>
        <item x="423"/>
        <item x="332"/>
        <item x="271"/>
        <item x="106"/>
        <item x="346"/>
        <item x="113"/>
        <item x="477"/>
        <item x="437"/>
        <item x="422"/>
        <item x="57"/>
        <item x="67"/>
        <item x="223"/>
        <item x="153"/>
        <item x="140"/>
        <item x="87"/>
        <item x="82"/>
        <item x="231"/>
        <item x="73"/>
        <item x="501"/>
        <item x="305"/>
        <item x="89"/>
        <item x="431"/>
        <item x="340"/>
        <item x="143"/>
        <item x="456"/>
        <item x="472"/>
        <item x="341"/>
        <item x="298"/>
        <item x="529"/>
        <item x="326"/>
        <item x="212"/>
        <item x="195"/>
        <item x="347"/>
        <item x="462"/>
        <item x="196"/>
        <item x="22"/>
        <item x="388"/>
        <item x="534"/>
        <item x="120"/>
        <item x="536"/>
        <item x="66"/>
        <item x="32"/>
        <item x="517"/>
        <item x="285"/>
        <item x="9"/>
        <item x="492"/>
        <item x="170"/>
        <item x="72"/>
        <item x="327"/>
        <item x="96"/>
        <item x="184"/>
        <item x="329"/>
        <item x="371"/>
        <item x="320"/>
        <item x="342"/>
        <item x="377"/>
        <item x="452"/>
        <item x="527"/>
        <item x="81"/>
        <item x="56"/>
        <item x="418"/>
        <item x="406"/>
        <item x="262"/>
        <item x="522"/>
        <item x="209"/>
        <item x="263"/>
        <item x="61"/>
        <item x="307"/>
        <item x="74"/>
        <item x="357"/>
        <item x="286"/>
        <item x="205"/>
        <item x="261"/>
        <item x="443"/>
        <item x="414"/>
        <item x="203"/>
        <item x="33"/>
        <item x="126"/>
        <item x="248"/>
        <item x="142"/>
        <item x="280"/>
        <item x="394"/>
        <item x="287"/>
        <item x="243"/>
        <item x="110"/>
        <item x="317"/>
        <item x="303"/>
        <item x="161"/>
        <item x="489"/>
        <item x="215"/>
        <item x="27"/>
        <item x="144"/>
        <item x="121"/>
        <item x="246"/>
        <item x="321"/>
        <item x="163"/>
        <item x="525"/>
        <item x="104"/>
        <item x="415"/>
        <item x="92"/>
        <item x="419"/>
        <item x="38"/>
        <item x="438"/>
        <item x="309"/>
        <item x="150"/>
        <item x="473"/>
        <item x="171"/>
        <item x="155"/>
        <item x="348"/>
        <item x="198"/>
        <item x="185"/>
        <item x="387"/>
        <item x="83"/>
        <item x="426"/>
        <item x="11"/>
        <item x="103"/>
        <item x="375"/>
        <item x="354"/>
        <item x="495"/>
        <item x="219"/>
        <item x="498"/>
        <item x="432"/>
        <item x="531"/>
        <item x="252"/>
        <item x="63"/>
        <item x="99"/>
        <item x="355"/>
        <item x="328"/>
        <item x="358"/>
        <item x="202"/>
        <item x="180"/>
        <item x="157"/>
        <item x="28"/>
        <item x="379"/>
        <item x="444"/>
        <item x="445"/>
        <item x="138"/>
        <item x="533"/>
        <item x="52"/>
        <item x="450"/>
        <item x="412"/>
        <item x="43"/>
        <item x="420"/>
        <item x="272"/>
        <item x="370"/>
        <item x="526"/>
        <item x="290"/>
        <item x="292"/>
        <item x="283"/>
        <item x="300"/>
        <item x="343"/>
        <item x="384"/>
        <item x="210"/>
        <item x="535"/>
        <item x="145"/>
        <item x="401"/>
        <item x="523"/>
        <item x="403"/>
        <item x="179"/>
        <item x="350"/>
        <item x="169"/>
        <item x="512"/>
        <item x="439"/>
        <item x="310"/>
        <item x="256"/>
        <item x="235"/>
        <item x="376"/>
        <item x="363"/>
        <item x="396"/>
        <item x="24"/>
        <item x="254"/>
        <item x="15"/>
        <item x="149"/>
        <item x="26"/>
        <item x="465"/>
        <item x="458"/>
        <item x="520"/>
        <item x="490"/>
        <item x="352"/>
        <item x="118"/>
        <item x="7"/>
        <item x="93"/>
        <item x="221"/>
        <item x="214"/>
        <item x="356"/>
        <item x="521"/>
        <item x="345"/>
        <item x="386"/>
        <item x="448"/>
        <item x="441"/>
        <item x="429"/>
        <item x="502"/>
        <item x="21"/>
        <item x="182"/>
        <item x="365"/>
        <item x="141"/>
        <item x="48"/>
        <item x="500"/>
        <item x="299"/>
        <item x="226"/>
        <item x="338"/>
        <item x="85"/>
        <item x="481"/>
        <item x="411"/>
        <item x="488"/>
        <item x="297"/>
        <item x="29"/>
        <item x="167"/>
        <item x="97"/>
        <item x="70"/>
        <item x="447"/>
        <item x="238"/>
        <item x="109"/>
        <item x="380"/>
        <item x="325"/>
        <item x="466"/>
        <item x="389"/>
        <item x="165"/>
        <item x="404"/>
        <item x="71"/>
        <item x="277"/>
        <item x="77"/>
        <item x="291"/>
        <item x="446"/>
        <item x="455"/>
        <item x="289"/>
        <item x="237"/>
        <item x="295"/>
        <item x="362"/>
        <item x="349"/>
        <item x="528"/>
        <item x="39"/>
        <item x="174"/>
        <item x="508"/>
        <item x="258"/>
        <item x="135"/>
        <item x="168"/>
        <item x="493"/>
        <item x="187"/>
        <item x="268"/>
        <item x="483"/>
        <item x="78"/>
        <item x="304"/>
        <item x="474"/>
        <item x="6"/>
        <item x="301"/>
        <item x="284"/>
        <item x="79"/>
        <item x="186"/>
        <item x="276"/>
        <item x="433"/>
        <item x="499"/>
        <item x="216"/>
        <item x="323"/>
        <item x="55"/>
        <item x="278"/>
        <item x="193"/>
        <item x="316"/>
        <item x="13"/>
        <item x="279"/>
        <item x="40"/>
        <item x="314"/>
        <item x="191"/>
        <item x="146"/>
        <item x="416"/>
        <item x="207"/>
        <item x="227"/>
        <item x="259"/>
        <item x="105"/>
        <item x="249"/>
        <item x="516"/>
        <item x="136"/>
        <item x="36"/>
        <item x="312"/>
        <item x="34"/>
        <item x="319"/>
        <item x="503"/>
        <item x="331"/>
        <item x="240"/>
        <item x="421"/>
        <item x="192"/>
        <item x="311"/>
        <item x="267"/>
        <item x="117"/>
        <item x="496"/>
        <item x="134"/>
        <item x="390"/>
        <item x="449"/>
        <item x="76"/>
        <item x="160"/>
        <item x="360"/>
        <item x="385"/>
        <item x="460"/>
        <item x="166"/>
        <item x="234"/>
        <item x="245"/>
        <item x="95"/>
        <item x="50"/>
        <item x="407"/>
        <item x="322"/>
        <item x="265"/>
        <item x="464"/>
        <item x="479"/>
        <item x="487"/>
        <item x="451"/>
        <item x="115"/>
        <item x="159"/>
        <item x="225"/>
        <item x="111"/>
        <item x="308"/>
        <item x="122"/>
        <item x="114"/>
        <item x="59"/>
        <item x="382"/>
        <item x="129"/>
        <item x="188"/>
        <item x="485"/>
        <item x="107"/>
        <item x="158"/>
        <item x="530"/>
        <item x="30"/>
        <item x="125"/>
        <item x="313"/>
        <item x="430"/>
        <item x="435"/>
        <item t="default"/>
      </items>
    </pivotField>
    <pivotField numFmtId="14" showAll="0"/>
    <pivotField numFmtId="165" showAll="0"/>
    <pivotField numFmtId="1" showAll="0"/>
    <pivotField showAll="0">
      <items count="8">
        <item x="0"/>
        <item x="5"/>
        <item x="3"/>
        <item x="1"/>
        <item x="4"/>
        <item x="6"/>
        <item x="2"/>
        <item t="default"/>
      </items>
    </pivotField>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pivotField showAll="0"/>
    <pivotField numFmtId="1" showAll="0">
      <items count="102">
        <item x="13"/>
        <item x="6"/>
        <item x="99"/>
        <item x="20"/>
        <item x="69"/>
        <item x="78"/>
        <item x="65"/>
        <item x="34"/>
        <item x="39"/>
        <item x="87"/>
        <item x="95"/>
        <item x="17"/>
        <item x="32"/>
        <item x="44"/>
        <item x="31"/>
        <item x="48"/>
        <item x="88"/>
        <item x="71"/>
        <item x="57"/>
        <item x="96"/>
        <item x="66"/>
        <item x="68"/>
        <item x="46"/>
        <item x="73"/>
        <item x="50"/>
        <item x="14"/>
        <item x="8"/>
        <item x="21"/>
        <item x="72"/>
        <item x="94"/>
        <item x="55"/>
        <item x="97"/>
        <item x="7"/>
        <item x="36"/>
        <item x="91"/>
        <item x="93"/>
        <item x="58"/>
        <item x="86"/>
        <item x="11"/>
        <item x="4"/>
        <item x="42"/>
        <item x="81"/>
        <item x="19"/>
        <item x="80"/>
        <item x="52"/>
        <item x="30"/>
        <item x="63"/>
        <item x="3"/>
        <item x="60"/>
        <item x="77"/>
        <item x="16"/>
        <item x="82"/>
        <item x="64"/>
        <item x="56"/>
        <item x="84"/>
        <item x="38"/>
        <item x="2"/>
        <item x="10"/>
        <item x="27"/>
        <item x="76"/>
        <item x="22"/>
        <item x="47"/>
        <item x="12"/>
        <item x="40"/>
        <item x="61"/>
        <item x="15"/>
        <item x="29"/>
        <item x="79"/>
        <item x="53"/>
        <item x="1"/>
        <item x="85"/>
        <item x="5"/>
        <item x="35"/>
        <item x="59"/>
        <item x="98"/>
        <item x="100"/>
        <item x="24"/>
        <item x="70"/>
        <item x="18"/>
        <item x="37"/>
        <item x="54"/>
        <item x="74"/>
        <item x="45"/>
        <item x="75"/>
        <item x="0"/>
        <item x="26"/>
        <item x="89"/>
        <item x="62"/>
        <item x="51"/>
        <item x="83"/>
        <item x="9"/>
        <item x="23"/>
        <item x="92"/>
        <item x="67"/>
        <item x="43"/>
        <item x="49"/>
        <item x="41"/>
        <item x="28"/>
        <item x="25"/>
        <item x="33"/>
        <item x="90"/>
        <item t="default"/>
      </items>
    </pivotField>
    <pivotField numFmtId="164" showAll="0"/>
    <pivotField axis="axisCol" showAll="0" sortType="descending">
      <items count="3">
        <item n="Not Downloaded" x="0"/>
        <item n="Downloaded " x="1"/>
        <item t="default"/>
      </items>
    </pivotField>
    <pivotField showAll="0"/>
    <pivotField numFmtId="1" showAll="0">
      <items count="925">
        <item x="820"/>
        <item x="647"/>
        <item x="269"/>
        <item x="416"/>
        <item x="448"/>
        <item x="701"/>
        <item x="5"/>
        <item x="919"/>
        <item x="73"/>
        <item x="680"/>
        <item x="640"/>
        <item x="290"/>
        <item x="407"/>
        <item x="395"/>
        <item x="423"/>
        <item x="272"/>
        <item x="409"/>
        <item x="332"/>
        <item x="422"/>
        <item x="205"/>
        <item x="150"/>
        <item x="609"/>
        <item x="565"/>
        <item x="435"/>
        <item x="206"/>
        <item x="180"/>
        <item x="125"/>
        <item x="509"/>
        <item x="203"/>
        <item x="323"/>
        <item x="342"/>
        <item x="314"/>
        <item x="718"/>
        <item x="761"/>
        <item x="858"/>
        <item x="432"/>
        <item x="592"/>
        <item x="141"/>
        <item x="459"/>
        <item x="11"/>
        <item x="175"/>
        <item x="174"/>
        <item x="528"/>
        <item x="786"/>
        <item x="705"/>
        <item x="394"/>
        <item x="229"/>
        <item x="207"/>
        <item x="883"/>
        <item x="86"/>
        <item x="532"/>
        <item x="451"/>
        <item x="374"/>
        <item x="878"/>
        <item x="833"/>
        <item x="700"/>
        <item x="526"/>
        <item x="22"/>
        <item x="292"/>
        <item x="246"/>
        <item x="494"/>
        <item x="679"/>
        <item x="601"/>
        <item x="367"/>
        <item x="399"/>
        <item x="337"/>
        <item x="8"/>
        <item x="677"/>
        <item x="401"/>
        <item x="68"/>
        <item x="66"/>
        <item x="468"/>
        <item x="260"/>
        <item x="517"/>
        <item x="729"/>
        <item x="277"/>
        <item x="502"/>
        <item x="650"/>
        <item x="866"/>
        <item x="627"/>
        <item x="612"/>
        <item x="462"/>
        <item x="415"/>
        <item x="660"/>
        <item x="67"/>
        <item x="489"/>
        <item x="238"/>
        <item x="775"/>
        <item x="678"/>
        <item x="768"/>
        <item x="51"/>
        <item x="181"/>
        <item x="893"/>
        <item x="157"/>
        <item x="607"/>
        <item x="46"/>
        <item x="482"/>
        <item x="241"/>
        <item x="156"/>
        <item x="127"/>
        <item x="153"/>
        <item x="550"/>
        <item x="280"/>
        <item x="515"/>
        <item x="805"/>
        <item x="554"/>
        <item x="512"/>
        <item x="450"/>
        <item x="479"/>
        <item x="88"/>
        <item x="698"/>
        <item x="389"/>
        <item x="90"/>
        <item x="44"/>
        <item x="320"/>
        <item x="340"/>
        <item x="308"/>
        <item x="800"/>
        <item x="122"/>
        <item x="321"/>
        <item x="431"/>
        <item x="785"/>
        <item x="15"/>
        <item x="222"/>
        <item x="94"/>
        <item x="10"/>
        <item x="559"/>
        <item x="588"/>
        <item x="553"/>
        <item x="210"/>
        <item x="237"/>
        <item x="441"/>
        <item x="434"/>
        <item x="755"/>
        <item x="235"/>
        <item x="117"/>
        <item x="474"/>
        <item x="160"/>
        <item x="587"/>
        <item x="257"/>
        <item x="318"/>
        <item x="457"/>
        <item x="492"/>
        <item x="6"/>
        <item x="491"/>
        <item x="499"/>
        <item x="728"/>
        <item x="906"/>
        <item x="692"/>
        <item x="356"/>
        <item x="816"/>
        <item x="31"/>
        <item x="719"/>
        <item x="58"/>
        <item x="309"/>
        <item x="822"/>
        <item x="651"/>
        <item x="37"/>
        <item x="889"/>
        <item x="764"/>
        <item x="516"/>
        <item x="655"/>
        <item x="819"/>
        <item x="633"/>
        <item x="696"/>
        <item x="577"/>
        <item x="726"/>
        <item x="518"/>
        <item x="147"/>
        <item x="463"/>
        <item x="618"/>
        <item x="335"/>
        <item x="848"/>
        <item x="212"/>
        <item x="75"/>
        <item x="165"/>
        <item x="115"/>
        <item x="709"/>
        <item x="739"/>
        <item x="211"/>
        <item x="3"/>
        <item x="868"/>
        <item x="467"/>
        <item x="376"/>
        <item x="61"/>
        <item x="225"/>
        <item x="495"/>
        <item x="784"/>
        <item x="254"/>
        <item x="799"/>
        <item x="259"/>
        <item x="725"/>
        <item x="888"/>
        <item x="403"/>
        <item x="567"/>
        <item x="281"/>
        <item x="908"/>
        <item x="142"/>
        <item x="546"/>
        <item x="188"/>
        <item x="14"/>
        <item x="464"/>
        <item x="184"/>
        <item x="200"/>
        <item x="751"/>
        <item x="541"/>
        <item x="600"/>
        <item x="311"/>
        <item x="319"/>
        <item x="544"/>
        <item x="63"/>
        <item x="265"/>
        <item x="295"/>
        <item x="896"/>
        <item x="746"/>
        <item x="192"/>
        <item x="620"/>
        <item x="62"/>
        <item x="17"/>
        <item x="596"/>
        <item x="132"/>
        <item x="839"/>
        <item x="285"/>
        <item x="414"/>
        <item x="591"/>
        <item x="684"/>
        <item x="689"/>
        <item x="406"/>
        <item x="796"/>
        <item x="804"/>
        <item x="91"/>
        <item x="687"/>
        <item x="824"/>
        <item x="625"/>
        <item x="897"/>
        <item x="575"/>
        <item x="628"/>
        <item x="676"/>
        <item x="387"/>
        <item x="498"/>
        <item x="446"/>
        <item x="576"/>
        <item x="49"/>
        <item x="381"/>
        <item x="769"/>
        <item x="703"/>
        <item x="593"/>
        <item x="433"/>
        <item x="548"/>
        <item x="674"/>
        <item x="616"/>
        <item x="78"/>
        <item x="864"/>
        <item x="551"/>
        <item x="801"/>
        <item x="358"/>
        <item x="776"/>
        <item x="857"/>
        <item x="120"/>
        <item x="444"/>
        <item x="844"/>
        <item x="606"/>
        <item x="594"/>
        <item x="733"/>
        <item x="388"/>
        <item x="777"/>
        <item x="187"/>
        <item x="555"/>
        <item x="24"/>
        <item x="566"/>
        <item x="712"/>
        <item x="828"/>
        <item x="317"/>
        <item x="158"/>
        <item x="313"/>
        <item x="339"/>
        <item x="438"/>
        <item x="392"/>
        <item x="244"/>
        <item x="652"/>
        <item x="297"/>
        <item x="378"/>
        <item x="177"/>
        <item x="386"/>
        <item x="779"/>
        <item x="558"/>
        <item x="811"/>
        <item x="228"/>
        <item x="657"/>
        <item x="439"/>
        <item x="621"/>
        <item x="867"/>
        <item x="590"/>
        <item x="312"/>
        <item x="440"/>
        <item x="74"/>
        <item x="329"/>
        <item x="266"/>
        <item x="429"/>
        <item x="580"/>
        <item x="110"/>
        <item x="542"/>
        <item x="853"/>
        <item x="860"/>
        <item x="879"/>
        <item x="331"/>
        <item x="293"/>
        <item x="282"/>
        <item x="12"/>
        <item x="735"/>
        <item x="326"/>
        <item x="595"/>
        <item x="136"/>
        <item x="40"/>
        <item x="408"/>
        <item x="48"/>
        <item x="634"/>
        <item x="791"/>
        <item x="236"/>
        <item x="220"/>
        <item x="179"/>
        <item x="497"/>
        <item x="345"/>
        <item x="681"/>
        <item x="648"/>
        <item x="907"/>
        <item x="905"/>
        <item x="862"/>
        <item x="26"/>
        <item x="81"/>
        <item x="535"/>
        <item x="798"/>
        <item x="186"/>
        <item x="2"/>
        <item x="827"/>
        <item x="699"/>
        <item x="597"/>
        <item x="900"/>
        <item x="413"/>
        <item x="65"/>
        <item x="578"/>
        <item x="50"/>
        <item x="129"/>
        <item x="330"/>
        <item x="418"/>
        <item x="224"/>
        <item x="56"/>
        <item x="102"/>
        <item x="752"/>
        <item x="500"/>
        <item x="797"/>
        <item x="870"/>
        <item x="626"/>
        <item x="720"/>
        <item x="398"/>
        <item x="802"/>
        <item x="4"/>
        <item x="370"/>
        <item x="649"/>
        <item x="279"/>
        <item x="821"/>
        <item x="133"/>
        <item x="641"/>
        <item x="25"/>
        <item x="193"/>
        <item x="569"/>
        <item x="871"/>
        <item x="373"/>
        <item x="274"/>
        <item x="530"/>
        <item x="646"/>
        <item x="793"/>
        <item x="64"/>
        <item x="305"/>
        <item x="713"/>
        <item x="404"/>
        <item x="194"/>
        <item x="166"/>
        <item x="103"/>
        <item x="197"/>
        <item x="818"/>
        <item x="283"/>
        <item x="223"/>
        <item x="899"/>
        <item x="922"/>
        <item x="671"/>
        <item x="581"/>
        <item x="152"/>
        <item x="708"/>
        <item x="714"/>
        <item x="334"/>
        <item x="145"/>
        <item x="355"/>
        <item x="505"/>
        <item x="472"/>
        <item x="724"/>
        <item x="744"/>
        <item x="351"/>
        <item x="146"/>
        <item x="911"/>
        <item x="465"/>
        <item x="851"/>
        <item x="470"/>
        <item x="456"/>
        <item x="226"/>
        <item x="521"/>
        <item x="727"/>
        <item x="352"/>
        <item x="471"/>
        <item x="372"/>
        <item x="854"/>
        <item x="402"/>
        <item x="658"/>
        <item x="885"/>
        <item x="672"/>
        <item x="740"/>
        <item x="823"/>
        <item x="377"/>
        <item x="124"/>
        <item x="661"/>
        <item x="82"/>
        <item x="547"/>
        <item x="232"/>
        <item x="863"/>
        <item x="562"/>
        <item x="149"/>
        <item x="261"/>
        <item x="234"/>
        <item x="789"/>
        <item x="665"/>
        <item x="199"/>
        <item x="656"/>
        <item x="610"/>
        <item x="901"/>
        <item x="1"/>
        <item x="255"/>
        <item x="36"/>
        <item x="845"/>
        <item x="787"/>
        <item x="189"/>
        <item x="877"/>
        <item x="694"/>
        <item x="855"/>
        <item x="881"/>
        <item x="856"/>
        <item x="704"/>
        <item x="369"/>
        <item x="673"/>
        <item x="173"/>
        <item x="123"/>
        <item x="353"/>
        <item x="503"/>
        <item x="393"/>
        <item x="306"/>
        <item x="85"/>
        <item x="230"/>
        <item x="169"/>
        <item x="196"/>
        <item x="478"/>
        <item x="23"/>
        <item x="536"/>
        <item x="39"/>
        <item x="302"/>
        <item x="490"/>
        <item x="890"/>
        <item x="461"/>
        <item x="348"/>
        <item x="579"/>
        <item x="750"/>
        <item x="382"/>
        <item x="915"/>
        <item x="667"/>
        <item x="424"/>
        <item x="154"/>
        <item x="850"/>
        <item x="872"/>
        <item x="106"/>
        <item x="757"/>
        <item x="738"/>
        <item x="693"/>
        <item x="832"/>
        <item x="239"/>
        <item x="903"/>
        <item x="572"/>
        <item x="248"/>
        <item x="215"/>
        <item x="614"/>
        <item x="666"/>
        <item x="636"/>
        <item x="419"/>
        <item x="216"/>
        <item x="275"/>
        <item x="185"/>
        <item x="198"/>
        <item x="34"/>
        <item x="806"/>
        <item x="586"/>
        <item x="291"/>
        <item x="163"/>
        <item x="582"/>
        <item x="643"/>
        <item x="139"/>
        <item x="758"/>
        <item x="322"/>
        <item x="537"/>
        <item x="262"/>
        <item x="894"/>
        <item x="263"/>
        <item x="436"/>
        <item x="561"/>
        <item x="425"/>
        <item x="38"/>
        <item x="137"/>
        <item x="895"/>
        <item x="428"/>
        <item x="773"/>
        <item x="209"/>
        <item x="485"/>
        <item x="107"/>
        <item x="734"/>
        <item x="794"/>
        <item x="349"/>
        <item x="396"/>
        <item x="116"/>
        <item x="27"/>
        <item x="501"/>
        <item x="765"/>
        <item x="35"/>
        <item x="221"/>
        <item x="513"/>
        <item x="347"/>
        <item x="126"/>
        <item x="762"/>
        <item x="568"/>
        <item x="481"/>
        <item x="560"/>
        <item x="604"/>
        <item x="258"/>
        <item x="178"/>
        <item x="84"/>
        <item x="686"/>
        <item x="303"/>
        <item x="916"/>
        <item x="108"/>
        <item x="7"/>
        <item x="98"/>
        <item x="483"/>
        <item x="605"/>
        <item x="0"/>
        <item x="529"/>
        <item x="843"/>
        <item x="245"/>
        <item x="364"/>
        <item x="921"/>
        <item x="213"/>
        <item x="836"/>
        <item x="447"/>
        <item x="96"/>
        <item x="100"/>
        <item x="201"/>
        <item x="826"/>
        <item x="195"/>
        <item x="617"/>
        <item x="243"/>
        <item x="77"/>
        <item x="695"/>
        <item x="599"/>
        <item x="362"/>
        <item x="736"/>
        <item x="707"/>
        <item x="570"/>
        <item x="639"/>
        <item x="400"/>
        <item x="270"/>
        <item x="268"/>
        <item x="171"/>
        <item x="803"/>
        <item x="688"/>
        <item x="359"/>
        <item x="742"/>
        <item x="771"/>
        <item x="286"/>
        <item x="138"/>
        <item x="183"/>
        <item x="706"/>
        <item x="645"/>
        <item x="760"/>
        <item x="912"/>
        <item x="837"/>
        <item x="449"/>
        <item x="72"/>
        <item x="721"/>
        <item x="874"/>
        <item x="327"/>
        <item x="520"/>
        <item x="574"/>
        <item x="299"/>
        <item x="838"/>
        <item x="741"/>
        <item x="583"/>
        <item x="458"/>
        <item x="114"/>
        <item x="831"/>
        <item x="251"/>
        <item x="635"/>
        <item x="923"/>
        <item x="460"/>
        <item x="523"/>
        <item x="316"/>
        <item x="556"/>
        <item x="506"/>
        <item x="105"/>
        <item x="93"/>
        <item x="898"/>
        <item x="914"/>
        <item x="164"/>
        <item x="715"/>
        <item x="745"/>
        <item x="383"/>
        <item x="135"/>
        <item x="527"/>
        <item x="325"/>
        <item x="589"/>
        <item x="227"/>
        <item x="252"/>
        <item x="585"/>
        <item x="814"/>
        <item x="514"/>
        <item x="869"/>
        <item x="101"/>
        <item x="182"/>
        <item x="780"/>
        <item x="564"/>
        <item x="603"/>
        <item x="662"/>
        <item x="882"/>
        <item x="508"/>
        <item x="300"/>
        <item x="52"/>
        <item x="454"/>
        <item x="859"/>
        <item x="737"/>
        <item x="391"/>
        <item x="730"/>
        <item x="507"/>
        <item x="32"/>
        <item x="42"/>
        <item x="28"/>
        <item x="829"/>
        <item x="92"/>
        <item x="770"/>
        <item x="475"/>
        <item x="410"/>
        <item x="563"/>
        <item x="57"/>
        <item x="807"/>
        <item x="522"/>
        <item x="493"/>
        <item x="267"/>
        <item x="118"/>
        <item x="637"/>
        <item x="611"/>
        <item x="812"/>
        <item x="631"/>
        <item x="861"/>
        <item x="452"/>
        <item x="80"/>
        <item x="365"/>
        <item x="682"/>
        <item x="717"/>
        <item x="363"/>
        <item x="278"/>
        <item x="130"/>
        <item x="143"/>
        <item x="817"/>
        <item x="886"/>
        <item x="121"/>
        <item x="128"/>
        <item x="842"/>
        <item x="20"/>
        <item x="813"/>
        <item x="690"/>
        <item x="759"/>
        <item x="45"/>
        <item x="778"/>
        <item x="112"/>
        <item x="55"/>
        <item x="638"/>
        <item x="716"/>
        <item x="790"/>
        <item x="144"/>
        <item x="83"/>
        <item x="202"/>
        <item x="788"/>
        <item x="552"/>
        <item x="301"/>
        <item x="722"/>
        <item x="109"/>
        <item x="477"/>
        <item x="624"/>
        <item x="756"/>
        <item x="743"/>
        <item x="504"/>
        <item x="918"/>
        <item x="233"/>
        <item x="711"/>
        <item x="95"/>
        <item x="663"/>
        <item x="747"/>
        <item x="466"/>
        <item x="405"/>
        <item x="421"/>
        <item x="753"/>
        <item x="13"/>
        <item x="473"/>
        <item x="390"/>
        <item x="772"/>
        <item x="622"/>
        <item x="249"/>
        <item x="774"/>
        <item x="217"/>
        <item x="328"/>
        <item x="543"/>
        <item x="702"/>
        <item x="841"/>
        <item x="338"/>
        <item x="763"/>
        <item x="455"/>
        <item x="781"/>
        <item x="276"/>
        <item x="9"/>
        <item x="247"/>
        <item x="691"/>
        <item x="809"/>
        <item x="782"/>
        <item x="849"/>
        <item x="214"/>
        <item x="476"/>
        <item x="104"/>
        <item x="71"/>
        <item x="664"/>
        <item x="134"/>
        <item x="29"/>
        <item x="87"/>
        <item x="191"/>
        <item x="70"/>
        <item x="155"/>
        <item x="161"/>
        <item x="368"/>
        <item x="910"/>
        <item x="538"/>
        <item x="453"/>
        <item x="510"/>
        <item x="250"/>
        <item x="357"/>
        <item x="384"/>
        <item x="140"/>
        <item x="524"/>
        <item x="41"/>
        <item x="917"/>
        <item x="208"/>
        <item x="346"/>
        <item x="336"/>
        <item x="913"/>
        <item x="47"/>
        <item x="668"/>
        <item x="69"/>
        <item x="488"/>
        <item x="539"/>
        <item x="808"/>
        <item x="99"/>
        <item x="16"/>
        <item x="710"/>
        <item x="525"/>
        <item x="445"/>
        <item x="354"/>
        <item x="887"/>
        <item x="602"/>
        <item x="380"/>
        <item x="835"/>
        <item x="304"/>
        <item x="30"/>
        <item x="288"/>
        <item x="519"/>
        <item x="19"/>
        <item x="549"/>
        <item x="557"/>
        <item x="307"/>
        <item x="669"/>
        <item x="426"/>
        <item x="420"/>
        <item x="371"/>
        <item x="148"/>
        <item x="33"/>
        <item x="767"/>
        <item x="810"/>
        <item x="615"/>
        <item x="875"/>
        <item x="846"/>
        <item x="119"/>
        <item x="573"/>
        <item x="659"/>
        <item x="670"/>
        <item x="315"/>
        <item x="385"/>
        <item x="242"/>
        <item x="231"/>
        <item x="654"/>
        <item x="748"/>
        <item x="865"/>
        <item x="350"/>
        <item x="511"/>
        <item x="333"/>
        <item x="815"/>
        <item x="131"/>
        <item x="253"/>
        <item x="412"/>
        <item x="884"/>
        <item x="443"/>
        <item x="486"/>
        <item x="685"/>
        <item x="190"/>
        <item x="598"/>
        <item x="731"/>
        <item x="873"/>
        <item x="176"/>
        <item x="298"/>
        <item x="341"/>
        <item x="168"/>
        <item x="531"/>
        <item x="79"/>
        <item x="754"/>
        <item x="783"/>
        <item x="264"/>
        <item x="792"/>
        <item x="540"/>
        <item x="170"/>
        <item x="909"/>
        <item x="830"/>
        <item x="545"/>
        <item x="43"/>
        <item x="619"/>
        <item x="795"/>
        <item x="840"/>
        <item x="294"/>
        <item x="375"/>
        <item x="629"/>
        <item x="296"/>
        <item x="487"/>
        <item x="891"/>
        <item x="361"/>
        <item x="310"/>
        <item x="324"/>
        <item x="427"/>
        <item x="902"/>
        <item x="749"/>
        <item x="379"/>
        <item x="271"/>
        <item x="825"/>
        <item x="60"/>
        <item x="21"/>
        <item x="289"/>
        <item x="366"/>
        <item x="766"/>
        <item x="273"/>
        <item x="76"/>
        <item x="256"/>
        <item x="97"/>
        <item x="89"/>
        <item x="167"/>
        <item x="442"/>
        <item x="904"/>
        <item x="533"/>
        <item x="623"/>
        <item x="642"/>
        <item x="18"/>
        <item x="54"/>
        <item x="653"/>
        <item x="53"/>
        <item x="480"/>
        <item x="218"/>
        <item x="113"/>
        <item x="852"/>
        <item x="287"/>
        <item x="59"/>
        <item x="920"/>
        <item x="240"/>
        <item x="892"/>
        <item x="484"/>
        <item x="632"/>
        <item x="411"/>
        <item x="159"/>
        <item x="360"/>
        <item x="219"/>
        <item x="697"/>
        <item x="630"/>
        <item x="876"/>
        <item x="417"/>
        <item x="723"/>
        <item x="880"/>
        <item x="613"/>
        <item x="162"/>
        <item x="204"/>
        <item x="437"/>
        <item x="608"/>
        <item x="111"/>
        <item x="284"/>
        <item x="344"/>
        <item x="534"/>
        <item x="343"/>
        <item x="675"/>
        <item x="469"/>
        <item x="644"/>
        <item x="151"/>
        <item x="430"/>
        <item x="683"/>
        <item x="847"/>
        <item x="397"/>
        <item x="584"/>
        <item x="172"/>
        <item x="496"/>
        <item x="834"/>
        <item x="732"/>
        <item x="571"/>
        <item t="default"/>
      </items>
    </pivotField>
    <pivotField showAll="0"/>
    <pivotField showAll="0">
      <items count="6">
        <item x="2"/>
        <item x="1"/>
        <item x="0"/>
        <item x="3"/>
        <item x="4"/>
        <item t="default"/>
      </items>
    </pivotField>
    <pivotField showAll="0"/>
    <pivotField numFmtId="1" showAll="0"/>
    <pivotField showAll="0" nonAutoSortDefault="1">
      <items count="4">
        <item x="0"/>
        <item x="1"/>
        <item x="2"/>
        <item t="default"/>
      </items>
    </pivotField>
    <pivotField numFmtId="164" showAll="0"/>
    <pivotField axis="axisRow" showAll="0" sortType="ascending">
      <items count="4">
        <item n="Casual (0-5 Hours)" x="0"/>
        <item n="Power (15+ Hours)" x="2"/>
        <item n="Regular (6-15 Hours)" x="1"/>
        <item t="default"/>
      </items>
    </pivotField>
    <pivotField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6">
        <item n="0-20" sd="0" x="0"/>
        <item n="21-40" sd="0" x="1"/>
        <item n="41-60" sd="0" x="2"/>
        <item n="61-80" sd="0" x="3"/>
        <item n="81-100" sd="0" x="4"/>
        <item t="default"/>
      </items>
    </pivotField>
    <pivotField showAll="0">
      <items count="6">
        <item x="0"/>
        <item x="1"/>
        <item x="2"/>
        <item x="3"/>
        <item x="4"/>
        <item t="default"/>
      </items>
    </pivotField>
  </pivotFields>
  <rowFields count="1">
    <field x="26"/>
  </rowFields>
  <rowItems count="4">
    <i>
      <x/>
    </i>
    <i>
      <x v="1"/>
    </i>
    <i>
      <x v="2"/>
    </i>
    <i t="grand">
      <x/>
    </i>
  </rowItems>
  <colFields count="1">
    <field x="17"/>
  </colFields>
  <colItems count="2">
    <i>
      <x/>
    </i>
    <i>
      <x v="1"/>
    </i>
  </colItems>
  <dataFields count="1">
    <dataField name="Count of User_ID" fld="0" subtotal="count" baseField="26" baseItem="0"/>
  </dataFields>
  <formats count="12">
    <format dxfId="39">
      <pivotArea type="all" dataOnly="0" outline="0" fieldPosition="0"/>
    </format>
    <format dxfId="38">
      <pivotArea outline="0" collapsedLevelsAreSubtotals="1" fieldPosition="0"/>
    </format>
    <format dxfId="37">
      <pivotArea field="24" type="button" dataOnly="0" labelOnly="1" outline="0"/>
    </format>
    <format dxfId="36">
      <pivotArea dataOnly="0" labelOnly="1" grandRow="1" outline="0" fieldPosition="0"/>
    </format>
    <format dxfId="35">
      <pivotArea type="all" dataOnly="0" outline="0" fieldPosition="0"/>
    </format>
    <format dxfId="34">
      <pivotArea outline="0" collapsedLevelsAreSubtotals="1" fieldPosition="0"/>
    </format>
    <format dxfId="33">
      <pivotArea field="24" type="button" dataOnly="0" labelOnly="1" outline="0"/>
    </format>
    <format dxfId="32">
      <pivotArea dataOnly="0" labelOnly="1" grandRow="1" outline="0" fieldPosition="0"/>
    </format>
    <format dxfId="31">
      <pivotArea type="all" dataOnly="0" outline="0" fieldPosition="0"/>
    </format>
    <format dxfId="30">
      <pivotArea outline="0" collapsedLevelsAreSubtotals="1" fieldPosition="0"/>
    </format>
    <format dxfId="29">
      <pivotArea field="24" type="button" dataOnly="0" labelOnly="1" outline="0"/>
    </format>
    <format dxfId="28">
      <pivotArea dataOnly="0" labelOnly="1" grandRow="1" outline="0" fieldPosition="0"/>
    </format>
  </formats>
  <chartFormats count="8">
    <chartFormat chart="3" format="4" series="1">
      <pivotArea type="data" outline="0" fieldPosition="0">
        <references count="2">
          <reference field="4294967294" count="1" selected="0">
            <x v="0"/>
          </reference>
          <reference field="17" count="1" selected="0">
            <x v="0"/>
          </reference>
        </references>
      </pivotArea>
    </chartFormat>
    <chartFormat chart="3" format="5" series="1">
      <pivotArea type="data" outline="0" fieldPosition="0">
        <references count="2">
          <reference field="4294967294" count="1" selected="0">
            <x v="0"/>
          </reference>
          <reference field="17" count="1" selected="0">
            <x v="1"/>
          </reference>
        </references>
      </pivotArea>
    </chartFormat>
    <chartFormat chart="3" format="6">
      <pivotArea type="data" outline="0" fieldPosition="0">
        <references count="3">
          <reference field="4294967294" count="1" selected="0">
            <x v="0"/>
          </reference>
          <reference field="17" count="1" selected="0">
            <x v="0"/>
          </reference>
          <reference field="26" count="1" selected="0">
            <x v="2"/>
          </reference>
        </references>
      </pivotArea>
    </chartFormat>
    <chartFormat chart="3" format="6">
      <pivotArea type="data" outline="0" fieldPosition="0">
        <references count="3">
          <reference field="4294967294" count="1" selected="0">
            <x v="0"/>
          </reference>
          <reference field="17" count="1" selected="0">
            <x v="1"/>
          </reference>
          <reference field="26" count="1" selected="0">
            <x v="2"/>
          </reference>
        </references>
      </pivotArea>
    </chartFormat>
    <chartFormat chart="3" format="7">
      <pivotArea type="data" outline="0" fieldPosition="0">
        <references count="3">
          <reference field="4294967294" count="1" selected="0">
            <x v="0"/>
          </reference>
          <reference field="17" count="1" selected="0">
            <x v="1"/>
          </reference>
          <reference field="26" count="1" selected="0">
            <x v="1"/>
          </reference>
        </references>
      </pivotArea>
    </chartFormat>
    <chartFormat chart="3" format="8">
      <pivotArea type="data" outline="0" fieldPosition="0">
        <references count="3">
          <reference field="4294967294" count="1" selected="0">
            <x v="0"/>
          </reference>
          <reference field="17" count="1" selected="0">
            <x v="1"/>
          </reference>
          <reference field="26" count="1" selected="0">
            <x v="0"/>
          </reference>
        </references>
      </pivotArea>
    </chartFormat>
    <chartFormat chart="3" format="9">
      <pivotArea type="data" outline="0" fieldPosition="0">
        <references count="3">
          <reference field="4294967294" count="1" selected="0">
            <x v="0"/>
          </reference>
          <reference field="17" count="1" selected="0">
            <x v="0"/>
          </reference>
          <reference field="26" count="1" selected="0">
            <x v="0"/>
          </reference>
        </references>
      </pivotArea>
    </chartFormat>
    <chartFormat chart="3" format="10">
      <pivotArea type="data" outline="0" fieldPosition="0">
        <references count="3">
          <reference field="4294967294" count="1" selected="0">
            <x v="0"/>
          </reference>
          <reference field="17" count="1" selected="0">
            <x v="0"/>
          </reference>
          <reference field="2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F13E05-1799-48BC-BEC0-17EE73C17D36}" name="2. User Engagement Metrics: 1.0"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7" rowHeaderCaption="Age Group">
  <location ref="L4:N10" firstHeaderRow="0" firstDataRow="1" firstDataCol="1"/>
  <pivotFields count="34">
    <pivotField numFmtId="1" showAll="0"/>
    <pivotField showAll="0"/>
    <pivotField numFmtId="14" showAll="0">
      <items count="538">
        <item x="91"/>
        <item x="302"/>
        <item x="102"/>
        <item x="424"/>
        <item x="54"/>
        <item x="127"/>
        <item x="51"/>
        <item x="274"/>
        <item x="137"/>
        <item x="53"/>
        <item x="201"/>
        <item x="417"/>
        <item x="218"/>
        <item x="228"/>
        <item x="374"/>
        <item x="524"/>
        <item x="484"/>
        <item x="514"/>
        <item x="470"/>
        <item x="513"/>
        <item x="333"/>
        <item x="463"/>
        <item x="368"/>
        <item x="222"/>
        <item x="176"/>
        <item x="119"/>
        <item x="255"/>
        <item x="270"/>
        <item x="281"/>
        <item x="251"/>
        <item x="344"/>
        <item x="497"/>
        <item x="3"/>
        <item x="200"/>
        <item x="58"/>
        <item x="504"/>
        <item x="86"/>
        <item x="147"/>
        <item x="116"/>
        <item x="224"/>
        <item x="359"/>
        <item x="478"/>
        <item x="440"/>
        <item x="16"/>
        <item x="242"/>
        <item x="471"/>
        <item x="100"/>
        <item x="507"/>
        <item x="65"/>
        <item x="128"/>
        <item x="233"/>
        <item x="131"/>
        <item x="217"/>
        <item x="152"/>
        <item x="372"/>
        <item x="62"/>
        <item x="397"/>
        <item x="393"/>
        <item x="204"/>
        <item x="364"/>
        <item x="139"/>
        <item x="112"/>
        <item x="253"/>
        <item x="475"/>
        <item x="518"/>
        <item x="151"/>
        <item x="378"/>
        <item x="264"/>
        <item x="123"/>
        <item x="269"/>
        <item x="353"/>
        <item x="453"/>
        <item x="45"/>
        <item x="47"/>
        <item x="12"/>
        <item x="10"/>
        <item x="361"/>
        <item x="108"/>
        <item x="1"/>
        <item x="42"/>
        <item x="408"/>
        <item x="428"/>
        <item x="334"/>
        <item x="367"/>
        <item x="459"/>
        <item x="275"/>
        <item x="64"/>
        <item x="410"/>
        <item x="90"/>
        <item x="505"/>
        <item x="241"/>
        <item x="154"/>
        <item x="336"/>
        <item x="306"/>
        <item x="232"/>
        <item x="211"/>
        <item x="413"/>
        <item x="44"/>
        <item x="491"/>
        <item x="494"/>
        <item x="80"/>
        <item x="427"/>
        <item x="124"/>
        <item x="132"/>
        <item x="400"/>
        <item x="324"/>
        <item x="177"/>
        <item x="480"/>
        <item x="130"/>
        <item x="172"/>
        <item x="0"/>
        <item x="190"/>
        <item x="315"/>
        <item x="366"/>
        <item x="392"/>
        <item x="282"/>
        <item x="181"/>
        <item x="194"/>
        <item x="318"/>
        <item x="266"/>
        <item x="369"/>
        <item x="461"/>
        <item x="230"/>
        <item x="532"/>
        <item x="257"/>
        <item x="178"/>
        <item x="17"/>
        <item x="469"/>
        <item x="351"/>
        <item x="4"/>
        <item x="14"/>
        <item x="173"/>
        <item x="148"/>
        <item x="175"/>
        <item x="405"/>
        <item x="339"/>
        <item x="509"/>
        <item x="8"/>
        <item x="156"/>
        <item x="25"/>
        <item x="98"/>
        <item x="519"/>
        <item x="31"/>
        <item x="391"/>
        <item x="60"/>
        <item x="506"/>
        <item x="220"/>
        <item x="434"/>
        <item x="454"/>
        <item x="19"/>
        <item x="164"/>
        <item x="402"/>
        <item x="373"/>
        <item x="273"/>
        <item x="294"/>
        <item x="199"/>
        <item x="20"/>
        <item x="41"/>
        <item x="476"/>
        <item x="244"/>
        <item x="510"/>
        <item x="94"/>
        <item x="468"/>
        <item x="229"/>
        <item x="49"/>
        <item x="239"/>
        <item x="395"/>
        <item x="68"/>
        <item x="2"/>
        <item x="88"/>
        <item x="250"/>
        <item x="236"/>
        <item x="101"/>
        <item x="436"/>
        <item x="247"/>
        <item x="260"/>
        <item x="189"/>
        <item x="515"/>
        <item x="183"/>
        <item x="37"/>
        <item x="75"/>
        <item x="398"/>
        <item x="482"/>
        <item x="335"/>
        <item x="330"/>
        <item x="511"/>
        <item x="296"/>
        <item x="208"/>
        <item x="213"/>
        <item x="399"/>
        <item x="46"/>
        <item x="206"/>
        <item x="288"/>
        <item x="133"/>
        <item x="69"/>
        <item x="457"/>
        <item x="197"/>
        <item x="409"/>
        <item x="337"/>
        <item x="84"/>
        <item x="486"/>
        <item x="383"/>
        <item x="35"/>
        <item x="442"/>
        <item x="5"/>
        <item x="381"/>
        <item x="293"/>
        <item x="18"/>
        <item x="467"/>
        <item x="23"/>
        <item x="425"/>
        <item x="162"/>
        <item x="423"/>
        <item x="332"/>
        <item x="271"/>
        <item x="106"/>
        <item x="346"/>
        <item x="113"/>
        <item x="477"/>
        <item x="437"/>
        <item x="422"/>
        <item x="57"/>
        <item x="67"/>
        <item x="223"/>
        <item x="153"/>
        <item x="140"/>
        <item x="87"/>
        <item x="82"/>
        <item x="231"/>
        <item x="73"/>
        <item x="501"/>
        <item x="305"/>
        <item x="89"/>
        <item x="431"/>
        <item x="340"/>
        <item x="143"/>
        <item x="456"/>
        <item x="472"/>
        <item x="341"/>
        <item x="298"/>
        <item x="529"/>
        <item x="326"/>
        <item x="212"/>
        <item x="195"/>
        <item x="347"/>
        <item x="462"/>
        <item x="196"/>
        <item x="22"/>
        <item x="388"/>
        <item x="534"/>
        <item x="120"/>
        <item x="536"/>
        <item x="66"/>
        <item x="32"/>
        <item x="517"/>
        <item x="285"/>
        <item x="9"/>
        <item x="492"/>
        <item x="170"/>
        <item x="72"/>
        <item x="327"/>
        <item x="96"/>
        <item x="184"/>
        <item x="329"/>
        <item x="371"/>
        <item x="320"/>
        <item x="342"/>
        <item x="377"/>
        <item x="452"/>
        <item x="527"/>
        <item x="81"/>
        <item x="56"/>
        <item x="418"/>
        <item x="406"/>
        <item x="262"/>
        <item x="522"/>
        <item x="209"/>
        <item x="263"/>
        <item x="61"/>
        <item x="307"/>
        <item x="74"/>
        <item x="357"/>
        <item x="286"/>
        <item x="205"/>
        <item x="261"/>
        <item x="443"/>
        <item x="414"/>
        <item x="203"/>
        <item x="33"/>
        <item x="126"/>
        <item x="248"/>
        <item x="142"/>
        <item x="280"/>
        <item x="394"/>
        <item x="287"/>
        <item x="243"/>
        <item x="110"/>
        <item x="317"/>
        <item x="303"/>
        <item x="161"/>
        <item x="489"/>
        <item x="215"/>
        <item x="27"/>
        <item x="144"/>
        <item x="121"/>
        <item x="246"/>
        <item x="321"/>
        <item x="163"/>
        <item x="525"/>
        <item x="104"/>
        <item x="415"/>
        <item x="92"/>
        <item x="419"/>
        <item x="38"/>
        <item x="438"/>
        <item x="309"/>
        <item x="150"/>
        <item x="473"/>
        <item x="171"/>
        <item x="155"/>
        <item x="348"/>
        <item x="198"/>
        <item x="185"/>
        <item x="387"/>
        <item x="83"/>
        <item x="426"/>
        <item x="11"/>
        <item x="103"/>
        <item x="375"/>
        <item x="354"/>
        <item x="495"/>
        <item x="219"/>
        <item x="498"/>
        <item x="432"/>
        <item x="531"/>
        <item x="252"/>
        <item x="63"/>
        <item x="99"/>
        <item x="355"/>
        <item x="328"/>
        <item x="358"/>
        <item x="202"/>
        <item x="180"/>
        <item x="157"/>
        <item x="28"/>
        <item x="379"/>
        <item x="444"/>
        <item x="445"/>
        <item x="138"/>
        <item x="533"/>
        <item x="52"/>
        <item x="450"/>
        <item x="412"/>
        <item x="43"/>
        <item x="420"/>
        <item x="272"/>
        <item x="370"/>
        <item x="526"/>
        <item x="290"/>
        <item x="292"/>
        <item x="283"/>
        <item x="300"/>
        <item x="343"/>
        <item x="384"/>
        <item x="210"/>
        <item x="535"/>
        <item x="145"/>
        <item x="401"/>
        <item x="523"/>
        <item x="403"/>
        <item x="179"/>
        <item x="350"/>
        <item x="169"/>
        <item x="512"/>
        <item x="439"/>
        <item x="310"/>
        <item x="256"/>
        <item x="235"/>
        <item x="376"/>
        <item x="363"/>
        <item x="396"/>
        <item x="24"/>
        <item x="254"/>
        <item x="15"/>
        <item x="149"/>
        <item x="26"/>
        <item x="465"/>
        <item x="458"/>
        <item x="520"/>
        <item x="490"/>
        <item x="352"/>
        <item x="118"/>
        <item x="7"/>
        <item x="93"/>
        <item x="221"/>
        <item x="214"/>
        <item x="356"/>
        <item x="521"/>
        <item x="345"/>
        <item x="386"/>
        <item x="448"/>
        <item x="441"/>
        <item x="429"/>
        <item x="502"/>
        <item x="21"/>
        <item x="182"/>
        <item x="365"/>
        <item x="141"/>
        <item x="48"/>
        <item x="500"/>
        <item x="299"/>
        <item x="226"/>
        <item x="338"/>
        <item x="85"/>
        <item x="481"/>
        <item x="411"/>
        <item x="488"/>
        <item x="297"/>
        <item x="29"/>
        <item x="167"/>
        <item x="97"/>
        <item x="70"/>
        <item x="447"/>
        <item x="238"/>
        <item x="109"/>
        <item x="380"/>
        <item x="325"/>
        <item x="466"/>
        <item x="389"/>
        <item x="165"/>
        <item x="404"/>
        <item x="71"/>
        <item x="277"/>
        <item x="77"/>
        <item x="291"/>
        <item x="446"/>
        <item x="455"/>
        <item x="289"/>
        <item x="237"/>
        <item x="295"/>
        <item x="362"/>
        <item x="349"/>
        <item x="528"/>
        <item x="39"/>
        <item x="174"/>
        <item x="508"/>
        <item x="258"/>
        <item x="135"/>
        <item x="168"/>
        <item x="493"/>
        <item x="187"/>
        <item x="268"/>
        <item x="483"/>
        <item x="78"/>
        <item x="304"/>
        <item x="474"/>
        <item x="6"/>
        <item x="301"/>
        <item x="284"/>
        <item x="79"/>
        <item x="186"/>
        <item x="276"/>
        <item x="433"/>
        <item x="499"/>
        <item x="216"/>
        <item x="323"/>
        <item x="55"/>
        <item x="278"/>
        <item x="193"/>
        <item x="316"/>
        <item x="13"/>
        <item x="279"/>
        <item x="40"/>
        <item x="314"/>
        <item x="191"/>
        <item x="146"/>
        <item x="416"/>
        <item x="207"/>
        <item x="227"/>
        <item x="259"/>
        <item x="105"/>
        <item x="249"/>
        <item x="516"/>
        <item x="136"/>
        <item x="36"/>
        <item x="312"/>
        <item x="34"/>
        <item x="319"/>
        <item x="503"/>
        <item x="331"/>
        <item x="240"/>
        <item x="421"/>
        <item x="192"/>
        <item x="311"/>
        <item x="267"/>
        <item x="117"/>
        <item x="496"/>
        <item x="134"/>
        <item x="390"/>
        <item x="449"/>
        <item x="76"/>
        <item x="160"/>
        <item x="360"/>
        <item x="385"/>
        <item x="460"/>
        <item x="166"/>
        <item x="234"/>
        <item x="245"/>
        <item x="95"/>
        <item x="50"/>
        <item x="407"/>
        <item x="322"/>
        <item x="265"/>
        <item x="464"/>
        <item x="479"/>
        <item x="487"/>
        <item x="451"/>
        <item x="115"/>
        <item x="159"/>
        <item x="225"/>
        <item x="111"/>
        <item x="308"/>
        <item x="122"/>
        <item x="114"/>
        <item x="59"/>
        <item x="382"/>
        <item x="129"/>
        <item x="188"/>
        <item x="485"/>
        <item x="107"/>
        <item x="158"/>
        <item x="530"/>
        <item x="30"/>
        <item x="125"/>
        <item x="313"/>
        <item x="430"/>
        <item x="435"/>
        <item t="default"/>
      </items>
    </pivotField>
    <pivotField numFmtId="14" showAll="0"/>
    <pivotField numFmtId="165" showAll="0"/>
    <pivotField numFmtId="1" showAll="0"/>
    <pivotField showAll="0">
      <items count="8">
        <item x="0"/>
        <item x="5"/>
        <item x="3"/>
        <item x="1"/>
        <item x="4"/>
        <item x="6"/>
        <item x="2"/>
        <item t="default"/>
      </items>
    </pivotField>
    <pivotField numFmtId="1" showAll="0"/>
    <pivotField numFmtId="1" showAll="0"/>
    <pivotField showAll="0"/>
    <pivotField dataField="1" numFmtId="1" showAll="0"/>
    <pivotField dataField="1" numFmtId="1" showAll="0"/>
    <pivotField showAll="0">
      <items count="8">
        <item x="4"/>
        <item x="1"/>
        <item x="6"/>
        <item x="5"/>
        <item x="3"/>
        <item x="2"/>
        <item x="0"/>
        <item t="default"/>
      </items>
    </pivotField>
    <pivotField showAll="0"/>
    <pivotField showAll="0"/>
    <pivotField numFmtId="1" showAll="0">
      <items count="102">
        <item x="13"/>
        <item x="6"/>
        <item x="99"/>
        <item x="20"/>
        <item x="69"/>
        <item x="78"/>
        <item x="65"/>
        <item x="34"/>
        <item x="39"/>
        <item x="87"/>
        <item x="95"/>
        <item x="17"/>
        <item x="32"/>
        <item x="44"/>
        <item x="31"/>
        <item x="48"/>
        <item x="88"/>
        <item x="71"/>
        <item x="57"/>
        <item x="96"/>
        <item x="66"/>
        <item x="68"/>
        <item x="46"/>
        <item x="73"/>
        <item x="50"/>
        <item x="14"/>
        <item x="8"/>
        <item x="21"/>
        <item x="72"/>
        <item x="94"/>
        <item x="55"/>
        <item x="97"/>
        <item x="7"/>
        <item x="36"/>
        <item x="91"/>
        <item x="93"/>
        <item x="58"/>
        <item x="86"/>
        <item x="11"/>
        <item x="4"/>
        <item x="42"/>
        <item x="81"/>
        <item x="19"/>
        <item x="80"/>
        <item x="52"/>
        <item x="30"/>
        <item x="63"/>
        <item x="3"/>
        <item x="60"/>
        <item x="77"/>
        <item x="16"/>
        <item x="82"/>
        <item x="64"/>
        <item x="56"/>
        <item x="84"/>
        <item x="38"/>
        <item x="2"/>
        <item x="10"/>
        <item x="27"/>
        <item x="76"/>
        <item x="22"/>
        <item x="47"/>
        <item x="12"/>
        <item x="40"/>
        <item x="61"/>
        <item x="15"/>
        <item x="29"/>
        <item x="79"/>
        <item x="53"/>
        <item x="1"/>
        <item x="85"/>
        <item x="5"/>
        <item x="35"/>
        <item x="59"/>
        <item x="98"/>
        <item x="100"/>
        <item x="24"/>
        <item x="70"/>
        <item x="18"/>
        <item x="37"/>
        <item x="54"/>
        <item x="74"/>
        <item x="45"/>
        <item x="75"/>
        <item x="0"/>
        <item x="26"/>
        <item x="89"/>
        <item x="62"/>
        <item x="51"/>
        <item x="83"/>
        <item x="9"/>
        <item x="23"/>
        <item x="92"/>
        <item x="67"/>
        <item x="43"/>
        <item x="49"/>
        <item x="41"/>
        <item x="28"/>
        <item x="25"/>
        <item x="33"/>
        <item x="90"/>
        <item t="default"/>
      </items>
    </pivotField>
    <pivotField numFmtId="164" showAll="0"/>
    <pivotField showAll="0"/>
    <pivotField showAll="0"/>
    <pivotField numFmtId="1" showAll="0">
      <items count="925">
        <item x="820"/>
        <item x="647"/>
        <item x="269"/>
        <item x="416"/>
        <item x="448"/>
        <item x="701"/>
        <item x="5"/>
        <item x="919"/>
        <item x="73"/>
        <item x="680"/>
        <item x="640"/>
        <item x="290"/>
        <item x="407"/>
        <item x="395"/>
        <item x="423"/>
        <item x="272"/>
        <item x="409"/>
        <item x="332"/>
        <item x="422"/>
        <item x="205"/>
        <item x="150"/>
        <item x="609"/>
        <item x="565"/>
        <item x="435"/>
        <item x="206"/>
        <item x="180"/>
        <item x="125"/>
        <item x="509"/>
        <item x="203"/>
        <item x="323"/>
        <item x="342"/>
        <item x="314"/>
        <item x="718"/>
        <item x="761"/>
        <item x="858"/>
        <item x="432"/>
        <item x="592"/>
        <item x="141"/>
        <item x="459"/>
        <item x="11"/>
        <item x="175"/>
        <item x="174"/>
        <item x="528"/>
        <item x="786"/>
        <item x="705"/>
        <item x="394"/>
        <item x="229"/>
        <item x="207"/>
        <item x="883"/>
        <item x="86"/>
        <item x="532"/>
        <item x="451"/>
        <item x="374"/>
        <item x="878"/>
        <item x="833"/>
        <item x="700"/>
        <item x="526"/>
        <item x="22"/>
        <item x="292"/>
        <item x="246"/>
        <item x="494"/>
        <item x="679"/>
        <item x="601"/>
        <item x="367"/>
        <item x="399"/>
        <item x="337"/>
        <item x="8"/>
        <item x="677"/>
        <item x="401"/>
        <item x="68"/>
        <item x="66"/>
        <item x="468"/>
        <item x="260"/>
        <item x="517"/>
        <item x="729"/>
        <item x="277"/>
        <item x="502"/>
        <item x="650"/>
        <item x="866"/>
        <item x="627"/>
        <item x="612"/>
        <item x="462"/>
        <item x="415"/>
        <item x="660"/>
        <item x="67"/>
        <item x="489"/>
        <item x="238"/>
        <item x="775"/>
        <item x="678"/>
        <item x="768"/>
        <item x="51"/>
        <item x="181"/>
        <item x="893"/>
        <item x="157"/>
        <item x="607"/>
        <item x="46"/>
        <item x="482"/>
        <item x="241"/>
        <item x="156"/>
        <item x="127"/>
        <item x="153"/>
        <item x="550"/>
        <item x="280"/>
        <item x="515"/>
        <item x="805"/>
        <item x="554"/>
        <item x="512"/>
        <item x="450"/>
        <item x="479"/>
        <item x="88"/>
        <item x="698"/>
        <item x="389"/>
        <item x="90"/>
        <item x="44"/>
        <item x="320"/>
        <item x="340"/>
        <item x="308"/>
        <item x="800"/>
        <item x="122"/>
        <item x="321"/>
        <item x="431"/>
        <item x="785"/>
        <item x="15"/>
        <item x="222"/>
        <item x="94"/>
        <item x="10"/>
        <item x="559"/>
        <item x="588"/>
        <item x="553"/>
        <item x="210"/>
        <item x="237"/>
        <item x="441"/>
        <item x="434"/>
        <item x="755"/>
        <item x="235"/>
        <item x="117"/>
        <item x="474"/>
        <item x="160"/>
        <item x="587"/>
        <item x="257"/>
        <item x="318"/>
        <item x="457"/>
        <item x="492"/>
        <item x="6"/>
        <item x="491"/>
        <item x="499"/>
        <item x="728"/>
        <item x="906"/>
        <item x="692"/>
        <item x="356"/>
        <item x="816"/>
        <item x="31"/>
        <item x="719"/>
        <item x="58"/>
        <item x="309"/>
        <item x="822"/>
        <item x="651"/>
        <item x="37"/>
        <item x="889"/>
        <item x="764"/>
        <item x="516"/>
        <item x="655"/>
        <item x="819"/>
        <item x="633"/>
        <item x="696"/>
        <item x="577"/>
        <item x="726"/>
        <item x="518"/>
        <item x="147"/>
        <item x="463"/>
        <item x="618"/>
        <item x="335"/>
        <item x="848"/>
        <item x="212"/>
        <item x="75"/>
        <item x="165"/>
        <item x="115"/>
        <item x="709"/>
        <item x="739"/>
        <item x="211"/>
        <item x="3"/>
        <item x="868"/>
        <item x="467"/>
        <item x="376"/>
        <item x="61"/>
        <item x="225"/>
        <item x="495"/>
        <item x="784"/>
        <item x="254"/>
        <item x="799"/>
        <item x="259"/>
        <item x="725"/>
        <item x="888"/>
        <item x="403"/>
        <item x="567"/>
        <item x="281"/>
        <item x="908"/>
        <item x="142"/>
        <item x="546"/>
        <item x="188"/>
        <item x="14"/>
        <item x="464"/>
        <item x="184"/>
        <item x="200"/>
        <item x="751"/>
        <item x="541"/>
        <item x="600"/>
        <item x="311"/>
        <item x="319"/>
        <item x="544"/>
        <item x="63"/>
        <item x="265"/>
        <item x="295"/>
        <item x="896"/>
        <item x="746"/>
        <item x="192"/>
        <item x="620"/>
        <item x="62"/>
        <item x="17"/>
        <item x="596"/>
        <item x="132"/>
        <item x="839"/>
        <item x="285"/>
        <item x="414"/>
        <item x="591"/>
        <item x="684"/>
        <item x="689"/>
        <item x="406"/>
        <item x="796"/>
        <item x="804"/>
        <item x="91"/>
        <item x="687"/>
        <item x="824"/>
        <item x="625"/>
        <item x="897"/>
        <item x="575"/>
        <item x="628"/>
        <item x="676"/>
        <item x="387"/>
        <item x="498"/>
        <item x="446"/>
        <item x="576"/>
        <item x="49"/>
        <item x="381"/>
        <item x="769"/>
        <item x="703"/>
        <item x="593"/>
        <item x="433"/>
        <item x="548"/>
        <item x="674"/>
        <item x="616"/>
        <item x="78"/>
        <item x="864"/>
        <item x="551"/>
        <item x="801"/>
        <item x="358"/>
        <item x="776"/>
        <item x="857"/>
        <item x="120"/>
        <item x="444"/>
        <item x="844"/>
        <item x="606"/>
        <item x="594"/>
        <item x="733"/>
        <item x="388"/>
        <item x="777"/>
        <item x="187"/>
        <item x="555"/>
        <item x="24"/>
        <item x="566"/>
        <item x="712"/>
        <item x="828"/>
        <item x="317"/>
        <item x="158"/>
        <item x="313"/>
        <item x="339"/>
        <item x="438"/>
        <item x="392"/>
        <item x="244"/>
        <item x="652"/>
        <item x="297"/>
        <item x="378"/>
        <item x="177"/>
        <item x="386"/>
        <item x="779"/>
        <item x="558"/>
        <item x="811"/>
        <item x="228"/>
        <item x="657"/>
        <item x="439"/>
        <item x="621"/>
        <item x="867"/>
        <item x="590"/>
        <item x="312"/>
        <item x="440"/>
        <item x="74"/>
        <item x="329"/>
        <item x="266"/>
        <item x="429"/>
        <item x="580"/>
        <item x="110"/>
        <item x="542"/>
        <item x="853"/>
        <item x="860"/>
        <item x="879"/>
        <item x="331"/>
        <item x="293"/>
        <item x="282"/>
        <item x="12"/>
        <item x="735"/>
        <item x="326"/>
        <item x="595"/>
        <item x="136"/>
        <item x="40"/>
        <item x="408"/>
        <item x="48"/>
        <item x="634"/>
        <item x="791"/>
        <item x="236"/>
        <item x="220"/>
        <item x="179"/>
        <item x="497"/>
        <item x="345"/>
        <item x="681"/>
        <item x="648"/>
        <item x="907"/>
        <item x="905"/>
        <item x="862"/>
        <item x="26"/>
        <item x="81"/>
        <item x="535"/>
        <item x="798"/>
        <item x="186"/>
        <item x="2"/>
        <item x="827"/>
        <item x="699"/>
        <item x="597"/>
        <item x="900"/>
        <item x="413"/>
        <item x="65"/>
        <item x="578"/>
        <item x="50"/>
        <item x="129"/>
        <item x="330"/>
        <item x="418"/>
        <item x="224"/>
        <item x="56"/>
        <item x="102"/>
        <item x="752"/>
        <item x="500"/>
        <item x="797"/>
        <item x="870"/>
        <item x="626"/>
        <item x="720"/>
        <item x="398"/>
        <item x="802"/>
        <item x="4"/>
        <item x="370"/>
        <item x="649"/>
        <item x="279"/>
        <item x="821"/>
        <item x="133"/>
        <item x="641"/>
        <item x="25"/>
        <item x="193"/>
        <item x="569"/>
        <item x="871"/>
        <item x="373"/>
        <item x="274"/>
        <item x="530"/>
        <item x="646"/>
        <item x="793"/>
        <item x="64"/>
        <item x="305"/>
        <item x="713"/>
        <item x="404"/>
        <item x="194"/>
        <item x="166"/>
        <item x="103"/>
        <item x="197"/>
        <item x="818"/>
        <item x="283"/>
        <item x="223"/>
        <item x="899"/>
        <item x="922"/>
        <item x="671"/>
        <item x="581"/>
        <item x="152"/>
        <item x="708"/>
        <item x="714"/>
        <item x="334"/>
        <item x="145"/>
        <item x="355"/>
        <item x="505"/>
        <item x="472"/>
        <item x="724"/>
        <item x="744"/>
        <item x="351"/>
        <item x="146"/>
        <item x="911"/>
        <item x="465"/>
        <item x="851"/>
        <item x="470"/>
        <item x="456"/>
        <item x="226"/>
        <item x="521"/>
        <item x="727"/>
        <item x="352"/>
        <item x="471"/>
        <item x="372"/>
        <item x="854"/>
        <item x="402"/>
        <item x="658"/>
        <item x="885"/>
        <item x="672"/>
        <item x="740"/>
        <item x="823"/>
        <item x="377"/>
        <item x="124"/>
        <item x="661"/>
        <item x="82"/>
        <item x="547"/>
        <item x="232"/>
        <item x="863"/>
        <item x="562"/>
        <item x="149"/>
        <item x="261"/>
        <item x="234"/>
        <item x="789"/>
        <item x="665"/>
        <item x="199"/>
        <item x="656"/>
        <item x="610"/>
        <item x="901"/>
        <item x="1"/>
        <item x="255"/>
        <item x="36"/>
        <item x="845"/>
        <item x="787"/>
        <item x="189"/>
        <item x="877"/>
        <item x="694"/>
        <item x="855"/>
        <item x="881"/>
        <item x="856"/>
        <item x="704"/>
        <item x="369"/>
        <item x="673"/>
        <item x="173"/>
        <item x="123"/>
        <item x="353"/>
        <item x="503"/>
        <item x="393"/>
        <item x="306"/>
        <item x="85"/>
        <item x="230"/>
        <item x="169"/>
        <item x="196"/>
        <item x="478"/>
        <item x="23"/>
        <item x="536"/>
        <item x="39"/>
        <item x="302"/>
        <item x="490"/>
        <item x="890"/>
        <item x="461"/>
        <item x="348"/>
        <item x="579"/>
        <item x="750"/>
        <item x="382"/>
        <item x="915"/>
        <item x="667"/>
        <item x="424"/>
        <item x="154"/>
        <item x="850"/>
        <item x="872"/>
        <item x="106"/>
        <item x="757"/>
        <item x="738"/>
        <item x="693"/>
        <item x="832"/>
        <item x="239"/>
        <item x="903"/>
        <item x="572"/>
        <item x="248"/>
        <item x="215"/>
        <item x="614"/>
        <item x="666"/>
        <item x="636"/>
        <item x="419"/>
        <item x="216"/>
        <item x="275"/>
        <item x="185"/>
        <item x="198"/>
        <item x="34"/>
        <item x="806"/>
        <item x="586"/>
        <item x="291"/>
        <item x="163"/>
        <item x="582"/>
        <item x="643"/>
        <item x="139"/>
        <item x="758"/>
        <item x="322"/>
        <item x="537"/>
        <item x="262"/>
        <item x="894"/>
        <item x="263"/>
        <item x="436"/>
        <item x="561"/>
        <item x="425"/>
        <item x="38"/>
        <item x="137"/>
        <item x="895"/>
        <item x="428"/>
        <item x="773"/>
        <item x="209"/>
        <item x="485"/>
        <item x="107"/>
        <item x="734"/>
        <item x="794"/>
        <item x="349"/>
        <item x="396"/>
        <item x="116"/>
        <item x="27"/>
        <item x="501"/>
        <item x="765"/>
        <item x="35"/>
        <item x="221"/>
        <item x="513"/>
        <item x="347"/>
        <item x="126"/>
        <item x="762"/>
        <item x="568"/>
        <item x="481"/>
        <item x="560"/>
        <item x="604"/>
        <item x="258"/>
        <item x="178"/>
        <item x="84"/>
        <item x="686"/>
        <item x="303"/>
        <item x="916"/>
        <item x="108"/>
        <item x="7"/>
        <item x="98"/>
        <item x="483"/>
        <item x="605"/>
        <item x="0"/>
        <item x="529"/>
        <item x="843"/>
        <item x="245"/>
        <item x="364"/>
        <item x="921"/>
        <item x="213"/>
        <item x="836"/>
        <item x="447"/>
        <item x="96"/>
        <item x="100"/>
        <item x="201"/>
        <item x="826"/>
        <item x="195"/>
        <item x="617"/>
        <item x="243"/>
        <item x="77"/>
        <item x="695"/>
        <item x="599"/>
        <item x="362"/>
        <item x="736"/>
        <item x="707"/>
        <item x="570"/>
        <item x="639"/>
        <item x="400"/>
        <item x="270"/>
        <item x="268"/>
        <item x="171"/>
        <item x="803"/>
        <item x="688"/>
        <item x="359"/>
        <item x="742"/>
        <item x="771"/>
        <item x="286"/>
        <item x="138"/>
        <item x="183"/>
        <item x="706"/>
        <item x="645"/>
        <item x="760"/>
        <item x="912"/>
        <item x="837"/>
        <item x="449"/>
        <item x="72"/>
        <item x="721"/>
        <item x="874"/>
        <item x="327"/>
        <item x="520"/>
        <item x="574"/>
        <item x="299"/>
        <item x="838"/>
        <item x="741"/>
        <item x="583"/>
        <item x="458"/>
        <item x="114"/>
        <item x="831"/>
        <item x="251"/>
        <item x="635"/>
        <item x="923"/>
        <item x="460"/>
        <item x="523"/>
        <item x="316"/>
        <item x="556"/>
        <item x="506"/>
        <item x="105"/>
        <item x="93"/>
        <item x="898"/>
        <item x="914"/>
        <item x="164"/>
        <item x="715"/>
        <item x="745"/>
        <item x="383"/>
        <item x="135"/>
        <item x="527"/>
        <item x="325"/>
        <item x="589"/>
        <item x="227"/>
        <item x="252"/>
        <item x="585"/>
        <item x="814"/>
        <item x="514"/>
        <item x="869"/>
        <item x="101"/>
        <item x="182"/>
        <item x="780"/>
        <item x="564"/>
        <item x="603"/>
        <item x="662"/>
        <item x="882"/>
        <item x="508"/>
        <item x="300"/>
        <item x="52"/>
        <item x="454"/>
        <item x="859"/>
        <item x="737"/>
        <item x="391"/>
        <item x="730"/>
        <item x="507"/>
        <item x="32"/>
        <item x="42"/>
        <item x="28"/>
        <item x="829"/>
        <item x="92"/>
        <item x="770"/>
        <item x="475"/>
        <item x="410"/>
        <item x="563"/>
        <item x="57"/>
        <item x="807"/>
        <item x="522"/>
        <item x="493"/>
        <item x="267"/>
        <item x="118"/>
        <item x="637"/>
        <item x="611"/>
        <item x="812"/>
        <item x="631"/>
        <item x="861"/>
        <item x="452"/>
        <item x="80"/>
        <item x="365"/>
        <item x="682"/>
        <item x="717"/>
        <item x="363"/>
        <item x="278"/>
        <item x="130"/>
        <item x="143"/>
        <item x="817"/>
        <item x="886"/>
        <item x="121"/>
        <item x="128"/>
        <item x="842"/>
        <item x="20"/>
        <item x="813"/>
        <item x="690"/>
        <item x="759"/>
        <item x="45"/>
        <item x="778"/>
        <item x="112"/>
        <item x="55"/>
        <item x="638"/>
        <item x="716"/>
        <item x="790"/>
        <item x="144"/>
        <item x="83"/>
        <item x="202"/>
        <item x="788"/>
        <item x="552"/>
        <item x="301"/>
        <item x="722"/>
        <item x="109"/>
        <item x="477"/>
        <item x="624"/>
        <item x="756"/>
        <item x="743"/>
        <item x="504"/>
        <item x="918"/>
        <item x="233"/>
        <item x="711"/>
        <item x="95"/>
        <item x="663"/>
        <item x="747"/>
        <item x="466"/>
        <item x="405"/>
        <item x="421"/>
        <item x="753"/>
        <item x="13"/>
        <item x="473"/>
        <item x="390"/>
        <item x="772"/>
        <item x="622"/>
        <item x="249"/>
        <item x="774"/>
        <item x="217"/>
        <item x="328"/>
        <item x="543"/>
        <item x="702"/>
        <item x="841"/>
        <item x="338"/>
        <item x="763"/>
        <item x="455"/>
        <item x="781"/>
        <item x="276"/>
        <item x="9"/>
        <item x="247"/>
        <item x="691"/>
        <item x="809"/>
        <item x="782"/>
        <item x="849"/>
        <item x="214"/>
        <item x="476"/>
        <item x="104"/>
        <item x="71"/>
        <item x="664"/>
        <item x="134"/>
        <item x="29"/>
        <item x="87"/>
        <item x="191"/>
        <item x="70"/>
        <item x="155"/>
        <item x="161"/>
        <item x="368"/>
        <item x="910"/>
        <item x="538"/>
        <item x="453"/>
        <item x="510"/>
        <item x="250"/>
        <item x="357"/>
        <item x="384"/>
        <item x="140"/>
        <item x="524"/>
        <item x="41"/>
        <item x="917"/>
        <item x="208"/>
        <item x="346"/>
        <item x="336"/>
        <item x="913"/>
        <item x="47"/>
        <item x="668"/>
        <item x="69"/>
        <item x="488"/>
        <item x="539"/>
        <item x="808"/>
        <item x="99"/>
        <item x="16"/>
        <item x="710"/>
        <item x="525"/>
        <item x="445"/>
        <item x="354"/>
        <item x="887"/>
        <item x="602"/>
        <item x="380"/>
        <item x="835"/>
        <item x="304"/>
        <item x="30"/>
        <item x="288"/>
        <item x="519"/>
        <item x="19"/>
        <item x="549"/>
        <item x="557"/>
        <item x="307"/>
        <item x="669"/>
        <item x="426"/>
        <item x="420"/>
        <item x="371"/>
        <item x="148"/>
        <item x="33"/>
        <item x="767"/>
        <item x="810"/>
        <item x="615"/>
        <item x="875"/>
        <item x="846"/>
        <item x="119"/>
        <item x="573"/>
        <item x="659"/>
        <item x="670"/>
        <item x="315"/>
        <item x="385"/>
        <item x="242"/>
        <item x="231"/>
        <item x="654"/>
        <item x="748"/>
        <item x="865"/>
        <item x="350"/>
        <item x="511"/>
        <item x="333"/>
        <item x="815"/>
        <item x="131"/>
        <item x="253"/>
        <item x="412"/>
        <item x="884"/>
        <item x="443"/>
        <item x="486"/>
        <item x="685"/>
        <item x="190"/>
        <item x="598"/>
        <item x="731"/>
        <item x="873"/>
        <item x="176"/>
        <item x="298"/>
        <item x="341"/>
        <item x="168"/>
        <item x="531"/>
        <item x="79"/>
        <item x="754"/>
        <item x="783"/>
        <item x="264"/>
        <item x="792"/>
        <item x="540"/>
        <item x="170"/>
        <item x="909"/>
        <item x="830"/>
        <item x="545"/>
        <item x="43"/>
        <item x="619"/>
        <item x="795"/>
        <item x="840"/>
        <item x="294"/>
        <item x="375"/>
        <item x="629"/>
        <item x="296"/>
        <item x="487"/>
        <item x="891"/>
        <item x="361"/>
        <item x="310"/>
        <item x="324"/>
        <item x="427"/>
        <item x="902"/>
        <item x="749"/>
        <item x="379"/>
        <item x="271"/>
        <item x="825"/>
        <item x="60"/>
        <item x="21"/>
        <item x="289"/>
        <item x="366"/>
        <item x="766"/>
        <item x="273"/>
        <item x="76"/>
        <item x="256"/>
        <item x="97"/>
        <item x="89"/>
        <item x="167"/>
        <item x="442"/>
        <item x="904"/>
        <item x="533"/>
        <item x="623"/>
        <item x="642"/>
        <item x="18"/>
        <item x="54"/>
        <item x="653"/>
        <item x="53"/>
        <item x="480"/>
        <item x="218"/>
        <item x="113"/>
        <item x="852"/>
        <item x="287"/>
        <item x="59"/>
        <item x="920"/>
        <item x="240"/>
        <item x="892"/>
        <item x="484"/>
        <item x="632"/>
        <item x="411"/>
        <item x="159"/>
        <item x="360"/>
        <item x="219"/>
        <item x="697"/>
        <item x="630"/>
        <item x="876"/>
        <item x="417"/>
        <item x="723"/>
        <item x="880"/>
        <item x="613"/>
        <item x="162"/>
        <item x="204"/>
        <item x="437"/>
        <item x="608"/>
        <item x="111"/>
        <item x="284"/>
        <item x="344"/>
        <item x="534"/>
        <item x="343"/>
        <item x="675"/>
        <item x="469"/>
        <item x="644"/>
        <item x="151"/>
        <item x="430"/>
        <item x="683"/>
        <item x="847"/>
        <item x="397"/>
        <item x="584"/>
        <item x="172"/>
        <item x="496"/>
        <item x="834"/>
        <item x="732"/>
        <item x="571"/>
        <item t="default"/>
      </items>
    </pivotField>
    <pivotField showAll="0"/>
    <pivotField axis="axisRow" showAll="0">
      <items count="6">
        <item x="2"/>
        <item x="1"/>
        <item x="0"/>
        <item x="3"/>
        <item x="4"/>
        <item t="default"/>
      </items>
    </pivotField>
    <pivotField showAll="0"/>
    <pivotField numFmtId="1" showAll="0"/>
    <pivotField showAll="0" nonAutoSortDefault="1">
      <items count="4">
        <item x="0"/>
        <item x="1"/>
        <item x="2"/>
        <item t="default"/>
      </items>
    </pivotField>
    <pivotField numFmtId="164" showAll="0"/>
    <pivotField showAll="0"/>
    <pivotField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6">
        <item x="0"/>
        <item x="1"/>
        <item x="2"/>
        <item x="3"/>
        <item x="4"/>
        <item t="default"/>
      </items>
    </pivotField>
    <pivotField showAll="0">
      <items count="6">
        <item x="0"/>
        <item x="1"/>
        <item x="2"/>
        <item x="3"/>
        <item x="4"/>
        <item t="default"/>
      </items>
    </pivotField>
  </pivotFields>
  <rowFields count="1">
    <field x="21"/>
  </rowFields>
  <rowItems count="6">
    <i>
      <x/>
    </i>
    <i>
      <x v="1"/>
    </i>
    <i>
      <x v="2"/>
    </i>
    <i>
      <x v="3"/>
    </i>
    <i>
      <x v="4"/>
    </i>
    <i t="grand">
      <x/>
    </i>
  </rowItems>
  <colFields count="1">
    <field x="-2"/>
  </colFields>
  <colItems count="2">
    <i>
      <x/>
    </i>
    <i i="1">
      <x v="1"/>
    </i>
  </colItems>
  <dataFields count="2">
    <dataField name="No. of Movies Watched" fld="10" subtotal="average" baseField="21" baseItem="0" numFmtId="1"/>
    <dataField name="No. of Series Watched " fld="11" subtotal="average" baseField="21" baseItem="0" numFmtId="1"/>
  </dataFields>
  <formats count="16">
    <format dxfId="55">
      <pivotArea type="all" dataOnly="0" outline="0" fieldPosition="0"/>
    </format>
    <format dxfId="54">
      <pivotArea outline="0" collapsedLevelsAreSubtotals="1" fieldPosition="0"/>
    </format>
    <format dxfId="53">
      <pivotArea field="24" type="button" dataOnly="0" labelOnly="1" outline="0"/>
    </format>
    <format dxfId="52">
      <pivotArea dataOnly="0" labelOnly="1" grandRow="1" outline="0" fieldPosition="0"/>
    </format>
    <format dxfId="51">
      <pivotArea type="all" dataOnly="0" outline="0" fieldPosition="0"/>
    </format>
    <format dxfId="50">
      <pivotArea outline="0" collapsedLevelsAreSubtotals="1" fieldPosition="0"/>
    </format>
    <format dxfId="49">
      <pivotArea field="24" type="button" dataOnly="0" labelOnly="1" outline="0"/>
    </format>
    <format dxfId="48">
      <pivotArea dataOnly="0" labelOnly="1" grandRow="1" outline="0" fieldPosition="0"/>
    </format>
    <format dxfId="47">
      <pivotArea type="all" dataOnly="0" outline="0" fieldPosition="0"/>
    </format>
    <format dxfId="46">
      <pivotArea outline="0" collapsedLevelsAreSubtotals="1" fieldPosition="0"/>
    </format>
    <format dxfId="45">
      <pivotArea field="24" type="button" dataOnly="0" labelOnly="1" outline="0"/>
    </format>
    <format dxfId="44">
      <pivotArea dataOnly="0" labelOnly="1" grandRow="1" outline="0" fieldPosition="0"/>
    </format>
    <format dxfId="43">
      <pivotArea field="21" type="button" dataOnly="0" labelOnly="1" outline="0" axis="axisRow" fieldPosition="0"/>
    </format>
    <format dxfId="42">
      <pivotArea field="21" type="button" dataOnly="0" labelOnly="1" outline="0" axis="axisRow" fieldPosition="0"/>
    </format>
    <format dxfId="41">
      <pivotArea dataOnly="0" labelOnly="1" outline="0" fieldPosition="0">
        <references count="1">
          <reference field="4294967294" count="2">
            <x v="0"/>
            <x v="1"/>
          </reference>
        </references>
      </pivotArea>
    </format>
    <format dxfId="40">
      <pivotArea dataOnly="0" labelOnly="1" outline="0" fieldPosition="0">
        <references count="1">
          <reference field="4294967294" count="2">
            <x v="0"/>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AEE7DB-E375-470D-9681-29CAA5A31127}" name="5. Payment Preferences &amp; Regional Trends 1.2" cacheId="0"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8" rowHeaderCaption="Country Name">
  <location ref="AJ18:AM27" firstHeaderRow="1" firstDataRow="2" firstDataCol="1"/>
  <pivotFields count="34">
    <pivotField dataField="1" numFmtId="1" showAll="0"/>
    <pivotField showAll="0"/>
    <pivotField numFmtId="14" showAll="0">
      <items count="538">
        <item x="91"/>
        <item x="302"/>
        <item x="102"/>
        <item x="424"/>
        <item x="54"/>
        <item x="127"/>
        <item x="51"/>
        <item x="274"/>
        <item x="137"/>
        <item x="53"/>
        <item x="201"/>
        <item x="417"/>
        <item x="218"/>
        <item x="228"/>
        <item x="374"/>
        <item x="524"/>
        <item x="484"/>
        <item x="514"/>
        <item x="470"/>
        <item x="513"/>
        <item x="333"/>
        <item x="463"/>
        <item x="368"/>
        <item x="222"/>
        <item x="176"/>
        <item x="119"/>
        <item x="255"/>
        <item x="270"/>
        <item x="281"/>
        <item x="251"/>
        <item x="344"/>
        <item x="497"/>
        <item x="3"/>
        <item x="200"/>
        <item x="58"/>
        <item x="504"/>
        <item x="86"/>
        <item x="147"/>
        <item x="116"/>
        <item x="224"/>
        <item x="359"/>
        <item x="478"/>
        <item x="440"/>
        <item x="16"/>
        <item x="242"/>
        <item x="471"/>
        <item x="100"/>
        <item x="507"/>
        <item x="65"/>
        <item x="128"/>
        <item x="233"/>
        <item x="131"/>
        <item x="217"/>
        <item x="152"/>
        <item x="372"/>
        <item x="62"/>
        <item x="397"/>
        <item x="393"/>
        <item x="204"/>
        <item x="364"/>
        <item x="139"/>
        <item x="112"/>
        <item x="253"/>
        <item x="475"/>
        <item x="518"/>
        <item x="151"/>
        <item x="378"/>
        <item x="264"/>
        <item x="123"/>
        <item x="269"/>
        <item x="353"/>
        <item x="453"/>
        <item x="45"/>
        <item x="47"/>
        <item x="12"/>
        <item x="10"/>
        <item x="361"/>
        <item x="108"/>
        <item x="1"/>
        <item x="42"/>
        <item x="408"/>
        <item x="428"/>
        <item x="334"/>
        <item x="367"/>
        <item x="459"/>
        <item x="275"/>
        <item x="64"/>
        <item x="410"/>
        <item x="90"/>
        <item x="505"/>
        <item x="241"/>
        <item x="154"/>
        <item x="336"/>
        <item x="306"/>
        <item x="232"/>
        <item x="211"/>
        <item x="413"/>
        <item x="44"/>
        <item x="491"/>
        <item x="494"/>
        <item x="80"/>
        <item x="427"/>
        <item x="124"/>
        <item x="132"/>
        <item x="400"/>
        <item x="324"/>
        <item x="177"/>
        <item x="480"/>
        <item x="130"/>
        <item x="172"/>
        <item x="0"/>
        <item x="190"/>
        <item x="315"/>
        <item x="366"/>
        <item x="392"/>
        <item x="282"/>
        <item x="181"/>
        <item x="194"/>
        <item x="318"/>
        <item x="266"/>
        <item x="369"/>
        <item x="461"/>
        <item x="230"/>
        <item x="532"/>
        <item x="257"/>
        <item x="178"/>
        <item x="17"/>
        <item x="469"/>
        <item x="351"/>
        <item x="4"/>
        <item x="14"/>
        <item x="173"/>
        <item x="148"/>
        <item x="175"/>
        <item x="405"/>
        <item x="339"/>
        <item x="509"/>
        <item x="8"/>
        <item x="156"/>
        <item x="25"/>
        <item x="98"/>
        <item x="519"/>
        <item x="31"/>
        <item x="391"/>
        <item x="60"/>
        <item x="506"/>
        <item x="220"/>
        <item x="434"/>
        <item x="454"/>
        <item x="19"/>
        <item x="164"/>
        <item x="402"/>
        <item x="373"/>
        <item x="273"/>
        <item x="294"/>
        <item x="199"/>
        <item x="20"/>
        <item x="41"/>
        <item x="476"/>
        <item x="244"/>
        <item x="510"/>
        <item x="94"/>
        <item x="468"/>
        <item x="229"/>
        <item x="49"/>
        <item x="239"/>
        <item x="395"/>
        <item x="68"/>
        <item x="2"/>
        <item x="88"/>
        <item x="250"/>
        <item x="236"/>
        <item x="101"/>
        <item x="436"/>
        <item x="247"/>
        <item x="260"/>
        <item x="189"/>
        <item x="515"/>
        <item x="183"/>
        <item x="37"/>
        <item x="75"/>
        <item x="398"/>
        <item x="482"/>
        <item x="335"/>
        <item x="330"/>
        <item x="511"/>
        <item x="296"/>
        <item x="208"/>
        <item x="213"/>
        <item x="399"/>
        <item x="46"/>
        <item x="206"/>
        <item x="288"/>
        <item x="133"/>
        <item x="69"/>
        <item x="457"/>
        <item x="197"/>
        <item x="409"/>
        <item x="337"/>
        <item x="84"/>
        <item x="486"/>
        <item x="383"/>
        <item x="35"/>
        <item x="442"/>
        <item x="5"/>
        <item x="381"/>
        <item x="293"/>
        <item x="18"/>
        <item x="467"/>
        <item x="23"/>
        <item x="425"/>
        <item x="162"/>
        <item x="423"/>
        <item x="332"/>
        <item x="271"/>
        <item x="106"/>
        <item x="346"/>
        <item x="113"/>
        <item x="477"/>
        <item x="437"/>
        <item x="422"/>
        <item x="57"/>
        <item x="67"/>
        <item x="223"/>
        <item x="153"/>
        <item x="140"/>
        <item x="87"/>
        <item x="82"/>
        <item x="231"/>
        <item x="73"/>
        <item x="501"/>
        <item x="305"/>
        <item x="89"/>
        <item x="431"/>
        <item x="340"/>
        <item x="143"/>
        <item x="456"/>
        <item x="472"/>
        <item x="341"/>
        <item x="298"/>
        <item x="529"/>
        <item x="326"/>
        <item x="212"/>
        <item x="195"/>
        <item x="347"/>
        <item x="462"/>
        <item x="196"/>
        <item x="22"/>
        <item x="388"/>
        <item x="534"/>
        <item x="120"/>
        <item x="536"/>
        <item x="66"/>
        <item x="32"/>
        <item x="517"/>
        <item x="285"/>
        <item x="9"/>
        <item x="492"/>
        <item x="170"/>
        <item x="72"/>
        <item x="327"/>
        <item x="96"/>
        <item x="184"/>
        <item x="329"/>
        <item x="371"/>
        <item x="320"/>
        <item x="342"/>
        <item x="377"/>
        <item x="452"/>
        <item x="527"/>
        <item x="81"/>
        <item x="56"/>
        <item x="418"/>
        <item x="406"/>
        <item x="262"/>
        <item x="522"/>
        <item x="209"/>
        <item x="263"/>
        <item x="61"/>
        <item x="307"/>
        <item x="74"/>
        <item x="357"/>
        <item x="286"/>
        <item x="205"/>
        <item x="261"/>
        <item x="443"/>
        <item x="414"/>
        <item x="203"/>
        <item x="33"/>
        <item x="126"/>
        <item x="248"/>
        <item x="142"/>
        <item x="280"/>
        <item x="394"/>
        <item x="287"/>
        <item x="243"/>
        <item x="110"/>
        <item x="317"/>
        <item x="303"/>
        <item x="161"/>
        <item x="489"/>
        <item x="215"/>
        <item x="27"/>
        <item x="144"/>
        <item x="121"/>
        <item x="246"/>
        <item x="321"/>
        <item x="163"/>
        <item x="525"/>
        <item x="104"/>
        <item x="415"/>
        <item x="92"/>
        <item x="419"/>
        <item x="38"/>
        <item x="438"/>
        <item x="309"/>
        <item x="150"/>
        <item x="473"/>
        <item x="171"/>
        <item x="155"/>
        <item x="348"/>
        <item x="198"/>
        <item x="185"/>
        <item x="387"/>
        <item x="83"/>
        <item x="426"/>
        <item x="11"/>
        <item x="103"/>
        <item x="375"/>
        <item x="354"/>
        <item x="495"/>
        <item x="219"/>
        <item x="498"/>
        <item x="432"/>
        <item x="531"/>
        <item x="252"/>
        <item x="63"/>
        <item x="99"/>
        <item x="355"/>
        <item x="328"/>
        <item x="358"/>
        <item x="202"/>
        <item x="180"/>
        <item x="157"/>
        <item x="28"/>
        <item x="379"/>
        <item x="444"/>
        <item x="445"/>
        <item x="138"/>
        <item x="533"/>
        <item x="52"/>
        <item x="450"/>
        <item x="412"/>
        <item x="43"/>
        <item x="420"/>
        <item x="272"/>
        <item x="370"/>
        <item x="526"/>
        <item x="290"/>
        <item x="292"/>
        <item x="283"/>
        <item x="300"/>
        <item x="343"/>
        <item x="384"/>
        <item x="210"/>
        <item x="535"/>
        <item x="145"/>
        <item x="401"/>
        <item x="523"/>
        <item x="403"/>
        <item x="179"/>
        <item x="350"/>
        <item x="169"/>
        <item x="512"/>
        <item x="439"/>
        <item x="310"/>
        <item x="256"/>
        <item x="235"/>
        <item x="376"/>
        <item x="363"/>
        <item x="396"/>
        <item x="24"/>
        <item x="254"/>
        <item x="15"/>
        <item x="149"/>
        <item x="26"/>
        <item x="465"/>
        <item x="458"/>
        <item x="520"/>
        <item x="490"/>
        <item x="352"/>
        <item x="118"/>
        <item x="7"/>
        <item x="93"/>
        <item x="221"/>
        <item x="214"/>
        <item x="356"/>
        <item x="521"/>
        <item x="345"/>
        <item x="386"/>
        <item x="448"/>
        <item x="441"/>
        <item x="429"/>
        <item x="502"/>
        <item x="21"/>
        <item x="182"/>
        <item x="365"/>
        <item x="141"/>
        <item x="48"/>
        <item x="500"/>
        <item x="299"/>
        <item x="226"/>
        <item x="338"/>
        <item x="85"/>
        <item x="481"/>
        <item x="411"/>
        <item x="488"/>
        <item x="297"/>
        <item x="29"/>
        <item x="167"/>
        <item x="97"/>
        <item x="70"/>
        <item x="447"/>
        <item x="238"/>
        <item x="109"/>
        <item x="380"/>
        <item x="325"/>
        <item x="466"/>
        <item x="389"/>
        <item x="165"/>
        <item x="404"/>
        <item x="71"/>
        <item x="277"/>
        <item x="77"/>
        <item x="291"/>
        <item x="446"/>
        <item x="455"/>
        <item x="289"/>
        <item x="237"/>
        <item x="295"/>
        <item x="362"/>
        <item x="349"/>
        <item x="528"/>
        <item x="39"/>
        <item x="174"/>
        <item x="508"/>
        <item x="258"/>
        <item x="135"/>
        <item x="168"/>
        <item x="493"/>
        <item x="187"/>
        <item x="268"/>
        <item x="483"/>
        <item x="78"/>
        <item x="304"/>
        <item x="474"/>
        <item x="6"/>
        <item x="301"/>
        <item x="284"/>
        <item x="79"/>
        <item x="186"/>
        <item x="276"/>
        <item x="433"/>
        <item x="499"/>
        <item x="216"/>
        <item x="323"/>
        <item x="55"/>
        <item x="278"/>
        <item x="193"/>
        <item x="316"/>
        <item x="13"/>
        <item x="279"/>
        <item x="40"/>
        <item x="314"/>
        <item x="191"/>
        <item x="146"/>
        <item x="416"/>
        <item x="207"/>
        <item x="227"/>
        <item x="259"/>
        <item x="105"/>
        <item x="249"/>
        <item x="516"/>
        <item x="136"/>
        <item x="36"/>
        <item x="312"/>
        <item x="34"/>
        <item x="319"/>
        <item x="503"/>
        <item x="331"/>
        <item x="240"/>
        <item x="421"/>
        <item x="192"/>
        <item x="311"/>
        <item x="267"/>
        <item x="117"/>
        <item x="496"/>
        <item x="134"/>
        <item x="390"/>
        <item x="449"/>
        <item x="76"/>
        <item x="160"/>
        <item x="360"/>
        <item x="385"/>
        <item x="460"/>
        <item x="166"/>
        <item x="234"/>
        <item x="245"/>
        <item x="95"/>
        <item x="50"/>
        <item x="407"/>
        <item x="322"/>
        <item x="265"/>
        <item x="464"/>
        <item x="479"/>
        <item x="487"/>
        <item x="451"/>
        <item x="115"/>
        <item x="159"/>
        <item x="225"/>
        <item x="111"/>
        <item x="308"/>
        <item x="122"/>
        <item x="114"/>
        <item x="59"/>
        <item x="382"/>
        <item x="129"/>
        <item x="188"/>
        <item x="485"/>
        <item x="107"/>
        <item x="158"/>
        <item x="530"/>
        <item x="30"/>
        <item x="125"/>
        <item x="313"/>
        <item x="430"/>
        <item x="435"/>
        <item t="default"/>
      </items>
    </pivotField>
    <pivotField numFmtId="14" showAll="0"/>
    <pivotField numFmtId="165" showAll="0"/>
    <pivotField numFmtId="1" showAll="0"/>
    <pivotField showAll="0">
      <items count="8">
        <item x="0"/>
        <item x="5"/>
        <item x="3"/>
        <item x="1"/>
        <item x="4"/>
        <item x="6"/>
        <item x="2"/>
        <item t="default"/>
      </items>
    </pivotField>
    <pivotField numFmtId="1" showAll="0"/>
    <pivotField numFmtId="1" showAll="0"/>
    <pivotField showAll="0"/>
    <pivotField numFmtId="1" showAll="0"/>
    <pivotField numFmtId="1" showAll="0"/>
    <pivotField axis="axisRow" showAll="0">
      <items count="8">
        <item x="4"/>
        <item x="1"/>
        <item x="6"/>
        <item x="5"/>
        <item x="3"/>
        <item x="2"/>
        <item x="0"/>
        <item t="default"/>
      </items>
    </pivotField>
    <pivotField showAll="0"/>
    <pivotField showAll="0"/>
    <pivotField numFmtId="1" showAll="0">
      <items count="102">
        <item x="13"/>
        <item x="6"/>
        <item x="99"/>
        <item x="20"/>
        <item x="69"/>
        <item x="78"/>
        <item x="65"/>
        <item x="34"/>
        <item x="39"/>
        <item x="87"/>
        <item x="95"/>
        <item x="17"/>
        <item x="32"/>
        <item x="44"/>
        <item x="31"/>
        <item x="48"/>
        <item x="88"/>
        <item x="71"/>
        <item x="57"/>
        <item x="96"/>
        <item x="66"/>
        <item x="68"/>
        <item x="46"/>
        <item x="73"/>
        <item x="50"/>
        <item x="14"/>
        <item x="8"/>
        <item x="21"/>
        <item x="72"/>
        <item x="94"/>
        <item x="55"/>
        <item x="97"/>
        <item x="7"/>
        <item x="36"/>
        <item x="91"/>
        <item x="93"/>
        <item x="58"/>
        <item x="86"/>
        <item x="11"/>
        <item x="4"/>
        <item x="42"/>
        <item x="81"/>
        <item x="19"/>
        <item x="80"/>
        <item x="52"/>
        <item x="30"/>
        <item x="63"/>
        <item x="3"/>
        <item x="60"/>
        <item x="77"/>
        <item x="16"/>
        <item x="82"/>
        <item x="64"/>
        <item x="56"/>
        <item x="84"/>
        <item x="38"/>
        <item x="2"/>
        <item x="10"/>
        <item x="27"/>
        <item x="76"/>
        <item x="22"/>
        <item x="47"/>
        <item x="12"/>
        <item x="40"/>
        <item x="61"/>
        <item x="15"/>
        <item x="29"/>
        <item x="79"/>
        <item x="53"/>
        <item x="1"/>
        <item x="85"/>
        <item x="5"/>
        <item x="35"/>
        <item x="59"/>
        <item x="98"/>
        <item x="100"/>
        <item x="24"/>
        <item x="70"/>
        <item x="18"/>
        <item x="37"/>
        <item x="54"/>
        <item x="74"/>
        <item x="45"/>
        <item x="75"/>
        <item x="0"/>
        <item x="26"/>
        <item x="89"/>
        <item x="62"/>
        <item x="51"/>
        <item x="83"/>
        <item x="9"/>
        <item x="23"/>
        <item x="92"/>
        <item x="67"/>
        <item x="43"/>
        <item x="49"/>
        <item x="41"/>
        <item x="28"/>
        <item x="25"/>
        <item x="33"/>
        <item x="90"/>
        <item t="default"/>
      </items>
    </pivotField>
    <pivotField numFmtId="164" showAll="0"/>
    <pivotField showAll="0"/>
    <pivotField showAll="0"/>
    <pivotField numFmtId="1" showAll="0">
      <items count="925">
        <item x="820"/>
        <item x="647"/>
        <item x="269"/>
        <item x="416"/>
        <item x="448"/>
        <item x="701"/>
        <item x="5"/>
        <item x="919"/>
        <item x="73"/>
        <item x="680"/>
        <item x="640"/>
        <item x="290"/>
        <item x="407"/>
        <item x="395"/>
        <item x="423"/>
        <item x="272"/>
        <item x="409"/>
        <item x="332"/>
        <item x="422"/>
        <item x="205"/>
        <item x="150"/>
        <item x="609"/>
        <item x="565"/>
        <item x="435"/>
        <item x="206"/>
        <item x="180"/>
        <item x="125"/>
        <item x="509"/>
        <item x="203"/>
        <item x="323"/>
        <item x="342"/>
        <item x="314"/>
        <item x="718"/>
        <item x="761"/>
        <item x="858"/>
        <item x="432"/>
        <item x="592"/>
        <item x="141"/>
        <item x="459"/>
        <item x="11"/>
        <item x="175"/>
        <item x="174"/>
        <item x="528"/>
        <item x="786"/>
        <item x="705"/>
        <item x="394"/>
        <item x="229"/>
        <item x="207"/>
        <item x="883"/>
        <item x="86"/>
        <item x="532"/>
        <item x="451"/>
        <item x="374"/>
        <item x="878"/>
        <item x="833"/>
        <item x="700"/>
        <item x="526"/>
        <item x="22"/>
        <item x="292"/>
        <item x="246"/>
        <item x="494"/>
        <item x="679"/>
        <item x="601"/>
        <item x="367"/>
        <item x="399"/>
        <item x="337"/>
        <item x="8"/>
        <item x="677"/>
        <item x="401"/>
        <item x="68"/>
        <item x="66"/>
        <item x="468"/>
        <item x="260"/>
        <item x="517"/>
        <item x="729"/>
        <item x="277"/>
        <item x="502"/>
        <item x="650"/>
        <item x="866"/>
        <item x="627"/>
        <item x="612"/>
        <item x="462"/>
        <item x="415"/>
        <item x="660"/>
        <item x="67"/>
        <item x="489"/>
        <item x="238"/>
        <item x="775"/>
        <item x="678"/>
        <item x="768"/>
        <item x="51"/>
        <item x="181"/>
        <item x="893"/>
        <item x="157"/>
        <item x="607"/>
        <item x="46"/>
        <item x="482"/>
        <item x="241"/>
        <item x="156"/>
        <item x="127"/>
        <item x="153"/>
        <item x="550"/>
        <item x="280"/>
        <item x="515"/>
        <item x="805"/>
        <item x="554"/>
        <item x="512"/>
        <item x="450"/>
        <item x="479"/>
        <item x="88"/>
        <item x="698"/>
        <item x="389"/>
        <item x="90"/>
        <item x="44"/>
        <item x="320"/>
        <item x="340"/>
        <item x="308"/>
        <item x="800"/>
        <item x="122"/>
        <item x="321"/>
        <item x="431"/>
        <item x="785"/>
        <item x="15"/>
        <item x="222"/>
        <item x="94"/>
        <item x="10"/>
        <item x="559"/>
        <item x="588"/>
        <item x="553"/>
        <item x="210"/>
        <item x="237"/>
        <item x="441"/>
        <item x="434"/>
        <item x="755"/>
        <item x="235"/>
        <item x="117"/>
        <item x="474"/>
        <item x="160"/>
        <item x="587"/>
        <item x="257"/>
        <item x="318"/>
        <item x="457"/>
        <item x="492"/>
        <item x="6"/>
        <item x="491"/>
        <item x="499"/>
        <item x="728"/>
        <item x="906"/>
        <item x="692"/>
        <item x="356"/>
        <item x="816"/>
        <item x="31"/>
        <item x="719"/>
        <item x="58"/>
        <item x="309"/>
        <item x="822"/>
        <item x="651"/>
        <item x="37"/>
        <item x="889"/>
        <item x="764"/>
        <item x="516"/>
        <item x="655"/>
        <item x="819"/>
        <item x="633"/>
        <item x="696"/>
        <item x="577"/>
        <item x="726"/>
        <item x="518"/>
        <item x="147"/>
        <item x="463"/>
        <item x="618"/>
        <item x="335"/>
        <item x="848"/>
        <item x="212"/>
        <item x="75"/>
        <item x="165"/>
        <item x="115"/>
        <item x="709"/>
        <item x="739"/>
        <item x="211"/>
        <item x="3"/>
        <item x="868"/>
        <item x="467"/>
        <item x="376"/>
        <item x="61"/>
        <item x="225"/>
        <item x="495"/>
        <item x="784"/>
        <item x="254"/>
        <item x="799"/>
        <item x="259"/>
        <item x="725"/>
        <item x="888"/>
        <item x="403"/>
        <item x="567"/>
        <item x="281"/>
        <item x="908"/>
        <item x="142"/>
        <item x="546"/>
        <item x="188"/>
        <item x="14"/>
        <item x="464"/>
        <item x="184"/>
        <item x="200"/>
        <item x="751"/>
        <item x="541"/>
        <item x="600"/>
        <item x="311"/>
        <item x="319"/>
        <item x="544"/>
        <item x="63"/>
        <item x="265"/>
        <item x="295"/>
        <item x="896"/>
        <item x="746"/>
        <item x="192"/>
        <item x="620"/>
        <item x="62"/>
        <item x="17"/>
        <item x="596"/>
        <item x="132"/>
        <item x="839"/>
        <item x="285"/>
        <item x="414"/>
        <item x="591"/>
        <item x="684"/>
        <item x="689"/>
        <item x="406"/>
        <item x="796"/>
        <item x="804"/>
        <item x="91"/>
        <item x="687"/>
        <item x="824"/>
        <item x="625"/>
        <item x="897"/>
        <item x="575"/>
        <item x="628"/>
        <item x="676"/>
        <item x="387"/>
        <item x="498"/>
        <item x="446"/>
        <item x="576"/>
        <item x="49"/>
        <item x="381"/>
        <item x="769"/>
        <item x="703"/>
        <item x="593"/>
        <item x="433"/>
        <item x="548"/>
        <item x="674"/>
        <item x="616"/>
        <item x="78"/>
        <item x="864"/>
        <item x="551"/>
        <item x="801"/>
        <item x="358"/>
        <item x="776"/>
        <item x="857"/>
        <item x="120"/>
        <item x="444"/>
        <item x="844"/>
        <item x="606"/>
        <item x="594"/>
        <item x="733"/>
        <item x="388"/>
        <item x="777"/>
        <item x="187"/>
        <item x="555"/>
        <item x="24"/>
        <item x="566"/>
        <item x="712"/>
        <item x="828"/>
        <item x="317"/>
        <item x="158"/>
        <item x="313"/>
        <item x="339"/>
        <item x="438"/>
        <item x="392"/>
        <item x="244"/>
        <item x="652"/>
        <item x="297"/>
        <item x="378"/>
        <item x="177"/>
        <item x="386"/>
        <item x="779"/>
        <item x="558"/>
        <item x="811"/>
        <item x="228"/>
        <item x="657"/>
        <item x="439"/>
        <item x="621"/>
        <item x="867"/>
        <item x="590"/>
        <item x="312"/>
        <item x="440"/>
        <item x="74"/>
        <item x="329"/>
        <item x="266"/>
        <item x="429"/>
        <item x="580"/>
        <item x="110"/>
        <item x="542"/>
        <item x="853"/>
        <item x="860"/>
        <item x="879"/>
        <item x="331"/>
        <item x="293"/>
        <item x="282"/>
        <item x="12"/>
        <item x="735"/>
        <item x="326"/>
        <item x="595"/>
        <item x="136"/>
        <item x="40"/>
        <item x="408"/>
        <item x="48"/>
        <item x="634"/>
        <item x="791"/>
        <item x="236"/>
        <item x="220"/>
        <item x="179"/>
        <item x="497"/>
        <item x="345"/>
        <item x="681"/>
        <item x="648"/>
        <item x="907"/>
        <item x="905"/>
        <item x="862"/>
        <item x="26"/>
        <item x="81"/>
        <item x="535"/>
        <item x="798"/>
        <item x="186"/>
        <item x="2"/>
        <item x="827"/>
        <item x="699"/>
        <item x="597"/>
        <item x="900"/>
        <item x="413"/>
        <item x="65"/>
        <item x="578"/>
        <item x="50"/>
        <item x="129"/>
        <item x="330"/>
        <item x="418"/>
        <item x="224"/>
        <item x="56"/>
        <item x="102"/>
        <item x="752"/>
        <item x="500"/>
        <item x="797"/>
        <item x="870"/>
        <item x="626"/>
        <item x="720"/>
        <item x="398"/>
        <item x="802"/>
        <item x="4"/>
        <item x="370"/>
        <item x="649"/>
        <item x="279"/>
        <item x="821"/>
        <item x="133"/>
        <item x="641"/>
        <item x="25"/>
        <item x="193"/>
        <item x="569"/>
        <item x="871"/>
        <item x="373"/>
        <item x="274"/>
        <item x="530"/>
        <item x="646"/>
        <item x="793"/>
        <item x="64"/>
        <item x="305"/>
        <item x="713"/>
        <item x="404"/>
        <item x="194"/>
        <item x="166"/>
        <item x="103"/>
        <item x="197"/>
        <item x="818"/>
        <item x="283"/>
        <item x="223"/>
        <item x="899"/>
        <item x="922"/>
        <item x="671"/>
        <item x="581"/>
        <item x="152"/>
        <item x="708"/>
        <item x="714"/>
        <item x="334"/>
        <item x="145"/>
        <item x="355"/>
        <item x="505"/>
        <item x="472"/>
        <item x="724"/>
        <item x="744"/>
        <item x="351"/>
        <item x="146"/>
        <item x="911"/>
        <item x="465"/>
        <item x="851"/>
        <item x="470"/>
        <item x="456"/>
        <item x="226"/>
        <item x="521"/>
        <item x="727"/>
        <item x="352"/>
        <item x="471"/>
        <item x="372"/>
        <item x="854"/>
        <item x="402"/>
        <item x="658"/>
        <item x="885"/>
        <item x="672"/>
        <item x="740"/>
        <item x="823"/>
        <item x="377"/>
        <item x="124"/>
        <item x="661"/>
        <item x="82"/>
        <item x="547"/>
        <item x="232"/>
        <item x="863"/>
        <item x="562"/>
        <item x="149"/>
        <item x="261"/>
        <item x="234"/>
        <item x="789"/>
        <item x="665"/>
        <item x="199"/>
        <item x="656"/>
        <item x="610"/>
        <item x="901"/>
        <item x="1"/>
        <item x="255"/>
        <item x="36"/>
        <item x="845"/>
        <item x="787"/>
        <item x="189"/>
        <item x="877"/>
        <item x="694"/>
        <item x="855"/>
        <item x="881"/>
        <item x="856"/>
        <item x="704"/>
        <item x="369"/>
        <item x="673"/>
        <item x="173"/>
        <item x="123"/>
        <item x="353"/>
        <item x="503"/>
        <item x="393"/>
        <item x="306"/>
        <item x="85"/>
        <item x="230"/>
        <item x="169"/>
        <item x="196"/>
        <item x="478"/>
        <item x="23"/>
        <item x="536"/>
        <item x="39"/>
        <item x="302"/>
        <item x="490"/>
        <item x="890"/>
        <item x="461"/>
        <item x="348"/>
        <item x="579"/>
        <item x="750"/>
        <item x="382"/>
        <item x="915"/>
        <item x="667"/>
        <item x="424"/>
        <item x="154"/>
        <item x="850"/>
        <item x="872"/>
        <item x="106"/>
        <item x="757"/>
        <item x="738"/>
        <item x="693"/>
        <item x="832"/>
        <item x="239"/>
        <item x="903"/>
        <item x="572"/>
        <item x="248"/>
        <item x="215"/>
        <item x="614"/>
        <item x="666"/>
        <item x="636"/>
        <item x="419"/>
        <item x="216"/>
        <item x="275"/>
        <item x="185"/>
        <item x="198"/>
        <item x="34"/>
        <item x="806"/>
        <item x="586"/>
        <item x="291"/>
        <item x="163"/>
        <item x="582"/>
        <item x="643"/>
        <item x="139"/>
        <item x="758"/>
        <item x="322"/>
        <item x="537"/>
        <item x="262"/>
        <item x="894"/>
        <item x="263"/>
        <item x="436"/>
        <item x="561"/>
        <item x="425"/>
        <item x="38"/>
        <item x="137"/>
        <item x="895"/>
        <item x="428"/>
        <item x="773"/>
        <item x="209"/>
        <item x="485"/>
        <item x="107"/>
        <item x="734"/>
        <item x="794"/>
        <item x="349"/>
        <item x="396"/>
        <item x="116"/>
        <item x="27"/>
        <item x="501"/>
        <item x="765"/>
        <item x="35"/>
        <item x="221"/>
        <item x="513"/>
        <item x="347"/>
        <item x="126"/>
        <item x="762"/>
        <item x="568"/>
        <item x="481"/>
        <item x="560"/>
        <item x="604"/>
        <item x="258"/>
        <item x="178"/>
        <item x="84"/>
        <item x="686"/>
        <item x="303"/>
        <item x="916"/>
        <item x="108"/>
        <item x="7"/>
        <item x="98"/>
        <item x="483"/>
        <item x="605"/>
        <item x="0"/>
        <item x="529"/>
        <item x="843"/>
        <item x="245"/>
        <item x="364"/>
        <item x="921"/>
        <item x="213"/>
        <item x="836"/>
        <item x="447"/>
        <item x="96"/>
        <item x="100"/>
        <item x="201"/>
        <item x="826"/>
        <item x="195"/>
        <item x="617"/>
        <item x="243"/>
        <item x="77"/>
        <item x="695"/>
        <item x="599"/>
        <item x="362"/>
        <item x="736"/>
        <item x="707"/>
        <item x="570"/>
        <item x="639"/>
        <item x="400"/>
        <item x="270"/>
        <item x="268"/>
        <item x="171"/>
        <item x="803"/>
        <item x="688"/>
        <item x="359"/>
        <item x="742"/>
        <item x="771"/>
        <item x="286"/>
        <item x="138"/>
        <item x="183"/>
        <item x="706"/>
        <item x="645"/>
        <item x="760"/>
        <item x="912"/>
        <item x="837"/>
        <item x="449"/>
        <item x="72"/>
        <item x="721"/>
        <item x="874"/>
        <item x="327"/>
        <item x="520"/>
        <item x="574"/>
        <item x="299"/>
        <item x="838"/>
        <item x="741"/>
        <item x="583"/>
        <item x="458"/>
        <item x="114"/>
        <item x="831"/>
        <item x="251"/>
        <item x="635"/>
        <item x="923"/>
        <item x="460"/>
        <item x="523"/>
        <item x="316"/>
        <item x="556"/>
        <item x="506"/>
        <item x="105"/>
        <item x="93"/>
        <item x="898"/>
        <item x="914"/>
        <item x="164"/>
        <item x="715"/>
        <item x="745"/>
        <item x="383"/>
        <item x="135"/>
        <item x="527"/>
        <item x="325"/>
        <item x="589"/>
        <item x="227"/>
        <item x="252"/>
        <item x="585"/>
        <item x="814"/>
        <item x="514"/>
        <item x="869"/>
        <item x="101"/>
        <item x="182"/>
        <item x="780"/>
        <item x="564"/>
        <item x="603"/>
        <item x="662"/>
        <item x="882"/>
        <item x="508"/>
        <item x="300"/>
        <item x="52"/>
        <item x="454"/>
        <item x="859"/>
        <item x="737"/>
        <item x="391"/>
        <item x="730"/>
        <item x="507"/>
        <item x="32"/>
        <item x="42"/>
        <item x="28"/>
        <item x="829"/>
        <item x="92"/>
        <item x="770"/>
        <item x="475"/>
        <item x="410"/>
        <item x="563"/>
        <item x="57"/>
        <item x="807"/>
        <item x="522"/>
        <item x="493"/>
        <item x="267"/>
        <item x="118"/>
        <item x="637"/>
        <item x="611"/>
        <item x="812"/>
        <item x="631"/>
        <item x="861"/>
        <item x="452"/>
        <item x="80"/>
        <item x="365"/>
        <item x="682"/>
        <item x="717"/>
        <item x="363"/>
        <item x="278"/>
        <item x="130"/>
        <item x="143"/>
        <item x="817"/>
        <item x="886"/>
        <item x="121"/>
        <item x="128"/>
        <item x="842"/>
        <item x="20"/>
        <item x="813"/>
        <item x="690"/>
        <item x="759"/>
        <item x="45"/>
        <item x="778"/>
        <item x="112"/>
        <item x="55"/>
        <item x="638"/>
        <item x="716"/>
        <item x="790"/>
        <item x="144"/>
        <item x="83"/>
        <item x="202"/>
        <item x="788"/>
        <item x="552"/>
        <item x="301"/>
        <item x="722"/>
        <item x="109"/>
        <item x="477"/>
        <item x="624"/>
        <item x="756"/>
        <item x="743"/>
        <item x="504"/>
        <item x="918"/>
        <item x="233"/>
        <item x="711"/>
        <item x="95"/>
        <item x="663"/>
        <item x="747"/>
        <item x="466"/>
        <item x="405"/>
        <item x="421"/>
        <item x="753"/>
        <item x="13"/>
        <item x="473"/>
        <item x="390"/>
        <item x="772"/>
        <item x="622"/>
        <item x="249"/>
        <item x="774"/>
        <item x="217"/>
        <item x="328"/>
        <item x="543"/>
        <item x="702"/>
        <item x="841"/>
        <item x="338"/>
        <item x="763"/>
        <item x="455"/>
        <item x="781"/>
        <item x="276"/>
        <item x="9"/>
        <item x="247"/>
        <item x="691"/>
        <item x="809"/>
        <item x="782"/>
        <item x="849"/>
        <item x="214"/>
        <item x="476"/>
        <item x="104"/>
        <item x="71"/>
        <item x="664"/>
        <item x="134"/>
        <item x="29"/>
        <item x="87"/>
        <item x="191"/>
        <item x="70"/>
        <item x="155"/>
        <item x="161"/>
        <item x="368"/>
        <item x="910"/>
        <item x="538"/>
        <item x="453"/>
        <item x="510"/>
        <item x="250"/>
        <item x="357"/>
        <item x="384"/>
        <item x="140"/>
        <item x="524"/>
        <item x="41"/>
        <item x="917"/>
        <item x="208"/>
        <item x="346"/>
        <item x="336"/>
        <item x="913"/>
        <item x="47"/>
        <item x="668"/>
        <item x="69"/>
        <item x="488"/>
        <item x="539"/>
        <item x="808"/>
        <item x="99"/>
        <item x="16"/>
        <item x="710"/>
        <item x="525"/>
        <item x="445"/>
        <item x="354"/>
        <item x="887"/>
        <item x="602"/>
        <item x="380"/>
        <item x="835"/>
        <item x="304"/>
        <item x="30"/>
        <item x="288"/>
        <item x="519"/>
        <item x="19"/>
        <item x="549"/>
        <item x="557"/>
        <item x="307"/>
        <item x="669"/>
        <item x="426"/>
        <item x="420"/>
        <item x="371"/>
        <item x="148"/>
        <item x="33"/>
        <item x="767"/>
        <item x="810"/>
        <item x="615"/>
        <item x="875"/>
        <item x="846"/>
        <item x="119"/>
        <item x="573"/>
        <item x="659"/>
        <item x="670"/>
        <item x="315"/>
        <item x="385"/>
        <item x="242"/>
        <item x="231"/>
        <item x="654"/>
        <item x="748"/>
        <item x="865"/>
        <item x="350"/>
        <item x="511"/>
        <item x="333"/>
        <item x="815"/>
        <item x="131"/>
        <item x="253"/>
        <item x="412"/>
        <item x="884"/>
        <item x="443"/>
        <item x="486"/>
        <item x="685"/>
        <item x="190"/>
        <item x="598"/>
        <item x="731"/>
        <item x="873"/>
        <item x="176"/>
        <item x="298"/>
        <item x="341"/>
        <item x="168"/>
        <item x="531"/>
        <item x="79"/>
        <item x="754"/>
        <item x="783"/>
        <item x="264"/>
        <item x="792"/>
        <item x="540"/>
        <item x="170"/>
        <item x="909"/>
        <item x="830"/>
        <item x="545"/>
        <item x="43"/>
        <item x="619"/>
        <item x="795"/>
        <item x="840"/>
        <item x="294"/>
        <item x="375"/>
        <item x="629"/>
        <item x="296"/>
        <item x="487"/>
        <item x="891"/>
        <item x="361"/>
        <item x="310"/>
        <item x="324"/>
        <item x="427"/>
        <item x="902"/>
        <item x="749"/>
        <item x="379"/>
        <item x="271"/>
        <item x="825"/>
        <item x="60"/>
        <item x="21"/>
        <item x="289"/>
        <item x="366"/>
        <item x="766"/>
        <item x="273"/>
        <item x="76"/>
        <item x="256"/>
        <item x="97"/>
        <item x="89"/>
        <item x="167"/>
        <item x="442"/>
        <item x="904"/>
        <item x="533"/>
        <item x="623"/>
        <item x="642"/>
        <item x="18"/>
        <item x="54"/>
        <item x="653"/>
        <item x="53"/>
        <item x="480"/>
        <item x="218"/>
        <item x="113"/>
        <item x="852"/>
        <item x="287"/>
        <item x="59"/>
        <item x="920"/>
        <item x="240"/>
        <item x="892"/>
        <item x="484"/>
        <item x="632"/>
        <item x="411"/>
        <item x="159"/>
        <item x="360"/>
        <item x="219"/>
        <item x="697"/>
        <item x="630"/>
        <item x="876"/>
        <item x="417"/>
        <item x="723"/>
        <item x="880"/>
        <item x="613"/>
        <item x="162"/>
        <item x="204"/>
        <item x="437"/>
        <item x="608"/>
        <item x="111"/>
        <item x="284"/>
        <item x="344"/>
        <item x="534"/>
        <item x="343"/>
        <item x="675"/>
        <item x="469"/>
        <item x="644"/>
        <item x="151"/>
        <item x="430"/>
        <item x="683"/>
        <item x="847"/>
        <item x="397"/>
        <item x="584"/>
        <item x="172"/>
        <item x="496"/>
        <item x="834"/>
        <item x="732"/>
        <item x="571"/>
        <item t="default"/>
      </items>
    </pivotField>
    <pivotField showAll="0"/>
    <pivotField showAll="0">
      <items count="6">
        <item x="2"/>
        <item x="1"/>
        <item x="0"/>
        <item x="3"/>
        <item x="4"/>
        <item t="default"/>
      </items>
    </pivotField>
    <pivotField showAll="0"/>
    <pivotField numFmtId="1" showAll="0"/>
    <pivotField axis="axisCol" showAll="0" nonAutoSortDefault="1">
      <items count="4">
        <item x="0"/>
        <item x="1"/>
        <item x="2"/>
        <item t="default"/>
      </items>
    </pivotField>
    <pivotField numFmtId="164" showAll="0"/>
    <pivotField showAll="0"/>
    <pivotField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6">
        <item n="0-20" sd="0" x="0"/>
        <item n="21-40" sd="0" x="1"/>
        <item n="41-60" sd="0" x="2"/>
        <item n="61-80" sd="0" x="3"/>
        <item n="81-100" sd="0" x="4"/>
        <item t="default"/>
      </items>
    </pivotField>
    <pivotField showAll="0">
      <items count="6">
        <item x="0"/>
        <item x="1"/>
        <item x="2"/>
        <item x="3"/>
        <item x="4"/>
        <item t="default"/>
      </items>
    </pivotField>
  </pivotFields>
  <rowFields count="1">
    <field x="12"/>
  </rowFields>
  <rowItems count="8">
    <i>
      <x/>
    </i>
    <i>
      <x v="1"/>
    </i>
    <i>
      <x v="2"/>
    </i>
    <i>
      <x v="3"/>
    </i>
    <i>
      <x v="4"/>
    </i>
    <i>
      <x v="5"/>
    </i>
    <i>
      <x v="6"/>
    </i>
    <i t="grand">
      <x/>
    </i>
  </rowItems>
  <colFields count="1">
    <field x="24"/>
  </colFields>
  <colItems count="3">
    <i>
      <x/>
    </i>
    <i>
      <x v="1"/>
    </i>
    <i>
      <x v="2"/>
    </i>
  </colItems>
  <dataFields count="1">
    <dataField name="Count of User_ID" fld="0" subtotal="count" baseField="0" baseItem="0"/>
  </dataFields>
  <formats count="12">
    <format dxfId="67">
      <pivotArea type="all" dataOnly="0" outline="0" fieldPosition="0"/>
    </format>
    <format dxfId="66">
      <pivotArea outline="0" collapsedLevelsAreSubtotals="1" fieldPosition="0"/>
    </format>
    <format dxfId="65">
      <pivotArea field="24" type="button" dataOnly="0" labelOnly="1" outline="0" axis="axisCol" fieldPosition="0"/>
    </format>
    <format dxfId="64">
      <pivotArea dataOnly="0" labelOnly="1" grandRow="1" outline="0" fieldPosition="0"/>
    </format>
    <format dxfId="63">
      <pivotArea type="all" dataOnly="0" outline="0" fieldPosition="0"/>
    </format>
    <format dxfId="62">
      <pivotArea outline="0" collapsedLevelsAreSubtotals="1" fieldPosition="0"/>
    </format>
    <format dxfId="61">
      <pivotArea field="24" type="button" dataOnly="0" labelOnly="1" outline="0" axis="axisCol" fieldPosition="0"/>
    </format>
    <format dxfId="60">
      <pivotArea dataOnly="0" labelOnly="1" grandRow="1" outline="0" fieldPosition="0"/>
    </format>
    <format dxfId="59">
      <pivotArea type="all" dataOnly="0" outline="0" fieldPosition="0"/>
    </format>
    <format dxfId="58">
      <pivotArea outline="0" collapsedLevelsAreSubtotals="1" fieldPosition="0"/>
    </format>
    <format dxfId="57">
      <pivotArea field="24" type="button" dataOnly="0" labelOnly="1" outline="0" axis="axisCol" fieldPosition="0"/>
    </format>
    <format dxfId="56">
      <pivotArea dataOnly="0" labelOnly="1" grandRow="1" outline="0" fieldPosition="0"/>
    </format>
  </formats>
  <chartFormats count="3">
    <chartFormat chart="4" format="6" series="1">
      <pivotArea type="data" outline="0" fieldPosition="0">
        <references count="2">
          <reference field="4294967294" count="1" selected="0">
            <x v="0"/>
          </reference>
          <reference field="24" count="1" selected="0">
            <x v="0"/>
          </reference>
        </references>
      </pivotArea>
    </chartFormat>
    <chartFormat chart="4" format="7" series="1">
      <pivotArea type="data" outline="0" fieldPosition="0">
        <references count="2">
          <reference field="4294967294" count="1" selected="0">
            <x v="0"/>
          </reference>
          <reference field="24" count="1" selected="0">
            <x v="1"/>
          </reference>
        </references>
      </pivotArea>
    </chartFormat>
    <chartFormat chart="4" format="8" series="1">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CE27C7-8962-4442-97E2-E7DCA8A3CD6C}" name="4. Retention &amp; Loyalty: 1.1"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rowHeaderCaption="Loyalty Points">
  <location ref="AB10:AC16" firstHeaderRow="1" firstDataRow="1" firstDataCol="1"/>
  <pivotFields count="34">
    <pivotField dataField="1" numFmtId="1" showAll="0"/>
    <pivotField showAll="0"/>
    <pivotField numFmtId="14" showAll="0">
      <items count="538">
        <item x="91"/>
        <item x="302"/>
        <item x="102"/>
        <item x="424"/>
        <item x="54"/>
        <item x="127"/>
        <item x="51"/>
        <item x="274"/>
        <item x="137"/>
        <item x="53"/>
        <item x="201"/>
        <item x="417"/>
        <item x="218"/>
        <item x="228"/>
        <item x="374"/>
        <item x="524"/>
        <item x="484"/>
        <item x="514"/>
        <item x="470"/>
        <item x="513"/>
        <item x="333"/>
        <item x="463"/>
        <item x="368"/>
        <item x="222"/>
        <item x="176"/>
        <item x="119"/>
        <item x="255"/>
        <item x="270"/>
        <item x="281"/>
        <item x="251"/>
        <item x="344"/>
        <item x="497"/>
        <item x="3"/>
        <item x="200"/>
        <item x="58"/>
        <item x="504"/>
        <item x="86"/>
        <item x="147"/>
        <item x="116"/>
        <item x="224"/>
        <item x="359"/>
        <item x="478"/>
        <item x="440"/>
        <item x="16"/>
        <item x="242"/>
        <item x="471"/>
        <item x="100"/>
        <item x="507"/>
        <item x="65"/>
        <item x="128"/>
        <item x="233"/>
        <item x="131"/>
        <item x="217"/>
        <item x="152"/>
        <item x="372"/>
        <item x="62"/>
        <item x="397"/>
        <item x="393"/>
        <item x="204"/>
        <item x="364"/>
        <item x="139"/>
        <item x="112"/>
        <item x="253"/>
        <item x="475"/>
        <item x="518"/>
        <item x="151"/>
        <item x="378"/>
        <item x="264"/>
        <item x="123"/>
        <item x="269"/>
        <item x="353"/>
        <item x="453"/>
        <item x="45"/>
        <item x="47"/>
        <item x="12"/>
        <item x="10"/>
        <item x="361"/>
        <item x="108"/>
        <item x="1"/>
        <item x="42"/>
        <item x="408"/>
        <item x="428"/>
        <item x="334"/>
        <item x="367"/>
        <item x="459"/>
        <item x="275"/>
        <item x="64"/>
        <item x="410"/>
        <item x="90"/>
        <item x="505"/>
        <item x="241"/>
        <item x="154"/>
        <item x="336"/>
        <item x="306"/>
        <item x="232"/>
        <item x="211"/>
        <item x="413"/>
        <item x="44"/>
        <item x="491"/>
        <item x="494"/>
        <item x="80"/>
        <item x="427"/>
        <item x="124"/>
        <item x="132"/>
        <item x="400"/>
        <item x="324"/>
        <item x="177"/>
        <item x="480"/>
        <item x="130"/>
        <item x="172"/>
        <item x="0"/>
        <item x="190"/>
        <item x="315"/>
        <item x="366"/>
        <item x="392"/>
        <item x="282"/>
        <item x="181"/>
        <item x="194"/>
        <item x="318"/>
        <item x="266"/>
        <item x="369"/>
        <item x="461"/>
        <item x="230"/>
        <item x="532"/>
        <item x="257"/>
        <item x="178"/>
        <item x="17"/>
        <item x="469"/>
        <item x="351"/>
        <item x="4"/>
        <item x="14"/>
        <item x="173"/>
        <item x="148"/>
        <item x="175"/>
        <item x="405"/>
        <item x="339"/>
        <item x="509"/>
        <item x="8"/>
        <item x="156"/>
        <item x="25"/>
        <item x="98"/>
        <item x="519"/>
        <item x="31"/>
        <item x="391"/>
        <item x="60"/>
        <item x="506"/>
        <item x="220"/>
        <item x="434"/>
        <item x="454"/>
        <item x="19"/>
        <item x="164"/>
        <item x="402"/>
        <item x="373"/>
        <item x="273"/>
        <item x="294"/>
        <item x="199"/>
        <item x="20"/>
        <item x="41"/>
        <item x="476"/>
        <item x="244"/>
        <item x="510"/>
        <item x="94"/>
        <item x="468"/>
        <item x="229"/>
        <item x="49"/>
        <item x="239"/>
        <item x="395"/>
        <item x="68"/>
        <item x="2"/>
        <item x="88"/>
        <item x="250"/>
        <item x="236"/>
        <item x="101"/>
        <item x="436"/>
        <item x="247"/>
        <item x="260"/>
        <item x="189"/>
        <item x="515"/>
        <item x="183"/>
        <item x="37"/>
        <item x="75"/>
        <item x="398"/>
        <item x="482"/>
        <item x="335"/>
        <item x="330"/>
        <item x="511"/>
        <item x="296"/>
        <item x="208"/>
        <item x="213"/>
        <item x="399"/>
        <item x="46"/>
        <item x="206"/>
        <item x="288"/>
        <item x="133"/>
        <item x="69"/>
        <item x="457"/>
        <item x="197"/>
        <item x="409"/>
        <item x="337"/>
        <item x="84"/>
        <item x="486"/>
        <item x="383"/>
        <item x="35"/>
        <item x="442"/>
        <item x="5"/>
        <item x="381"/>
        <item x="293"/>
        <item x="18"/>
        <item x="467"/>
        <item x="23"/>
        <item x="425"/>
        <item x="162"/>
        <item x="423"/>
        <item x="332"/>
        <item x="271"/>
        <item x="106"/>
        <item x="346"/>
        <item x="113"/>
        <item x="477"/>
        <item x="437"/>
        <item x="422"/>
        <item x="57"/>
        <item x="67"/>
        <item x="223"/>
        <item x="153"/>
        <item x="140"/>
        <item x="87"/>
        <item x="82"/>
        <item x="231"/>
        <item x="73"/>
        <item x="501"/>
        <item x="305"/>
        <item x="89"/>
        <item x="431"/>
        <item x="340"/>
        <item x="143"/>
        <item x="456"/>
        <item x="472"/>
        <item x="341"/>
        <item x="298"/>
        <item x="529"/>
        <item x="326"/>
        <item x="212"/>
        <item x="195"/>
        <item x="347"/>
        <item x="462"/>
        <item x="196"/>
        <item x="22"/>
        <item x="388"/>
        <item x="534"/>
        <item x="120"/>
        <item x="536"/>
        <item x="66"/>
        <item x="32"/>
        <item x="517"/>
        <item x="285"/>
        <item x="9"/>
        <item x="492"/>
        <item x="170"/>
        <item x="72"/>
        <item x="327"/>
        <item x="96"/>
        <item x="184"/>
        <item x="329"/>
        <item x="371"/>
        <item x="320"/>
        <item x="342"/>
        <item x="377"/>
        <item x="452"/>
        <item x="527"/>
        <item x="81"/>
        <item x="56"/>
        <item x="418"/>
        <item x="406"/>
        <item x="262"/>
        <item x="522"/>
        <item x="209"/>
        <item x="263"/>
        <item x="61"/>
        <item x="307"/>
        <item x="74"/>
        <item x="357"/>
        <item x="286"/>
        <item x="205"/>
        <item x="261"/>
        <item x="443"/>
        <item x="414"/>
        <item x="203"/>
        <item x="33"/>
        <item x="126"/>
        <item x="248"/>
        <item x="142"/>
        <item x="280"/>
        <item x="394"/>
        <item x="287"/>
        <item x="243"/>
        <item x="110"/>
        <item x="317"/>
        <item x="303"/>
        <item x="161"/>
        <item x="489"/>
        <item x="215"/>
        <item x="27"/>
        <item x="144"/>
        <item x="121"/>
        <item x="246"/>
        <item x="321"/>
        <item x="163"/>
        <item x="525"/>
        <item x="104"/>
        <item x="415"/>
        <item x="92"/>
        <item x="419"/>
        <item x="38"/>
        <item x="438"/>
        <item x="309"/>
        <item x="150"/>
        <item x="473"/>
        <item x="171"/>
        <item x="155"/>
        <item x="348"/>
        <item x="198"/>
        <item x="185"/>
        <item x="387"/>
        <item x="83"/>
        <item x="426"/>
        <item x="11"/>
        <item x="103"/>
        <item x="375"/>
        <item x="354"/>
        <item x="495"/>
        <item x="219"/>
        <item x="498"/>
        <item x="432"/>
        <item x="531"/>
        <item x="252"/>
        <item x="63"/>
        <item x="99"/>
        <item x="355"/>
        <item x="328"/>
        <item x="358"/>
        <item x="202"/>
        <item x="180"/>
        <item x="157"/>
        <item x="28"/>
        <item x="379"/>
        <item x="444"/>
        <item x="445"/>
        <item x="138"/>
        <item x="533"/>
        <item x="52"/>
        <item x="450"/>
        <item x="412"/>
        <item x="43"/>
        <item x="420"/>
        <item x="272"/>
        <item x="370"/>
        <item x="526"/>
        <item x="290"/>
        <item x="292"/>
        <item x="283"/>
        <item x="300"/>
        <item x="343"/>
        <item x="384"/>
        <item x="210"/>
        <item x="535"/>
        <item x="145"/>
        <item x="401"/>
        <item x="523"/>
        <item x="403"/>
        <item x="179"/>
        <item x="350"/>
        <item x="169"/>
        <item x="512"/>
        <item x="439"/>
        <item x="310"/>
        <item x="256"/>
        <item x="235"/>
        <item x="376"/>
        <item x="363"/>
        <item x="396"/>
        <item x="24"/>
        <item x="254"/>
        <item x="15"/>
        <item x="149"/>
        <item x="26"/>
        <item x="465"/>
        <item x="458"/>
        <item x="520"/>
        <item x="490"/>
        <item x="352"/>
        <item x="118"/>
        <item x="7"/>
        <item x="93"/>
        <item x="221"/>
        <item x="214"/>
        <item x="356"/>
        <item x="521"/>
        <item x="345"/>
        <item x="386"/>
        <item x="448"/>
        <item x="441"/>
        <item x="429"/>
        <item x="502"/>
        <item x="21"/>
        <item x="182"/>
        <item x="365"/>
        <item x="141"/>
        <item x="48"/>
        <item x="500"/>
        <item x="299"/>
        <item x="226"/>
        <item x="338"/>
        <item x="85"/>
        <item x="481"/>
        <item x="411"/>
        <item x="488"/>
        <item x="297"/>
        <item x="29"/>
        <item x="167"/>
        <item x="97"/>
        <item x="70"/>
        <item x="447"/>
        <item x="238"/>
        <item x="109"/>
        <item x="380"/>
        <item x="325"/>
        <item x="466"/>
        <item x="389"/>
        <item x="165"/>
        <item x="404"/>
        <item x="71"/>
        <item x="277"/>
        <item x="77"/>
        <item x="291"/>
        <item x="446"/>
        <item x="455"/>
        <item x="289"/>
        <item x="237"/>
        <item x="295"/>
        <item x="362"/>
        <item x="349"/>
        <item x="528"/>
        <item x="39"/>
        <item x="174"/>
        <item x="508"/>
        <item x="258"/>
        <item x="135"/>
        <item x="168"/>
        <item x="493"/>
        <item x="187"/>
        <item x="268"/>
        <item x="483"/>
        <item x="78"/>
        <item x="304"/>
        <item x="474"/>
        <item x="6"/>
        <item x="301"/>
        <item x="284"/>
        <item x="79"/>
        <item x="186"/>
        <item x="276"/>
        <item x="433"/>
        <item x="499"/>
        <item x="216"/>
        <item x="323"/>
        <item x="55"/>
        <item x="278"/>
        <item x="193"/>
        <item x="316"/>
        <item x="13"/>
        <item x="279"/>
        <item x="40"/>
        <item x="314"/>
        <item x="191"/>
        <item x="146"/>
        <item x="416"/>
        <item x="207"/>
        <item x="227"/>
        <item x="259"/>
        <item x="105"/>
        <item x="249"/>
        <item x="516"/>
        <item x="136"/>
        <item x="36"/>
        <item x="312"/>
        <item x="34"/>
        <item x="319"/>
        <item x="503"/>
        <item x="331"/>
        <item x="240"/>
        <item x="421"/>
        <item x="192"/>
        <item x="311"/>
        <item x="267"/>
        <item x="117"/>
        <item x="496"/>
        <item x="134"/>
        <item x="390"/>
        <item x="449"/>
        <item x="76"/>
        <item x="160"/>
        <item x="360"/>
        <item x="385"/>
        <item x="460"/>
        <item x="166"/>
        <item x="234"/>
        <item x="245"/>
        <item x="95"/>
        <item x="50"/>
        <item x="407"/>
        <item x="322"/>
        <item x="265"/>
        <item x="464"/>
        <item x="479"/>
        <item x="487"/>
        <item x="451"/>
        <item x="115"/>
        <item x="159"/>
        <item x="225"/>
        <item x="111"/>
        <item x="308"/>
        <item x="122"/>
        <item x="114"/>
        <item x="59"/>
        <item x="382"/>
        <item x="129"/>
        <item x="188"/>
        <item x="485"/>
        <item x="107"/>
        <item x="158"/>
        <item x="530"/>
        <item x="30"/>
        <item x="125"/>
        <item x="313"/>
        <item x="430"/>
        <item x="435"/>
        <item t="default"/>
      </items>
    </pivotField>
    <pivotField numFmtId="14" showAll="0"/>
    <pivotField numFmtId="165" showAll="0"/>
    <pivotField numFmtId="1" showAll="0"/>
    <pivotField showAll="0">
      <items count="8">
        <item x="0"/>
        <item x="5"/>
        <item x="3"/>
        <item x="1"/>
        <item x="4"/>
        <item x="6"/>
        <item x="2"/>
        <item t="default"/>
      </items>
    </pivotField>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pivotField showAll="0"/>
    <pivotField numFmtId="1" showAll="0">
      <items count="102">
        <item x="13"/>
        <item x="6"/>
        <item x="99"/>
        <item x="20"/>
        <item x="69"/>
        <item x="78"/>
        <item x="65"/>
        <item x="34"/>
        <item x="39"/>
        <item x="87"/>
        <item x="95"/>
        <item x="17"/>
        <item x="32"/>
        <item x="44"/>
        <item x="31"/>
        <item x="48"/>
        <item x="88"/>
        <item x="71"/>
        <item x="57"/>
        <item x="96"/>
        <item x="66"/>
        <item x="68"/>
        <item x="46"/>
        <item x="73"/>
        <item x="50"/>
        <item x="14"/>
        <item x="8"/>
        <item x="21"/>
        <item x="72"/>
        <item x="94"/>
        <item x="55"/>
        <item x="97"/>
        <item x="7"/>
        <item x="36"/>
        <item x="91"/>
        <item x="93"/>
        <item x="58"/>
        <item x="86"/>
        <item x="11"/>
        <item x="4"/>
        <item x="42"/>
        <item x="81"/>
        <item x="19"/>
        <item x="80"/>
        <item x="52"/>
        <item x="30"/>
        <item x="63"/>
        <item x="3"/>
        <item x="60"/>
        <item x="77"/>
        <item x="16"/>
        <item x="82"/>
        <item x="64"/>
        <item x="56"/>
        <item x="84"/>
        <item x="38"/>
        <item x="2"/>
        <item x="10"/>
        <item x="27"/>
        <item x="76"/>
        <item x="22"/>
        <item x="47"/>
        <item x="12"/>
        <item x="40"/>
        <item x="61"/>
        <item x="15"/>
        <item x="29"/>
        <item x="79"/>
        <item x="53"/>
        <item x="1"/>
        <item x="85"/>
        <item x="5"/>
        <item x="35"/>
        <item x="59"/>
        <item x="98"/>
        <item x="100"/>
        <item x="24"/>
        <item x="70"/>
        <item x="18"/>
        <item x="37"/>
        <item x="54"/>
        <item x="74"/>
        <item x="45"/>
        <item x="75"/>
        <item x="0"/>
        <item x="26"/>
        <item x="89"/>
        <item x="62"/>
        <item x="51"/>
        <item x="83"/>
        <item x="9"/>
        <item x="23"/>
        <item x="92"/>
        <item x="67"/>
        <item x="43"/>
        <item x="49"/>
        <item x="41"/>
        <item x="28"/>
        <item x="25"/>
        <item x="33"/>
        <item x="90"/>
        <item t="default"/>
      </items>
    </pivotField>
    <pivotField numFmtId="164" showAll="0"/>
    <pivotField showAll="0"/>
    <pivotField showAll="0"/>
    <pivotField axis="axisRow" numFmtId="1" showAll="0">
      <items count="925">
        <item x="820"/>
        <item x="647"/>
        <item x="269"/>
        <item x="416"/>
        <item x="448"/>
        <item x="701"/>
        <item x="5"/>
        <item x="919"/>
        <item x="73"/>
        <item x="680"/>
        <item x="640"/>
        <item x="290"/>
        <item x="407"/>
        <item x="395"/>
        <item x="423"/>
        <item x="272"/>
        <item x="409"/>
        <item x="332"/>
        <item x="422"/>
        <item x="205"/>
        <item x="150"/>
        <item x="609"/>
        <item x="565"/>
        <item x="435"/>
        <item x="206"/>
        <item x="180"/>
        <item x="125"/>
        <item x="509"/>
        <item x="203"/>
        <item x="323"/>
        <item x="342"/>
        <item x="314"/>
        <item x="718"/>
        <item x="761"/>
        <item x="858"/>
        <item x="432"/>
        <item x="592"/>
        <item x="141"/>
        <item x="459"/>
        <item x="11"/>
        <item x="175"/>
        <item x="174"/>
        <item x="528"/>
        <item x="786"/>
        <item x="705"/>
        <item x="394"/>
        <item x="229"/>
        <item x="207"/>
        <item x="883"/>
        <item x="86"/>
        <item x="532"/>
        <item x="451"/>
        <item x="374"/>
        <item x="878"/>
        <item x="833"/>
        <item x="700"/>
        <item x="526"/>
        <item x="22"/>
        <item x="292"/>
        <item x="246"/>
        <item x="494"/>
        <item x="679"/>
        <item x="601"/>
        <item x="367"/>
        <item x="399"/>
        <item x="337"/>
        <item x="8"/>
        <item x="677"/>
        <item x="401"/>
        <item x="68"/>
        <item x="66"/>
        <item x="468"/>
        <item x="260"/>
        <item x="517"/>
        <item x="729"/>
        <item x="277"/>
        <item x="502"/>
        <item x="650"/>
        <item x="866"/>
        <item x="627"/>
        <item x="612"/>
        <item x="462"/>
        <item x="415"/>
        <item x="660"/>
        <item x="67"/>
        <item x="489"/>
        <item x="238"/>
        <item x="775"/>
        <item x="678"/>
        <item x="768"/>
        <item x="51"/>
        <item x="181"/>
        <item x="893"/>
        <item x="157"/>
        <item x="607"/>
        <item x="46"/>
        <item x="482"/>
        <item x="241"/>
        <item x="156"/>
        <item x="127"/>
        <item x="153"/>
        <item x="550"/>
        <item x="280"/>
        <item x="515"/>
        <item x="805"/>
        <item x="554"/>
        <item x="512"/>
        <item x="450"/>
        <item x="479"/>
        <item x="88"/>
        <item x="698"/>
        <item x="389"/>
        <item x="90"/>
        <item x="44"/>
        <item x="320"/>
        <item x="340"/>
        <item x="308"/>
        <item x="800"/>
        <item x="122"/>
        <item x="321"/>
        <item x="431"/>
        <item x="785"/>
        <item x="15"/>
        <item x="222"/>
        <item x="94"/>
        <item x="10"/>
        <item x="559"/>
        <item x="588"/>
        <item x="553"/>
        <item x="210"/>
        <item x="237"/>
        <item x="441"/>
        <item x="434"/>
        <item x="755"/>
        <item x="235"/>
        <item x="117"/>
        <item x="474"/>
        <item x="160"/>
        <item x="587"/>
        <item x="257"/>
        <item x="318"/>
        <item x="457"/>
        <item x="492"/>
        <item x="6"/>
        <item x="491"/>
        <item x="499"/>
        <item x="728"/>
        <item x="906"/>
        <item x="692"/>
        <item x="356"/>
        <item x="816"/>
        <item x="31"/>
        <item x="719"/>
        <item x="58"/>
        <item x="309"/>
        <item x="822"/>
        <item x="651"/>
        <item x="37"/>
        <item x="889"/>
        <item x="764"/>
        <item x="516"/>
        <item x="655"/>
        <item x="819"/>
        <item x="633"/>
        <item x="696"/>
        <item x="577"/>
        <item x="726"/>
        <item x="518"/>
        <item x="147"/>
        <item x="463"/>
        <item x="618"/>
        <item x="335"/>
        <item x="848"/>
        <item x="212"/>
        <item x="75"/>
        <item x="165"/>
        <item x="115"/>
        <item x="709"/>
        <item x="739"/>
        <item x="211"/>
        <item x="3"/>
        <item x="868"/>
        <item x="467"/>
        <item x="376"/>
        <item x="61"/>
        <item x="225"/>
        <item x="495"/>
        <item x="784"/>
        <item x="254"/>
        <item x="799"/>
        <item x="259"/>
        <item x="725"/>
        <item x="888"/>
        <item x="403"/>
        <item x="567"/>
        <item x="281"/>
        <item x="908"/>
        <item x="142"/>
        <item x="546"/>
        <item x="188"/>
        <item x="14"/>
        <item x="464"/>
        <item x="184"/>
        <item x="200"/>
        <item x="751"/>
        <item x="541"/>
        <item x="600"/>
        <item x="311"/>
        <item x="319"/>
        <item x="544"/>
        <item x="63"/>
        <item x="265"/>
        <item x="295"/>
        <item x="896"/>
        <item x="746"/>
        <item x="192"/>
        <item x="620"/>
        <item x="62"/>
        <item x="17"/>
        <item x="596"/>
        <item x="132"/>
        <item x="839"/>
        <item x="285"/>
        <item x="414"/>
        <item x="591"/>
        <item x="684"/>
        <item x="689"/>
        <item x="406"/>
        <item x="796"/>
        <item x="804"/>
        <item x="91"/>
        <item x="687"/>
        <item x="824"/>
        <item x="625"/>
        <item x="897"/>
        <item x="575"/>
        <item x="628"/>
        <item x="676"/>
        <item x="387"/>
        <item x="498"/>
        <item x="446"/>
        <item x="576"/>
        <item x="49"/>
        <item x="381"/>
        <item x="769"/>
        <item x="703"/>
        <item x="593"/>
        <item x="433"/>
        <item x="548"/>
        <item x="674"/>
        <item x="616"/>
        <item x="78"/>
        <item x="864"/>
        <item x="551"/>
        <item x="801"/>
        <item x="358"/>
        <item x="776"/>
        <item x="857"/>
        <item x="120"/>
        <item x="444"/>
        <item x="844"/>
        <item x="606"/>
        <item x="594"/>
        <item x="733"/>
        <item x="388"/>
        <item x="777"/>
        <item x="187"/>
        <item x="555"/>
        <item x="24"/>
        <item x="566"/>
        <item x="712"/>
        <item x="828"/>
        <item x="317"/>
        <item x="158"/>
        <item x="313"/>
        <item x="339"/>
        <item x="438"/>
        <item x="392"/>
        <item x="244"/>
        <item x="652"/>
        <item x="297"/>
        <item x="378"/>
        <item x="177"/>
        <item x="386"/>
        <item x="779"/>
        <item x="558"/>
        <item x="811"/>
        <item x="228"/>
        <item x="657"/>
        <item x="439"/>
        <item x="621"/>
        <item x="867"/>
        <item x="590"/>
        <item x="312"/>
        <item x="440"/>
        <item x="74"/>
        <item x="329"/>
        <item x="266"/>
        <item x="429"/>
        <item x="580"/>
        <item x="110"/>
        <item x="542"/>
        <item x="853"/>
        <item x="860"/>
        <item x="879"/>
        <item x="331"/>
        <item x="293"/>
        <item x="282"/>
        <item x="12"/>
        <item x="735"/>
        <item x="326"/>
        <item x="595"/>
        <item x="136"/>
        <item x="40"/>
        <item x="408"/>
        <item x="48"/>
        <item x="634"/>
        <item x="791"/>
        <item x="236"/>
        <item x="220"/>
        <item x="179"/>
        <item x="497"/>
        <item x="345"/>
        <item x="681"/>
        <item x="648"/>
        <item x="907"/>
        <item x="905"/>
        <item x="862"/>
        <item x="26"/>
        <item x="81"/>
        <item x="535"/>
        <item x="798"/>
        <item x="186"/>
        <item x="2"/>
        <item x="827"/>
        <item x="699"/>
        <item x="597"/>
        <item x="900"/>
        <item x="413"/>
        <item x="65"/>
        <item x="578"/>
        <item x="50"/>
        <item x="129"/>
        <item x="330"/>
        <item x="418"/>
        <item x="224"/>
        <item x="56"/>
        <item x="102"/>
        <item x="752"/>
        <item x="500"/>
        <item x="797"/>
        <item x="870"/>
        <item x="626"/>
        <item x="720"/>
        <item x="398"/>
        <item x="802"/>
        <item x="4"/>
        <item x="370"/>
        <item x="649"/>
        <item x="279"/>
        <item x="821"/>
        <item x="133"/>
        <item x="641"/>
        <item x="25"/>
        <item x="193"/>
        <item x="569"/>
        <item x="871"/>
        <item x="373"/>
        <item x="274"/>
        <item x="530"/>
        <item x="646"/>
        <item x="793"/>
        <item x="64"/>
        <item x="305"/>
        <item x="713"/>
        <item x="404"/>
        <item x="194"/>
        <item x="166"/>
        <item x="103"/>
        <item x="197"/>
        <item x="818"/>
        <item x="283"/>
        <item x="223"/>
        <item x="899"/>
        <item x="922"/>
        <item x="671"/>
        <item x="581"/>
        <item x="152"/>
        <item x="708"/>
        <item x="714"/>
        <item x="334"/>
        <item x="145"/>
        <item x="355"/>
        <item x="505"/>
        <item x="472"/>
        <item x="724"/>
        <item x="744"/>
        <item x="351"/>
        <item x="146"/>
        <item x="911"/>
        <item x="465"/>
        <item x="851"/>
        <item x="470"/>
        <item x="456"/>
        <item x="226"/>
        <item x="521"/>
        <item x="727"/>
        <item x="352"/>
        <item x="471"/>
        <item x="372"/>
        <item x="854"/>
        <item x="402"/>
        <item x="658"/>
        <item x="885"/>
        <item x="672"/>
        <item x="740"/>
        <item x="823"/>
        <item x="377"/>
        <item x="124"/>
        <item x="661"/>
        <item x="82"/>
        <item x="547"/>
        <item x="232"/>
        <item x="863"/>
        <item x="562"/>
        <item x="149"/>
        <item x="261"/>
        <item x="234"/>
        <item x="789"/>
        <item x="665"/>
        <item x="199"/>
        <item x="656"/>
        <item x="610"/>
        <item x="901"/>
        <item x="1"/>
        <item x="255"/>
        <item x="36"/>
        <item x="845"/>
        <item x="787"/>
        <item x="189"/>
        <item x="877"/>
        <item x="694"/>
        <item x="855"/>
        <item x="881"/>
        <item x="856"/>
        <item x="704"/>
        <item x="369"/>
        <item x="673"/>
        <item x="173"/>
        <item x="123"/>
        <item x="353"/>
        <item x="503"/>
        <item x="393"/>
        <item x="306"/>
        <item x="85"/>
        <item x="230"/>
        <item x="169"/>
        <item x="196"/>
        <item x="478"/>
        <item x="23"/>
        <item x="536"/>
        <item x="39"/>
        <item x="302"/>
        <item x="490"/>
        <item x="890"/>
        <item x="461"/>
        <item x="348"/>
        <item x="579"/>
        <item x="750"/>
        <item x="382"/>
        <item x="915"/>
        <item x="667"/>
        <item x="424"/>
        <item x="154"/>
        <item x="850"/>
        <item x="872"/>
        <item x="106"/>
        <item x="757"/>
        <item x="738"/>
        <item x="693"/>
        <item x="832"/>
        <item x="239"/>
        <item x="903"/>
        <item x="572"/>
        <item x="248"/>
        <item x="215"/>
        <item x="614"/>
        <item x="666"/>
        <item x="636"/>
        <item x="419"/>
        <item x="216"/>
        <item x="275"/>
        <item x="185"/>
        <item x="198"/>
        <item x="34"/>
        <item x="806"/>
        <item x="586"/>
        <item x="291"/>
        <item x="163"/>
        <item x="582"/>
        <item x="643"/>
        <item x="139"/>
        <item x="758"/>
        <item x="322"/>
        <item x="537"/>
        <item x="262"/>
        <item x="894"/>
        <item x="263"/>
        <item x="436"/>
        <item x="561"/>
        <item x="425"/>
        <item x="38"/>
        <item x="137"/>
        <item x="895"/>
        <item x="428"/>
        <item x="773"/>
        <item x="209"/>
        <item x="485"/>
        <item x="107"/>
        <item x="734"/>
        <item x="794"/>
        <item x="349"/>
        <item x="396"/>
        <item x="116"/>
        <item x="27"/>
        <item x="501"/>
        <item x="765"/>
        <item x="35"/>
        <item x="221"/>
        <item x="513"/>
        <item x="347"/>
        <item x="126"/>
        <item x="762"/>
        <item x="568"/>
        <item x="481"/>
        <item x="560"/>
        <item x="604"/>
        <item x="258"/>
        <item x="178"/>
        <item x="84"/>
        <item x="686"/>
        <item x="303"/>
        <item x="916"/>
        <item x="108"/>
        <item x="7"/>
        <item x="98"/>
        <item x="483"/>
        <item x="605"/>
        <item x="0"/>
        <item x="529"/>
        <item x="843"/>
        <item x="245"/>
        <item x="364"/>
        <item x="921"/>
        <item x="213"/>
        <item x="836"/>
        <item x="447"/>
        <item x="96"/>
        <item x="100"/>
        <item x="201"/>
        <item x="826"/>
        <item x="195"/>
        <item x="617"/>
        <item x="243"/>
        <item x="77"/>
        <item x="695"/>
        <item x="599"/>
        <item x="362"/>
        <item x="736"/>
        <item x="707"/>
        <item x="570"/>
        <item x="639"/>
        <item x="400"/>
        <item x="270"/>
        <item x="268"/>
        <item x="171"/>
        <item x="803"/>
        <item x="688"/>
        <item x="359"/>
        <item x="742"/>
        <item x="771"/>
        <item x="286"/>
        <item x="138"/>
        <item x="183"/>
        <item x="706"/>
        <item x="645"/>
        <item x="760"/>
        <item x="912"/>
        <item x="837"/>
        <item x="449"/>
        <item x="72"/>
        <item x="721"/>
        <item x="874"/>
        <item x="327"/>
        <item x="520"/>
        <item x="574"/>
        <item x="299"/>
        <item x="838"/>
        <item x="741"/>
        <item x="583"/>
        <item x="458"/>
        <item x="114"/>
        <item x="831"/>
        <item x="251"/>
        <item x="635"/>
        <item x="923"/>
        <item x="460"/>
        <item x="523"/>
        <item x="316"/>
        <item x="556"/>
        <item x="506"/>
        <item x="105"/>
        <item x="93"/>
        <item x="898"/>
        <item x="914"/>
        <item x="164"/>
        <item x="715"/>
        <item x="745"/>
        <item x="383"/>
        <item x="135"/>
        <item x="527"/>
        <item x="325"/>
        <item x="589"/>
        <item x="227"/>
        <item x="252"/>
        <item x="585"/>
        <item x="814"/>
        <item x="514"/>
        <item x="869"/>
        <item x="101"/>
        <item x="182"/>
        <item x="780"/>
        <item x="564"/>
        <item x="603"/>
        <item x="662"/>
        <item x="882"/>
        <item x="508"/>
        <item x="300"/>
        <item x="52"/>
        <item x="454"/>
        <item x="859"/>
        <item x="737"/>
        <item x="391"/>
        <item x="730"/>
        <item x="507"/>
        <item x="32"/>
        <item x="42"/>
        <item x="28"/>
        <item x="829"/>
        <item x="92"/>
        <item x="770"/>
        <item x="475"/>
        <item x="410"/>
        <item x="563"/>
        <item x="57"/>
        <item x="807"/>
        <item x="522"/>
        <item x="493"/>
        <item x="267"/>
        <item x="118"/>
        <item x="637"/>
        <item x="611"/>
        <item x="812"/>
        <item x="631"/>
        <item x="861"/>
        <item x="452"/>
        <item x="80"/>
        <item x="365"/>
        <item x="682"/>
        <item x="717"/>
        <item x="363"/>
        <item x="278"/>
        <item x="130"/>
        <item x="143"/>
        <item x="817"/>
        <item x="886"/>
        <item x="121"/>
        <item x="128"/>
        <item x="842"/>
        <item x="20"/>
        <item x="813"/>
        <item x="690"/>
        <item x="759"/>
        <item x="45"/>
        <item x="778"/>
        <item x="112"/>
        <item x="55"/>
        <item x="638"/>
        <item x="716"/>
        <item x="790"/>
        <item x="144"/>
        <item x="83"/>
        <item x="202"/>
        <item x="788"/>
        <item x="552"/>
        <item x="301"/>
        <item x="722"/>
        <item x="109"/>
        <item x="477"/>
        <item x="624"/>
        <item x="756"/>
        <item x="743"/>
        <item x="504"/>
        <item x="918"/>
        <item x="233"/>
        <item x="711"/>
        <item x="95"/>
        <item x="663"/>
        <item x="747"/>
        <item x="466"/>
        <item x="405"/>
        <item x="421"/>
        <item x="753"/>
        <item x="13"/>
        <item x="473"/>
        <item x="390"/>
        <item x="772"/>
        <item x="622"/>
        <item x="249"/>
        <item x="774"/>
        <item x="217"/>
        <item x="328"/>
        <item x="543"/>
        <item x="702"/>
        <item x="841"/>
        <item x="338"/>
        <item x="763"/>
        <item x="455"/>
        <item x="781"/>
        <item x="276"/>
        <item x="9"/>
        <item x="247"/>
        <item x="691"/>
        <item x="809"/>
        <item x="782"/>
        <item x="849"/>
        <item x="214"/>
        <item x="476"/>
        <item x="104"/>
        <item x="71"/>
        <item x="664"/>
        <item x="134"/>
        <item x="29"/>
        <item x="87"/>
        <item x="191"/>
        <item x="70"/>
        <item x="155"/>
        <item x="161"/>
        <item x="368"/>
        <item x="910"/>
        <item x="538"/>
        <item x="453"/>
        <item x="510"/>
        <item x="250"/>
        <item x="357"/>
        <item x="384"/>
        <item x="140"/>
        <item x="524"/>
        <item x="41"/>
        <item x="917"/>
        <item x="208"/>
        <item x="346"/>
        <item x="336"/>
        <item x="913"/>
        <item x="47"/>
        <item x="668"/>
        <item x="69"/>
        <item x="488"/>
        <item x="539"/>
        <item x="808"/>
        <item x="99"/>
        <item x="16"/>
        <item x="710"/>
        <item x="525"/>
        <item x="445"/>
        <item x="354"/>
        <item x="887"/>
        <item x="602"/>
        <item x="380"/>
        <item x="835"/>
        <item x="304"/>
        <item x="30"/>
        <item x="288"/>
        <item x="519"/>
        <item x="19"/>
        <item x="549"/>
        <item x="557"/>
        <item x="307"/>
        <item x="669"/>
        <item x="426"/>
        <item x="420"/>
        <item x="371"/>
        <item x="148"/>
        <item x="33"/>
        <item x="767"/>
        <item x="810"/>
        <item x="615"/>
        <item x="875"/>
        <item x="846"/>
        <item x="119"/>
        <item x="573"/>
        <item x="659"/>
        <item x="670"/>
        <item x="315"/>
        <item x="385"/>
        <item x="242"/>
        <item x="231"/>
        <item x="654"/>
        <item x="748"/>
        <item x="865"/>
        <item x="350"/>
        <item x="511"/>
        <item x="333"/>
        <item x="815"/>
        <item x="131"/>
        <item x="253"/>
        <item x="412"/>
        <item x="884"/>
        <item x="443"/>
        <item x="486"/>
        <item x="685"/>
        <item x="190"/>
        <item x="598"/>
        <item x="731"/>
        <item x="873"/>
        <item x="176"/>
        <item x="298"/>
        <item x="341"/>
        <item x="168"/>
        <item x="531"/>
        <item x="79"/>
        <item x="754"/>
        <item x="783"/>
        <item x="264"/>
        <item x="792"/>
        <item x="540"/>
        <item x="170"/>
        <item x="909"/>
        <item x="830"/>
        <item x="545"/>
        <item x="43"/>
        <item x="619"/>
        <item x="795"/>
        <item x="840"/>
        <item x="294"/>
        <item x="375"/>
        <item x="629"/>
        <item x="296"/>
        <item x="487"/>
        <item x="891"/>
        <item x="361"/>
        <item x="310"/>
        <item x="324"/>
        <item x="427"/>
        <item x="902"/>
        <item x="749"/>
        <item x="379"/>
        <item x="271"/>
        <item x="825"/>
        <item x="60"/>
        <item x="21"/>
        <item x="289"/>
        <item x="366"/>
        <item x="766"/>
        <item x="273"/>
        <item x="76"/>
        <item x="256"/>
        <item x="97"/>
        <item x="89"/>
        <item x="167"/>
        <item x="442"/>
        <item x="904"/>
        <item x="533"/>
        <item x="623"/>
        <item x="642"/>
        <item x="18"/>
        <item x="54"/>
        <item x="653"/>
        <item x="53"/>
        <item x="480"/>
        <item x="218"/>
        <item x="113"/>
        <item x="852"/>
        <item x="287"/>
        <item x="59"/>
        <item x="920"/>
        <item x="240"/>
        <item x="892"/>
        <item x="484"/>
        <item x="632"/>
        <item x="411"/>
        <item x="159"/>
        <item x="360"/>
        <item x="219"/>
        <item x="697"/>
        <item x="630"/>
        <item x="876"/>
        <item x="417"/>
        <item x="723"/>
        <item x="880"/>
        <item x="613"/>
        <item x="162"/>
        <item x="204"/>
        <item x="437"/>
        <item x="608"/>
        <item x="111"/>
        <item x="284"/>
        <item x="344"/>
        <item x="534"/>
        <item x="343"/>
        <item x="675"/>
        <item x="469"/>
        <item x="644"/>
        <item x="151"/>
        <item x="430"/>
        <item x="683"/>
        <item x="847"/>
        <item x="397"/>
        <item x="584"/>
        <item x="172"/>
        <item x="496"/>
        <item x="834"/>
        <item x="732"/>
        <item x="571"/>
        <item t="default"/>
      </items>
    </pivotField>
    <pivotField showAll="0"/>
    <pivotField showAll="0">
      <items count="6">
        <item x="2"/>
        <item x="1"/>
        <item x="0"/>
        <item x="3"/>
        <item x="4"/>
        <item t="default"/>
      </items>
    </pivotField>
    <pivotField showAll="0"/>
    <pivotField numFmtId="1" showAll="0"/>
    <pivotField showAll="0" nonAutoSortDefault="1">
      <items count="4">
        <item x="0"/>
        <item x="1"/>
        <item x="2"/>
        <item t="default"/>
      </items>
    </pivotField>
    <pivotField numFmtId="164" showAll="0"/>
    <pivotField showAll="0"/>
    <pivotField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6">
        <item n="0-20" sd="0" x="0"/>
        <item n="21-40" sd="0" x="1"/>
        <item n="41-60" sd="0" x="2"/>
        <item n="61-80" sd="0" x="3"/>
        <item n="81-100" sd="0" x="4"/>
        <item t="default"/>
      </items>
    </pivotField>
    <pivotField axis="axisRow" showAll="0">
      <items count="6">
        <item n="0-1000" sd="0" x="0"/>
        <item n="1001-2000" sd="0" x="1"/>
        <item n="2001-3000" sd="0" x="2"/>
        <item n="3001-4000" sd="0" x="3"/>
        <item n="4001-5000" sd="0" x="4"/>
        <item t="default"/>
      </items>
    </pivotField>
  </pivotFields>
  <rowFields count="2">
    <field x="33"/>
    <field x="19"/>
  </rowFields>
  <rowItems count="6">
    <i>
      <x/>
    </i>
    <i>
      <x v="1"/>
    </i>
    <i>
      <x v="2"/>
    </i>
    <i>
      <x v="3"/>
    </i>
    <i>
      <x v="4"/>
    </i>
    <i t="grand">
      <x/>
    </i>
  </rowItems>
  <colItems count="1">
    <i/>
  </colItems>
  <dataFields count="1">
    <dataField name="Count of User_ID" fld="0" subtotal="count" baseField="0" baseItem="0"/>
  </dataFields>
  <formats count="15">
    <format dxfId="82">
      <pivotArea type="all" dataOnly="0" outline="0" fieldPosition="0"/>
    </format>
    <format dxfId="81">
      <pivotArea outline="0" collapsedLevelsAreSubtotals="1" fieldPosition="0"/>
    </format>
    <format dxfId="80">
      <pivotArea field="24" type="button" dataOnly="0" labelOnly="1" outline="0"/>
    </format>
    <format dxfId="79">
      <pivotArea dataOnly="0" labelOnly="1" grandRow="1" outline="0" fieldPosition="0"/>
    </format>
    <format dxfId="78">
      <pivotArea type="all" dataOnly="0" outline="0" fieldPosition="0"/>
    </format>
    <format dxfId="77">
      <pivotArea outline="0" collapsedLevelsAreSubtotals="1" fieldPosition="0"/>
    </format>
    <format dxfId="76">
      <pivotArea field="24" type="button" dataOnly="0" labelOnly="1" outline="0"/>
    </format>
    <format dxfId="75">
      <pivotArea dataOnly="0" labelOnly="1" grandRow="1" outline="0" fieldPosition="0"/>
    </format>
    <format dxfId="74">
      <pivotArea type="all" dataOnly="0" outline="0" fieldPosition="0"/>
    </format>
    <format dxfId="73">
      <pivotArea outline="0" collapsedLevelsAreSubtotals="1" fieldPosition="0"/>
    </format>
    <format dxfId="72">
      <pivotArea field="24" type="button" dataOnly="0" labelOnly="1" outline="0"/>
    </format>
    <format dxfId="71">
      <pivotArea dataOnly="0" labelOnly="1" grandRow="1" outline="0" fieldPosition="0"/>
    </format>
    <format dxfId="70">
      <pivotArea dataOnly="0" labelOnly="1" fieldPosition="0">
        <references count="1">
          <reference field="33" count="0"/>
        </references>
      </pivotArea>
    </format>
    <format dxfId="69">
      <pivotArea dataOnly="0" labelOnly="1" fieldPosition="0">
        <references count="1">
          <reference field="33" count="0"/>
        </references>
      </pivotArea>
    </format>
    <format dxfId="68">
      <pivotArea dataOnly="0" labelOnly="1" fieldPosition="0">
        <references count="1">
          <reference field="33" count="0"/>
        </references>
      </pivotArea>
    </format>
  </formats>
  <chartFormats count="6">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3" count="1" selected="0">
            <x v="0"/>
          </reference>
        </references>
      </pivotArea>
    </chartFormat>
    <chartFormat chart="4" format="4">
      <pivotArea type="data" outline="0" fieldPosition="0">
        <references count="2">
          <reference field="4294967294" count="1" selected="0">
            <x v="0"/>
          </reference>
          <reference field="33" count="1" selected="0">
            <x v="2"/>
          </reference>
        </references>
      </pivotArea>
    </chartFormat>
    <chartFormat chart="4" format="5">
      <pivotArea type="data" outline="0" fieldPosition="0">
        <references count="2">
          <reference field="4294967294" count="1" selected="0">
            <x v="0"/>
          </reference>
          <reference field="33" count="1" selected="0">
            <x v="3"/>
          </reference>
        </references>
      </pivotArea>
    </chartFormat>
    <chartFormat chart="4" format="6">
      <pivotArea type="data" outline="0" fieldPosition="0">
        <references count="2">
          <reference field="4294967294" count="1" selected="0">
            <x v="0"/>
          </reference>
          <reference field="33" count="1" selected="0">
            <x v="4"/>
          </reference>
        </references>
      </pivotArea>
    </chartFormat>
    <chartFormat chart="4" format="7">
      <pivotArea type="data" outline="0" fieldPosition="0">
        <references count="2">
          <reference field="4294967294" count="1" selected="0">
            <x v="0"/>
          </reference>
          <reference field="3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EC704A-133E-442D-8352-0CF504EF715F}" name="4. Retention &amp; Loyalty: 1.0"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rowHeaderCaption="Status">
  <location ref="AB5:AC7" firstHeaderRow="1" firstDataRow="1" firstDataCol="1"/>
  <pivotFields count="34">
    <pivotField dataField="1" numFmtId="1" showAll="0"/>
    <pivotField showAll="0"/>
    <pivotField numFmtId="14" showAll="0">
      <items count="538">
        <item x="91"/>
        <item x="302"/>
        <item x="102"/>
        <item x="424"/>
        <item x="54"/>
        <item x="127"/>
        <item x="51"/>
        <item x="274"/>
        <item x="137"/>
        <item x="53"/>
        <item x="201"/>
        <item x="417"/>
        <item x="218"/>
        <item x="228"/>
        <item x="374"/>
        <item x="524"/>
        <item x="484"/>
        <item x="514"/>
        <item x="470"/>
        <item x="513"/>
        <item x="333"/>
        <item x="463"/>
        <item x="368"/>
        <item x="222"/>
        <item x="176"/>
        <item x="119"/>
        <item x="255"/>
        <item x="270"/>
        <item x="281"/>
        <item x="251"/>
        <item x="344"/>
        <item x="497"/>
        <item x="3"/>
        <item x="200"/>
        <item x="58"/>
        <item x="504"/>
        <item x="86"/>
        <item x="147"/>
        <item x="116"/>
        <item x="224"/>
        <item x="359"/>
        <item x="478"/>
        <item x="440"/>
        <item x="16"/>
        <item x="242"/>
        <item x="471"/>
        <item x="100"/>
        <item x="507"/>
        <item x="65"/>
        <item x="128"/>
        <item x="233"/>
        <item x="131"/>
        <item x="217"/>
        <item x="152"/>
        <item x="372"/>
        <item x="62"/>
        <item x="397"/>
        <item x="393"/>
        <item x="204"/>
        <item x="364"/>
        <item x="139"/>
        <item x="112"/>
        <item x="253"/>
        <item x="475"/>
        <item x="518"/>
        <item x="151"/>
        <item x="378"/>
        <item x="264"/>
        <item x="123"/>
        <item x="269"/>
        <item x="353"/>
        <item x="453"/>
        <item x="45"/>
        <item x="47"/>
        <item x="12"/>
        <item x="10"/>
        <item x="361"/>
        <item x="108"/>
        <item x="1"/>
        <item x="42"/>
        <item x="408"/>
        <item x="428"/>
        <item x="334"/>
        <item x="367"/>
        <item x="459"/>
        <item x="275"/>
        <item x="64"/>
        <item x="410"/>
        <item x="90"/>
        <item x="505"/>
        <item x="241"/>
        <item x="154"/>
        <item x="336"/>
        <item x="306"/>
        <item x="232"/>
        <item x="211"/>
        <item x="413"/>
        <item x="44"/>
        <item x="491"/>
        <item x="494"/>
        <item x="80"/>
        <item x="427"/>
        <item x="124"/>
        <item x="132"/>
        <item x="400"/>
        <item x="324"/>
        <item x="177"/>
        <item x="480"/>
        <item x="130"/>
        <item x="172"/>
        <item x="0"/>
        <item x="190"/>
        <item x="315"/>
        <item x="366"/>
        <item x="392"/>
        <item x="282"/>
        <item x="181"/>
        <item x="194"/>
        <item x="318"/>
        <item x="266"/>
        <item x="369"/>
        <item x="461"/>
        <item x="230"/>
        <item x="532"/>
        <item x="257"/>
        <item x="178"/>
        <item x="17"/>
        <item x="469"/>
        <item x="351"/>
        <item x="4"/>
        <item x="14"/>
        <item x="173"/>
        <item x="148"/>
        <item x="175"/>
        <item x="405"/>
        <item x="339"/>
        <item x="509"/>
        <item x="8"/>
        <item x="156"/>
        <item x="25"/>
        <item x="98"/>
        <item x="519"/>
        <item x="31"/>
        <item x="391"/>
        <item x="60"/>
        <item x="506"/>
        <item x="220"/>
        <item x="434"/>
        <item x="454"/>
        <item x="19"/>
        <item x="164"/>
        <item x="402"/>
        <item x="373"/>
        <item x="273"/>
        <item x="294"/>
        <item x="199"/>
        <item x="20"/>
        <item x="41"/>
        <item x="476"/>
        <item x="244"/>
        <item x="510"/>
        <item x="94"/>
        <item x="468"/>
        <item x="229"/>
        <item x="49"/>
        <item x="239"/>
        <item x="395"/>
        <item x="68"/>
        <item x="2"/>
        <item x="88"/>
        <item x="250"/>
        <item x="236"/>
        <item x="101"/>
        <item x="436"/>
        <item x="247"/>
        <item x="260"/>
        <item x="189"/>
        <item x="515"/>
        <item x="183"/>
        <item x="37"/>
        <item x="75"/>
        <item x="398"/>
        <item x="482"/>
        <item x="335"/>
        <item x="330"/>
        <item x="511"/>
        <item x="296"/>
        <item x="208"/>
        <item x="213"/>
        <item x="399"/>
        <item x="46"/>
        <item x="206"/>
        <item x="288"/>
        <item x="133"/>
        <item x="69"/>
        <item x="457"/>
        <item x="197"/>
        <item x="409"/>
        <item x="337"/>
        <item x="84"/>
        <item x="486"/>
        <item x="383"/>
        <item x="35"/>
        <item x="442"/>
        <item x="5"/>
        <item x="381"/>
        <item x="293"/>
        <item x="18"/>
        <item x="467"/>
        <item x="23"/>
        <item x="425"/>
        <item x="162"/>
        <item x="423"/>
        <item x="332"/>
        <item x="271"/>
        <item x="106"/>
        <item x="346"/>
        <item x="113"/>
        <item x="477"/>
        <item x="437"/>
        <item x="422"/>
        <item x="57"/>
        <item x="67"/>
        <item x="223"/>
        <item x="153"/>
        <item x="140"/>
        <item x="87"/>
        <item x="82"/>
        <item x="231"/>
        <item x="73"/>
        <item x="501"/>
        <item x="305"/>
        <item x="89"/>
        <item x="431"/>
        <item x="340"/>
        <item x="143"/>
        <item x="456"/>
        <item x="472"/>
        <item x="341"/>
        <item x="298"/>
        <item x="529"/>
        <item x="326"/>
        <item x="212"/>
        <item x="195"/>
        <item x="347"/>
        <item x="462"/>
        <item x="196"/>
        <item x="22"/>
        <item x="388"/>
        <item x="534"/>
        <item x="120"/>
        <item x="536"/>
        <item x="66"/>
        <item x="32"/>
        <item x="517"/>
        <item x="285"/>
        <item x="9"/>
        <item x="492"/>
        <item x="170"/>
        <item x="72"/>
        <item x="327"/>
        <item x="96"/>
        <item x="184"/>
        <item x="329"/>
        <item x="371"/>
        <item x="320"/>
        <item x="342"/>
        <item x="377"/>
        <item x="452"/>
        <item x="527"/>
        <item x="81"/>
        <item x="56"/>
        <item x="418"/>
        <item x="406"/>
        <item x="262"/>
        <item x="522"/>
        <item x="209"/>
        <item x="263"/>
        <item x="61"/>
        <item x="307"/>
        <item x="74"/>
        <item x="357"/>
        <item x="286"/>
        <item x="205"/>
        <item x="261"/>
        <item x="443"/>
        <item x="414"/>
        <item x="203"/>
        <item x="33"/>
        <item x="126"/>
        <item x="248"/>
        <item x="142"/>
        <item x="280"/>
        <item x="394"/>
        <item x="287"/>
        <item x="243"/>
        <item x="110"/>
        <item x="317"/>
        <item x="303"/>
        <item x="161"/>
        <item x="489"/>
        <item x="215"/>
        <item x="27"/>
        <item x="144"/>
        <item x="121"/>
        <item x="246"/>
        <item x="321"/>
        <item x="163"/>
        <item x="525"/>
        <item x="104"/>
        <item x="415"/>
        <item x="92"/>
        <item x="419"/>
        <item x="38"/>
        <item x="438"/>
        <item x="309"/>
        <item x="150"/>
        <item x="473"/>
        <item x="171"/>
        <item x="155"/>
        <item x="348"/>
        <item x="198"/>
        <item x="185"/>
        <item x="387"/>
        <item x="83"/>
        <item x="426"/>
        <item x="11"/>
        <item x="103"/>
        <item x="375"/>
        <item x="354"/>
        <item x="495"/>
        <item x="219"/>
        <item x="498"/>
        <item x="432"/>
        <item x="531"/>
        <item x="252"/>
        <item x="63"/>
        <item x="99"/>
        <item x="355"/>
        <item x="328"/>
        <item x="358"/>
        <item x="202"/>
        <item x="180"/>
        <item x="157"/>
        <item x="28"/>
        <item x="379"/>
        <item x="444"/>
        <item x="445"/>
        <item x="138"/>
        <item x="533"/>
        <item x="52"/>
        <item x="450"/>
        <item x="412"/>
        <item x="43"/>
        <item x="420"/>
        <item x="272"/>
        <item x="370"/>
        <item x="526"/>
        <item x="290"/>
        <item x="292"/>
        <item x="283"/>
        <item x="300"/>
        <item x="343"/>
        <item x="384"/>
        <item x="210"/>
        <item x="535"/>
        <item x="145"/>
        <item x="401"/>
        <item x="523"/>
        <item x="403"/>
        <item x="179"/>
        <item x="350"/>
        <item x="169"/>
        <item x="512"/>
        <item x="439"/>
        <item x="310"/>
        <item x="256"/>
        <item x="235"/>
        <item x="376"/>
        <item x="363"/>
        <item x="396"/>
        <item x="24"/>
        <item x="254"/>
        <item x="15"/>
        <item x="149"/>
        <item x="26"/>
        <item x="465"/>
        <item x="458"/>
        <item x="520"/>
        <item x="490"/>
        <item x="352"/>
        <item x="118"/>
        <item x="7"/>
        <item x="93"/>
        <item x="221"/>
        <item x="214"/>
        <item x="356"/>
        <item x="521"/>
        <item x="345"/>
        <item x="386"/>
        <item x="448"/>
        <item x="441"/>
        <item x="429"/>
        <item x="502"/>
        <item x="21"/>
        <item x="182"/>
        <item x="365"/>
        <item x="141"/>
        <item x="48"/>
        <item x="500"/>
        <item x="299"/>
        <item x="226"/>
        <item x="338"/>
        <item x="85"/>
        <item x="481"/>
        <item x="411"/>
        <item x="488"/>
        <item x="297"/>
        <item x="29"/>
        <item x="167"/>
        <item x="97"/>
        <item x="70"/>
        <item x="447"/>
        <item x="238"/>
        <item x="109"/>
        <item x="380"/>
        <item x="325"/>
        <item x="466"/>
        <item x="389"/>
        <item x="165"/>
        <item x="404"/>
        <item x="71"/>
        <item x="277"/>
        <item x="77"/>
        <item x="291"/>
        <item x="446"/>
        <item x="455"/>
        <item x="289"/>
        <item x="237"/>
        <item x="295"/>
        <item x="362"/>
        <item x="349"/>
        <item x="528"/>
        <item x="39"/>
        <item x="174"/>
        <item x="508"/>
        <item x="258"/>
        <item x="135"/>
        <item x="168"/>
        <item x="493"/>
        <item x="187"/>
        <item x="268"/>
        <item x="483"/>
        <item x="78"/>
        <item x="304"/>
        <item x="474"/>
        <item x="6"/>
        <item x="301"/>
        <item x="284"/>
        <item x="79"/>
        <item x="186"/>
        <item x="276"/>
        <item x="433"/>
        <item x="499"/>
        <item x="216"/>
        <item x="323"/>
        <item x="55"/>
        <item x="278"/>
        <item x="193"/>
        <item x="316"/>
        <item x="13"/>
        <item x="279"/>
        <item x="40"/>
        <item x="314"/>
        <item x="191"/>
        <item x="146"/>
        <item x="416"/>
        <item x="207"/>
        <item x="227"/>
        <item x="259"/>
        <item x="105"/>
        <item x="249"/>
        <item x="516"/>
        <item x="136"/>
        <item x="36"/>
        <item x="312"/>
        <item x="34"/>
        <item x="319"/>
        <item x="503"/>
        <item x="331"/>
        <item x="240"/>
        <item x="421"/>
        <item x="192"/>
        <item x="311"/>
        <item x="267"/>
        <item x="117"/>
        <item x="496"/>
        <item x="134"/>
        <item x="390"/>
        <item x="449"/>
        <item x="76"/>
        <item x="160"/>
        <item x="360"/>
        <item x="385"/>
        <item x="460"/>
        <item x="166"/>
        <item x="234"/>
        <item x="245"/>
        <item x="95"/>
        <item x="50"/>
        <item x="407"/>
        <item x="322"/>
        <item x="265"/>
        <item x="464"/>
        <item x="479"/>
        <item x="487"/>
        <item x="451"/>
        <item x="115"/>
        <item x="159"/>
        <item x="225"/>
        <item x="111"/>
        <item x="308"/>
        <item x="122"/>
        <item x="114"/>
        <item x="59"/>
        <item x="382"/>
        <item x="129"/>
        <item x="188"/>
        <item x="485"/>
        <item x="107"/>
        <item x="158"/>
        <item x="530"/>
        <item x="30"/>
        <item x="125"/>
        <item x="313"/>
        <item x="430"/>
        <item x="435"/>
        <item t="default"/>
      </items>
    </pivotField>
    <pivotField numFmtId="14" showAll="0"/>
    <pivotField numFmtId="165" showAll="0"/>
    <pivotField numFmtId="1" showAll="0"/>
    <pivotField showAll="0">
      <items count="8">
        <item x="0"/>
        <item x="5"/>
        <item x="3"/>
        <item x="1"/>
        <item x="4"/>
        <item x="6"/>
        <item x="2"/>
        <item t="default"/>
      </items>
    </pivotField>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pivotField showAll="0"/>
    <pivotField numFmtId="1" showAll="0">
      <items count="102">
        <item x="13"/>
        <item x="6"/>
        <item x="99"/>
        <item x="20"/>
        <item x="69"/>
        <item x="78"/>
        <item x="65"/>
        <item x="34"/>
        <item x="39"/>
        <item x="87"/>
        <item x="95"/>
        <item x="17"/>
        <item x="32"/>
        <item x="44"/>
        <item x="31"/>
        <item x="48"/>
        <item x="88"/>
        <item x="71"/>
        <item x="57"/>
        <item x="96"/>
        <item x="66"/>
        <item x="68"/>
        <item x="46"/>
        <item x="73"/>
        <item x="50"/>
        <item x="14"/>
        <item x="8"/>
        <item x="21"/>
        <item x="72"/>
        <item x="94"/>
        <item x="55"/>
        <item x="97"/>
        <item x="7"/>
        <item x="36"/>
        <item x="91"/>
        <item x="93"/>
        <item x="58"/>
        <item x="86"/>
        <item x="11"/>
        <item x="4"/>
        <item x="42"/>
        <item x="81"/>
        <item x="19"/>
        <item x="80"/>
        <item x="52"/>
        <item x="30"/>
        <item x="63"/>
        <item x="3"/>
        <item x="60"/>
        <item x="77"/>
        <item x="16"/>
        <item x="82"/>
        <item x="64"/>
        <item x="56"/>
        <item x="84"/>
        <item x="38"/>
        <item x="2"/>
        <item x="10"/>
        <item x="27"/>
        <item x="76"/>
        <item x="22"/>
        <item x="47"/>
        <item x="12"/>
        <item x="40"/>
        <item x="61"/>
        <item x="15"/>
        <item x="29"/>
        <item x="79"/>
        <item x="53"/>
        <item x="1"/>
        <item x="85"/>
        <item x="5"/>
        <item x="35"/>
        <item x="59"/>
        <item x="98"/>
        <item x="100"/>
        <item x="24"/>
        <item x="70"/>
        <item x="18"/>
        <item x="37"/>
        <item x="54"/>
        <item x="74"/>
        <item x="45"/>
        <item x="75"/>
        <item x="0"/>
        <item x="26"/>
        <item x="89"/>
        <item x="62"/>
        <item x="51"/>
        <item x="83"/>
        <item x="9"/>
        <item x="23"/>
        <item x="92"/>
        <item x="67"/>
        <item x="43"/>
        <item x="49"/>
        <item x="41"/>
        <item x="28"/>
        <item x="25"/>
        <item x="33"/>
        <item x="90"/>
        <item t="default"/>
      </items>
    </pivotField>
    <pivotField numFmtId="164" showAll="0"/>
    <pivotField showAll="0"/>
    <pivotField axis="axisRow" showAll="0">
      <items count="2">
        <item x="0"/>
        <item t="default"/>
      </items>
    </pivotField>
    <pivotField numFmtId="1" showAll="0">
      <items count="925">
        <item x="820"/>
        <item x="647"/>
        <item x="269"/>
        <item x="416"/>
        <item x="448"/>
        <item x="701"/>
        <item x="5"/>
        <item x="919"/>
        <item x="73"/>
        <item x="680"/>
        <item x="640"/>
        <item x="290"/>
        <item x="407"/>
        <item x="395"/>
        <item x="423"/>
        <item x="272"/>
        <item x="409"/>
        <item x="332"/>
        <item x="422"/>
        <item x="205"/>
        <item x="150"/>
        <item x="609"/>
        <item x="565"/>
        <item x="435"/>
        <item x="206"/>
        <item x="180"/>
        <item x="125"/>
        <item x="509"/>
        <item x="203"/>
        <item x="323"/>
        <item x="342"/>
        <item x="314"/>
        <item x="718"/>
        <item x="761"/>
        <item x="858"/>
        <item x="432"/>
        <item x="592"/>
        <item x="141"/>
        <item x="459"/>
        <item x="11"/>
        <item x="175"/>
        <item x="174"/>
        <item x="528"/>
        <item x="786"/>
        <item x="705"/>
        <item x="394"/>
        <item x="229"/>
        <item x="207"/>
        <item x="883"/>
        <item x="86"/>
        <item x="532"/>
        <item x="451"/>
        <item x="374"/>
        <item x="878"/>
        <item x="833"/>
        <item x="700"/>
        <item x="526"/>
        <item x="22"/>
        <item x="292"/>
        <item x="246"/>
        <item x="494"/>
        <item x="679"/>
        <item x="601"/>
        <item x="367"/>
        <item x="399"/>
        <item x="337"/>
        <item x="8"/>
        <item x="677"/>
        <item x="401"/>
        <item x="68"/>
        <item x="66"/>
        <item x="468"/>
        <item x="260"/>
        <item x="517"/>
        <item x="729"/>
        <item x="277"/>
        <item x="502"/>
        <item x="650"/>
        <item x="866"/>
        <item x="627"/>
        <item x="612"/>
        <item x="462"/>
        <item x="415"/>
        <item x="660"/>
        <item x="67"/>
        <item x="489"/>
        <item x="238"/>
        <item x="775"/>
        <item x="678"/>
        <item x="768"/>
        <item x="51"/>
        <item x="181"/>
        <item x="893"/>
        <item x="157"/>
        <item x="607"/>
        <item x="46"/>
        <item x="482"/>
        <item x="241"/>
        <item x="156"/>
        <item x="127"/>
        <item x="153"/>
        <item x="550"/>
        <item x="280"/>
        <item x="515"/>
        <item x="805"/>
        <item x="554"/>
        <item x="512"/>
        <item x="450"/>
        <item x="479"/>
        <item x="88"/>
        <item x="698"/>
        <item x="389"/>
        <item x="90"/>
        <item x="44"/>
        <item x="320"/>
        <item x="340"/>
        <item x="308"/>
        <item x="800"/>
        <item x="122"/>
        <item x="321"/>
        <item x="431"/>
        <item x="785"/>
        <item x="15"/>
        <item x="222"/>
        <item x="94"/>
        <item x="10"/>
        <item x="559"/>
        <item x="588"/>
        <item x="553"/>
        <item x="210"/>
        <item x="237"/>
        <item x="441"/>
        <item x="434"/>
        <item x="755"/>
        <item x="235"/>
        <item x="117"/>
        <item x="474"/>
        <item x="160"/>
        <item x="587"/>
        <item x="257"/>
        <item x="318"/>
        <item x="457"/>
        <item x="492"/>
        <item x="6"/>
        <item x="491"/>
        <item x="499"/>
        <item x="728"/>
        <item x="906"/>
        <item x="692"/>
        <item x="356"/>
        <item x="816"/>
        <item x="31"/>
        <item x="719"/>
        <item x="58"/>
        <item x="309"/>
        <item x="822"/>
        <item x="651"/>
        <item x="37"/>
        <item x="889"/>
        <item x="764"/>
        <item x="516"/>
        <item x="655"/>
        <item x="819"/>
        <item x="633"/>
        <item x="696"/>
        <item x="577"/>
        <item x="726"/>
        <item x="518"/>
        <item x="147"/>
        <item x="463"/>
        <item x="618"/>
        <item x="335"/>
        <item x="848"/>
        <item x="212"/>
        <item x="75"/>
        <item x="165"/>
        <item x="115"/>
        <item x="709"/>
        <item x="739"/>
        <item x="211"/>
        <item x="3"/>
        <item x="868"/>
        <item x="467"/>
        <item x="376"/>
        <item x="61"/>
        <item x="225"/>
        <item x="495"/>
        <item x="784"/>
        <item x="254"/>
        <item x="799"/>
        <item x="259"/>
        <item x="725"/>
        <item x="888"/>
        <item x="403"/>
        <item x="567"/>
        <item x="281"/>
        <item x="908"/>
        <item x="142"/>
        <item x="546"/>
        <item x="188"/>
        <item x="14"/>
        <item x="464"/>
        <item x="184"/>
        <item x="200"/>
        <item x="751"/>
        <item x="541"/>
        <item x="600"/>
        <item x="311"/>
        <item x="319"/>
        <item x="544"/>
        <item x="63"/>
        <item x="265"/>
        <item x="295"/>
        <item x="896"/>
        <item x="746"/>
        <item x="192"/>
        <item x="620"/>
        <item x="62"/>
        <item x="17"/>
        <item x="596"/>
        <item x="132"/>
        <item x="839"/>
        <item x="285"/>
        <item x="414"/>
        <item x="591"/>
        <item x="684"/>
        <item x="689"/>
        <item x="406"/>
        <item x="796"/>
        <item x="804"/>
        <item x="91"/>
        <item x="687"/>
        <item x="824"/>
        <item x="625"/>
        <item x="897"/>
        <item x="575"/>
        <item x="628"/>
        <item x="676"/>
        <item x="387"/>
        <item x="498"/>
        <item x="446"/>
        <item x="576"/>
        <item x="49"/>
        <item x="381"/>
        <item x="769"/>
        <item x="703"/>
        <item x="593"/>
        <item x="433"/>
        <item x="548"/>
        <item x="674"/>
        <item x="616"/>
        <item x="78"/>
        <item x="864"/>
        <item x="551"/>
        <item x="801"/>
        <item x="358"/>
        <item x="776"/>
        <item x="857"/>
        <item x="120"/>
        <item x="444"/>
        <item x="844"/>
        <item x="606"/>
        <item x="594"/>
        <item x="733"/>
        <item x="388"/>
        <item x="777"/>
        <item x="187"/>
        <item x="555"/>
        <item x="24"/>
        <item x="566"/>
        <item x="712"/>
        <item x="828"/>
        <item x="317"/>
        <item x="158"/>
        <item x="313"/>
        <item x="339"/>
        <item x="438"/>
        <item x="392"/>
        <item x="244"/>
        <item x="652"/>
        <item x="297"/>
        <item x="378"/>
        <item x="177"/>
        <item x="386"/>
        <item x="779"/>
        <item x="558"/>
        <item x="811"/>
        <item x="228"/>
        <item x="657"/>
        <item x="439"/>
        <item x="621"/>
        <item x="867"/>
        <item x="590"/>
        <item x="312"/>
        <item x="440"/>
        <item x="74"/>
        <item x="329"/>
        <item x="266"/>
        <item x="429"/>
        <item x="580"/>
        <item x="110"/>
        <item x="542"/>
        <item x="853"/>
        <item x="860"/>
        <item x="879"/>
        <item x="331"/>
        <item x="293"/>
        <item x="282"/>
        <item x="12"/>
        <item x="735"/>
        <item x="326"/>
        <item x="595"/>
        <item x="136"/>
        <item x="40"/>
        <item x="408"/>
        <item x="48"/>
        <item x="634"/>
        <item x="791"/>
        <item x="236"/>
        <item x="220"/>
        <item x="179"/>
        <item x="497"/>
        <item x="345"/>
        <item x="681"/>
        <item x="648"/>
        <item x="907"/>
        <item x="905"/>
        <item x="862"/>
        <item x="26"/>
        <item x="81"/>
        <item x="535"/>
        <item x="798"/>
        <item x="186"/>
        <item x="2"/>
        <item x="827"/>
        <item x="699"/>
        <item x="597"/>
        <item x="900"/>
        <item x="413"/>
        <item x="65"/>
        <item x="578"/>
        <item x="50"/>
        <item x="129"/>
        <item x="330"/>
        <item x="418"/>
        <item x="224"/>
        <item x="56"/>
        <item x="102"/>
        <item x="752"/>
        <item x="500"/>
        <item x="797"/>
        <item x="870"/>
        <item x="626"/>
        <item x="720"/>
        <item x="398"/>
        <item x="802"/>
        <item x="4"/>
        <item x="370"/>
        <item x="649"/>
        <item x="279"/>
        <item x="821"/>
        <item x="133"/>
        <item x="641"/>
        <item x="25"/>
        <item x="193"/>
        <item x="569"/>
        <item x="871"/>
        <item x="373"/>
        <item x="274"/>
        <item x="530"/>
        <item x="646"/>
        <item x="793"/>
        <item x="64"/>
        <item x="305"/>
        <item x="713"/>
        <item x="404"/>
        <item x="194"/>
        <item x="166"/>
        <item x="103"/>
        <item x="197"/>
        <item x="818"/>
        <item x="283"/>
        <item x="223"/>
        <item x="899"/>
        <item x="922"/>
        <item x="671"/>
        <item x="581"/>
        <item x="152"/>
        <item x="708"/>
        <item x="714"/>
        <item x="334"/>
        <item x="145"/>
        <item x="355"/>
        <item x="505"/>
        <item x="472"/>
        <item x="724"/>
        <item x="744"/>
        <item x="351"/>
        <item x="146"/>
        <item x="911"/>
        <item x="465"/>
        <item x="851"/>
        <item x="470"/>
        <item x="456"/>
        <item x="226"/>
        <item x="521"/>
        <item x="727"/>
        <item x="352"/>
        <item x="471"/>
        <item x="372"/>
        <item x="854"/>
        <item x="402"/>
        <item x="658"/>
        <item x="885"/>
        <item x="672"/>
        <item x="740"/>
        <item x="823"/>
        <item x="377"/>
        <item x="124"/>
        <item x="661"/>
        <item x="82"/>
        <item x="547"/>
        <item x="232"/>
        <item x="863"/>
        <item x="562"/>
        <item x="149"/>
        <item x="261"/>
        <item x="234"/>
        <item x="789"/>
        <item x="665"/>
        <item x="199"/>
        <item x="656"/>
        <item x="610"/>
        <item x="901"/>
        <item x="1"/>
        <item x="255"/>
        <item x="36"/>
        <item x="845"/>
        <item x="787"/>
        <item x="189"/>
        <item x="877"/>
        <item x="694"/>
        <item x="855"/>
        <item x="881"/>
        <item x="856"/>
        <item x="704"/>
        <item x="369"/>
        <item x="673"/>
        <item x="173"/>
        <item x="123"/>
        <item x="353"/>
        <item x="503"/>
        <item x="393"/>
        <item x="306"/>
        <item x="85"/>
        <item x="230"/>
        <item x="169"/>
        <item x="196"/>
        <item x="478"/>
        <item x="23"/>
        <item x="536"/>
        <item x="39"/>
        <item x="302"/>
        <item x="490"/>
        <item x="890"/>
        <item x="461"/>
        <item x="348"/>
        <item x="579"/>
        <item x="750"/>
        <item x="382"/>
        <item x="915"/>
        <item x="667"/>
        <item x="424"/>
        <item x="154"/>
        <item x="850"/>
        <item x="872"/>
        <item x="106"/>
        <item x="757"/>
        <item x="738"/>
        <item x="693"/>
        <item x="832"/>
        <item x="239"/>
        <item x="903"/>
        <item x="572"/>
        <item x="248"/>
        <item x="215"/>
        <item x="614"/>
        <item x="666"/>
        <item x="636"/>
        <item x="419"/>
        <item x="216"/>
        <item x="275"/>
        <item x="185"/>
        <item x="198"/>
        <item x="34"/>
        <item x="806"/>
        <item x="586"/>
        <item x="291"/>
        <item x="163"/>
        <item x="582"/>
        <item x="643"/>
        <item x="139"/>
        <item x="758"/>
        <item x="322"/>
        <item x="537"/>
        <item x="262"/>
        <item x="894"/>
        <item x="263"/>
        <item x="436"/>
        <item x="561"/>
        <item x="425"/>
        <item x="38"/>
        <item x="137"/>
        <item x="895"/>
        <item x="428"/>
        <item x="773"/>
        <item x="209"/>
        <item x="485"/>
        <item x="107"/>
        <item x="734"/>
        <item x="794"/>
        <item x="349"/>
        <item x="396"/>
        <item x="116"/>
        <item x="27"/>
        <item x="501"/>
        <item x="765"/>
        <item x="35"/>
        <item x="221"/>
        <item x="513"/>
        <item x="347"/>
        <item x="126"/>
        <item x="762"/>
        <item x="568"/>
        <item x="481"/>
        <item x="560"/>
        <item x="604"/>
        <item x="258"/>
        <item x="178"/>
        <item x="84"/>
        <item x="686"/>
        <item x="303"/>
        <item x="916"/>
        <item x="108"/>
        <item x="7"/>
        <item x="98"/>
        <item x="483"/>
        <item x="605"/>
        <item x="0"/>
        <item x="529"/>
        <item x="843"/>
        <item x="245"/>
        <item x="364"/>
        <item x="921"/>
        <item x="213"/>
        <item x="836"/>
        <item x="447"/>
        <item x="96"/>
        <item x="100"/>
        <item x="201"/>
        <item x="826"/>
        <item x="195"/>
        <item x="617"/>
        <item x="243"/>
        <item x="77"/>
        <item x="695"/>
        <item x="599"/>
        <item x="362"/>
        <item x="736"/>
        <item x="707"/>
        <item x="570"/>
        <item x="639"/>
        <item x="400"/>
        <item x="270"/>
        <item x="268"/>
        <item x="171"/>
        <item x="803"/>
        <item x="688"/>
        <item x="359"/>
        <item x="742"/>
        <item x="771"/>
        <item x="286"/>
        <item x="138"/>
        <item x="183"/>
        <item x="706"/>
        <item x="645"/>
        <item x="760"/>
        <item x="912"/>
        <item x="837"/>
        <item x="449"/>
        <item x="72"/>
        <item x="721"/>
        <item x="874"/>
        <item x="327"/>
        <item x="520"/>
        <item x="574"/>
        <item x="299"/>
        <item x="838"/>
        <item x="741"/>
        <item x="583"/>
        <item x="458"/>
        <item x="114"/>
        <item x="831"/>
        <item x="251"/>
        <item x="635"/>
        <item x="923"/>
        <item x="460"/>
        <item x="523"/>
        <item x="316"/>
        <item x="556"/>
        <item x="506"/>
        <item x="105"/>
        <item x="93"/>
        <item x="898"/>
        <item x="914"/>
        <item x="164"/>
        <item x="715"/>
        <item x="745"/>
        <item x="383"/>
        <item x="135"/>
        <item x="527"/>
        <item x="325"/>
        <item x="589"/>
        <item x="227"/>
        <item x="252"/>
        <item x="585"/>
        <item x="814"/>
        <item x="514"/>
        <item x="869"/>
        <item x="101"/>
        <item x="182"/>
        <item x="780"/>
        <item x="564"/>
        <item x="603"/>
        <item x="662"/>
        <item x="882"/>
        <item x="508"/>
        <item x="300"/>
        <item x="52"/>
        <item x="454"/>
        <item x="859"/>
        <item x="737"/>
        <item x="391"/>
        <item x="730"/>
        <item x="507"/>
        <item x="32"/>
        <item x="42"/>
        <item x="28"/>
        <item x="829"/>
        <item x="92"/>
        <item x="770"/>
        <item x="475"/>
        <item x="410"/>
        <item x="563"/>
        <item x="57"/>
        <item x="807"/>
        <item x="522"/>
        <item x="493"/>
        <item x="267"/>
        <item x="118"/>
        <item x="637"/>
        <item x="611"/>
        <item x="812"/>
        <item x="631"/>
        <item x="861"/>
        <item x="452"/>
        <item x="80"/>
        <item x="365"/>
        <item x="682"/>
        <item x="717"/>
        <item x="363"/>
        <item x="278"/>
        <item x="130"/>
        <item x="143"/>
        <item x="817"/>
        <item x="886"/>
        <item x="121"/>
        <item x="128"/>
        <item x="842"/>
        <item x="20"/>
        <item x="813"/>
        <item x="690"/>
        <item x="759"/>
        <item x="45"/>
        <item x="778"/>
        <item x="112"/>
        <item x="55"/>
        <item x="638"/>
        <item x="716"/>
        <item x="790"/>
        <item x="144"/>
        <item x="83"/>
        <item x="202"/>
        <item x="788"/>
        <item x="552"/>
        <item x="301"/>
        <item x="722"/>
        <item x="109"/>
        <item x="477"/>
        <item x="624"/>
        <item x="756"/>
        <item x="743"/>
        <item x="504"/>
        <item x="918"/>
        <item x="233"/>
        <item x="711"/>
        <item x="95"/>
        <item x="663"/>
        <item x="747"/>
        <item x="466"/>
        <item x="405"/>
        <item x="421"/>
        <item x="753"/>
        <item x="13"/>
        <item x="473"/>
        <item x="390"/>
        <item x="772"/>
        <item x="622"/>
        <item x="249"/>
        <item x="774"/>
        <item x="217"/>
        <item x="328"/>
        <item x="543"/>
        <item x="702"/>
        <item x="841"/>
        <item x="338"/>
        <item x="763"/>
        <item x="455"/>
        <item x="781"/>
        <item x="276"/>
        <item x="9"/>
        <item x="247"/>
        <item x="691"/>
        <item x="809"/>
        <item x="782"/>
        <item x="849"/>
        <item x="214"/>
        <item x="476"/>
        <item x="104"/>
        <item x="71"/>
        <item x="664"/>
        <item x="134"/>
        <item x="29"/>
        <item x="87"/>
        <item x="191"/>
        <item x="70"/>
        <item x="155"/>
        <item x="161"/>
        <item x="368"/>
        <item x="910"/>
        <item x="538"/>
        <item x="453"/>
        <item x="510"/>
        <item x="250"/>
        <item x="357"/>
        <item x="384"/>
        <item x="140"/>
        <item x="524"/>
        <item x="41"/>
        <item x="917"/>
        <item x="208"/>
        <item x="346"/>
        <item x="336"/>
        <item x="913"/>
        <item x="47"/>
        <item x="668"/>
        <item x="69"/>
        <item x="488"/>
        <item x="539"/>
        <item x="808"/>
        <item x="99"/>
        <item x="16"/>
        <item x="710"/>
        <item x="525"/>
        <item x="445"/>
        <item x="354"/>
        <item x="887"/>
        <item x="602"/>
        <item x="380"/>
        <item x="835"/>
        <item x="304"/>
        <item x="30"/>
        <item x="288"/>
        <item x="519"/>
        <item x="19"/>
        <item x="549"/>
        <item x="557"/>
        <item x="307"/>
        <item x="669"/>
        <item x="426"/>
        <item x="420"/>
        <item x="371"/>
        <item x="148"/>
        <item x="33"/>
        <item x="767"/>
        <item x="810"/>
        <item x="615"/>
        <item x="875"/>
        <item x="846"/>
        <item x="119"/>
        <item x="573"/>
        <item x="659"/>
        <item x="670"/>
        <item x="315"/>
        <item x="385"/>
        <item x="242"/>
        <item x="231"/>
        <item x="654"/>
        <item x="748"/>
        <item x="865"/>
        <item x="350"/>
        <item x="511"/>
        <item x="333"/>
        <item x="815"/>
        <item x="131"/>
        <item x="253"/>
        <item x="412"/>
        <item x="884"/>
        <item x="443"/>
        <item x="486"/>
        <item x="685"/>
        <item x="190"/>
        <item x="598"/>
        <item x="731"/>
        <item x="873"/>
        <item x="176"/>
        <item x="298"/>
        <item x="341"/>
        <item x="168"/>
        <item x="531"/>
        <item x="79"/>
        <item x="754"/>
        <item x="783"/>
        <item x="264"/>
        <item x="792"/>
        <item x="540"/>
        <item x="170"/>
        <item x="909"/>
        <item x="830"/>
        <item x="545"/>
        <item x="43"/>
        <item x="619"/>
        <item x="795"/>
        <item x="840"/>
        <item x="294"/>
        <item x="375"/>
        <item x="629"/>
        <item x="296"/>
        <item x="487"/>
        <item x="891"/>
        <item x="361"/>
        <item x="310"/>
        <item x="324"/>
        <item x="427"/>
        <item x="902"/>
        <item x="749"/>
        <item x="379"/>
        <item x="271"/>
        <item x="825"/>
        <item x="60"/>
        <item x="21"/>
        <item x="289"/>
        <item x="366"/>
        <item x="766"/>
        <item x="273"/>
        <item x="76"/>
        <item x="256"/>
        <item x="97"/>
        <item x="89"/>
        <item x="167"/>
        <item x="442"/>
        <item x="904"/>
        <item x="533"/>
        <item x="623"/>
        <item x="642"/>
        <item x="18"/>
        <item x="54"/>
        <item x="653"/>
        <item x="53"/>
        <item x="480"/>
        <item x="218"/>
        <item x="113"/>
        <item x="852"/>
        <item x="287"/>
        <item x="59"/>
        <item x="920"/>
        <item x="240"/>
        <item x="892"/>
        <item x="484"/>
        <item x="632"/>
        <item x="411"/>
        <item x="159"/>
        <item x="360"/>
        <item x="219"/>
        <item x="697"/>
        <item x="630"/>
        <item x="876"/>
        <item x="417"/>
        <item x="723"/>
        <item x="880"/>
        <item x="613"/>
        <item x="162"/>
        <item x="204"/>
        <item x="437"/>
        <item x="608"/>
        <item x="111"/>
        <item x="284"/>
        <item x="344"/>
        <item x="534"/>
        <item x="343"/>
        <item x="675"/>
        <item x="469"/>
        <item x="644"/>
        <item x="151"/>
        <item x="430"/>
        <item x="683"/>
        <item x="847"/>
        <item x="397"/>
        <item x="584"/>
        <item x="172"/>
        <item x="496"/>
        <item x="834"/>
        <item x="732"/>
        <item x="571"/>
        <item t="default"/>
      </items>
    </pivotField>
    <pivotField showAll="0"/>
    <pivotField showAll="0">
      <items count="6">
        <item x="2"/>
        <item x="1"/>
        <item x="0"/>
        <item x="3"/>
        <item x="4"/>
        <item t="default"/>
      </items>
    </pivotField>
    <pivotField showAll="0"/>
    <pivotField numFmtId="1" showAll="0"/>
    <pivotField showAll="0" nonAutoSortDefault="1">
      <items count="4">
        <item x="0"/>
        <item x="1"/>
        <item x="2"/>
        <item t="default"/>
      </items>
    </pivotField>
    <pivotField numFmtId="164" showAll="0"/>
    <pivotField showAll="0"/>
    <pivotField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6">
        <item n="0-20" sd="0" x="0"/>
        <item n="21-40" sd="0" x="1"/>
        <item n="41-60" sd="0" x="2"/>
        <item n="61-80" sd="0" x="3"/>
        <item n="81-100" sd="0" x="4"/>
        <item t="default"/>
      </items>
    </pivotField>
    <pivotField showAll="0">
      <items count="6">
        <item x="0"/>
        <item x="1"/>
        <item x="2"/>
        <item x="3"/>
        <item x="4"/>
        <item t="default"/>
      </items>
    </pivotField>
  </pivotFields>
  <rowFields count="1">
    <field x="18"/>
  </rowFields>
  <rowItems count="2">
    <i>
      <x/>
    </i>
    <i t="grand">
      <x/>
    </i>
  </rowItems>
  <colItems count="1">
    <i/>
  </colItems>
  <dataFields count="1">
    <dataField name="Count of User_ID" fld="0" subtotal="count" baseField="0" baseItem="0"/>
  </dataFields>
  <formats count="12">
    <format dxfId="94">
      <pivotArea type="all" dataOnly="0" outline="0" fieldPosition="0"/>
    </format>
    <format dxfId="93">
      <pivotArea outline="0" collapsedLevelsAreSubtotals="1" fieldPosition="0"/>
    </format>
    <format dxfId="92">
      <pivotArea field="24" type="button" dataOnly="0" labelOnly="1" outline="0"/>
    </format>
    <format dxfId="91">
      <pivotArea dataOnly="0" labelOnly="1" grandRow="1" outline="0" fieldPosition="0"/>
    </format>
    <format dxfId="90">
      <pivotArea type="all" dataOnly="0" outline="0" fieldPosition="0"/>
    </format>
    <format dxfId="89">
      <pivotArea outline="0" collapsedLevelsAreSubtotals="1" fieldPosition="0"/>
    </format>
    <format dxfId="88">
      <pivotArea field="24" type="button" dataOnly="0" labelOnly="1" outline="0"/>
    </format>
    <format dxfId="87">
      <pivotArea dataOnly="0" labelOnly="1" grandRow="1" outline="0" fieldPosition="0"/>
    </format>
    <format dxfId="86">
      <pivotArea type="all" dataOnly="0" outline="0" fieldPosition="0"/>
    </format>
    <format dxfId="85">
      <pivotArea outline="0" collapsedLevelsAreSubtotals="1" fieldPosition="0"/>
    </format>
    <format dxfId="84">
      <pivotArea field="24" type="button" dataOnly="0" labelOnly="1" outline="0"/>
    </format>
    <format dxfId="83">
      <pivotArea dataOnly="0" labelOnly="1" grandRow="1" outline="0" fieldPosition="0"/>
    </format>
  </formats>
  <chartFormats count="2">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1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CA307D-7F7E-4702-BEB0-C54AEDF6D4D4}" name="3. Demographic &amp; Behavioral Insights: 1.2"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3" rowHeaderCaption="Primary Watch Time">
  <location ref="R22:T27" firstHeaderRow="0" firstDataRow="1" firstDataCol="1"/>
  <pivotFields count="34">
    <pivotField dataField="1" numFmtId="1" showAll="0"/>
    <pivotField showAll="0"/>
    <pivotField numFmtId="14" showAll="0">
      <items count="538">
        <item x="91"/>
        <item x="302"/>
        <item x="102"/>
        <item x="424"/>
        <item x="54"/>
        <item x="127"/>
        <item x="51"/>
        <item x="274"/>
        <item x="137"/>
        <item x="53"/>
        <item x="201"/>
        <item x="417"/>
        <item x="218"/>
        <item x="228"/>
        <item x="374"/>
        <item x="524"/>
        <item x="484"/>
        <item x="514"/>
        <item x="470"/>
        <item x="513"/>
        <item x="333"/>
        <item x="463"/>
        <item x="368"/>
        <item x="222"/>
        <item x="176"/>
        <item x="119"/>
        <item x="255"/>
        <item x="270"/>
        <item x="281"/>
        <item x="251"/>
        <item x="344"/>
        <item x="497"/>
        <item x="3"/>
        <item x="200"/>
        <item x="58"/>
        <item x="504"/>
        <item x="86"/>
        <item x="147"/>
        <item x="116"/>
        <item x="224"/>
        <item x="359"/>
        <item x="478"/>
        <item x="440"/>
        <item x="16"/>
        <item x="242"/>
        <item x="471"/>
        <item x="100"/>
        <item x="507"/>
        <item x="65"/>
        <item x="128"/>
        <item x="233"/>
        <item x="131"/>
        <item x="217"/>
        <item x="152"/>
        <item x="372"/>
        <item x="62"/>
        <item x="397"/>
        <item x="393"/>
        <item x="204"/>
        <item x="364"/>
        <item x="139"/>
        <item x="112"/>
        <item x="253"/>
        <item x="475"/>
        <item x="518"/>
        <item x="151"/>
        <item x="378"/>
        <item x="264"/>
        <item x="123"/>
        <item x="269"/>
        <item x="353"/>
        <item x="453"/>
        <item x="45"/>
        <item x="47"/>
        <item x="12"/>
        <item x="10"/>
        <item x="361"/>
        <item x="108"/>
        <item x="1"/>
        <item x="42"/>
        <item x="408"/>
        <item x="428"/>
        <item x="334"/>
        <item x="367"/>
        <item x="459"/>
        <item x="275"/>
        <item x="64"/>
        <item x="410"/>
        <item x="90"/>
        <item x="505"/>
        <item x="241"/>
        <item x="154"/>
        <item x="336"/>
        <item x="306"/>
        <item x="232"/>
        <item x="211"/>
        <item x="413"/>
        <item x="44"/>
        <item x="491"/>
        <item x="494"/>
        <item x="80"/>
        <item x="427"/>
        <item x="124"/>
        <item x="132"/>
        <item x="400"/>
        <item x="324"/>
        <item x="177"/>
        <item x="480"/>
        <item x="130"/>
        <item x="172"/>
        <item x="0"/>
        <item x="190"/>
        <item x="315"/>
        <item x="366"/>
        <item x="392"/>
        <item x="282"/>
        <item x="181"/>
        <item x="194"/>
        <item x="318"/>
        <item x="266"/>
        <item x="369"/>
        <item x="461"/>
        <item x="230"/>
        <item x="532"/>
        <item x="257"/>
        <item x="178"/>
        <item x="17"/>
        <item x="469"/>
        <item x="351"/>
        <item x="4"/>
        <item x="14"/>
        <item x="173"/>
        <item x="148"/>
        <item x="175"/>
        <item x="405"/>
        <item x="339"/>
        <item x="509"/>
        <item x="8"/>
        <item x="156"/>
        <item x="25"/>
        <item x="98"/>
        <item x="519"/>
        <item x="31"/>
        <item x="391"/>
        <item x="60"/>
        <item x="506"/>
        <item x="220"/>
        <item x="434"/>
        <item x="454"/>
        <item x="19"/>
        <item x="164"/>
        <item x="402"/>
        <item x="373"/>
        <item x="273"/>
        <item x="294"/>
        <item x="199"/>
        <item x="20"/>
        <item x="41"/>
        <item x="476"/>
        <item x="244"/>
        <item x="510"/>
        <item x="94"/>
        <item x="468"/>
        <item x="229"/>
        <item x="49"/>
        <item x="239"/>
        <item x="395"/>
        <item x="68"/>
        <item x="2"/>
        <item x="88"/>
        <item x="250"/>
        <item x="236"/>
        <item x="101"/>
        <item x="436"/>
        <item x="247"/>
        <item x="260"/>
        <item x="189"/>
        <item x="515"/>
        <item x="183"/>
        <item x="37"/>
        <item x="75"/>
        <item x="398"/>
        <item x="482"/>
        <item x="335"/>
        <item x="330"/>
        <item x="511"/>
        <item x="296"/>
        <item x="208"/>
        <item x="213"/>
        <item x="399"/>
        <item x="46"/>
        <item x="206"/>
        <item x="288"/>
        <item x="133"/>
        <item x="69"/>
        <item x="457"/>
        <item x="197"/>
        <item x="409"/>
        <item x="337"/>
        <item x="84"/>
        <item x="486"/>
        <item x="383"/>
        <item x="35"/>
        <item x="442"/>
        <item x="5"/>
        <item x="381"/>
        <item x="293"/>
        <item x="18"/>
        <item x="467"/>
        <item x="23"/>
        <item x="425"/>
        <item x="162"/>
        <item x="423"/>
        <item x="332"/>
        <item x="271"/>
        <item x="106"/>
        <item x="346"/>
        <item x="113"/>
        <item x="477"/>
        <item x="437"/>
        <item x="422"/>
        <item x="57"/>
        <item x="67"/>
        <item x="223"/>
        <item x="153"/>
        <item x="140"/>
        <item x="87"/>
        <item x="82"/>
        <item x="231"/>
        <item x="73"/>
        <item x="501"/>
        <item x="305"/>
        <item x="89"/>
        <item x="431"/>
        <item x="340"/>
        <item x="143"/>
        <item x="456"/>
        <item x="472"/>
        <item x="341"/>
        <item x="298"/>
        <item x="529"/>
        <item x="326"/>
        <item x="212"/>
        <item x="195"/>
        <item x="347"/>
        <item x="462"/>
        <item x="196"/>
        <item x="22"/>
        <item x="388"/>
        <item x="534"/>
        <item x="120"/>
        <item x="536"/>
        <item x="66"/>
        <item x="32"/>
        <item x="517"/>
        <item x="285"/>
        <item x="9"/>
        <item x="492"/>
        <item x="170"/>
        <item x="72"/>
        <item x="327"/>
        <item x="96"/>
        <item x="184"/>
        <item x="329"/>
        <item x="371"/>
        <item x="320"/>
        <item x="342"/>
        <item x="377"/>
        <item x="452"/>
        <item x="527"/>
        <item x="81"/>
        <item x="56"/>
        <item x="418"/>
        <item x="406"/>
        <item x="262"/>
        <item x="522"/>
        <item x="209"/>
        <item x="263"/>
        <item x="61"/>
        <item x="307"/>
        <item x="74"/>
        <item x="357"/>
        <item x="286"/>
        <item x="205"/>
        <item x="261"/>
        <item x="443"/>
        <item x="414"/>
        <item x="203"/>
        <item x="33"/>
        <item x="126"/>
        <item x="248"/>
        <item x="142"/>
        <item x="280"/>
        <item x="394"/>
        <item x="287"/>
        <item x="243"/>
        <item x="110"/>
        <item x="317"/>
        <item x="303"/>
        <item x="161"/>
        <item x="489"/>
        <item x="215"/>
        <item x="27"/>
        <item x="144"/>
        <item x="121"/>
        <item x="246"/>
        <item x="321"/>
        <item x="163"/>
        <item x="525"/>
        <item x="104"/>
        <item x="415"/>
        <item x="92"/>
        <item x="419"/>
        <item x="38"/>
        <item x="438"/>
        <item x="309"/>
        <item x="150"/>
        <item x="473"/>
        <item x="171"/>
        <item x="155"/>
        <item x="348"/>
        <item x="198"/>
        <item x="185"/>
        <item x="387"/>
        <item x="83"/>
        <item x="426"/>
        <item x="11"/>
        <item x="103"/>
        <item x="375"/>
        <item x="354"/>
        <item x="495"/>
        <item x="219"/>
        <item x="498"/>
        <item x="432"/>
        <item x="531"/>
        <item x="252"/>
        <item x="63"/>
        <item x="99"/>
        <item x="355"/>
        <item x="328"/>
        <item x="358"/>
        <item x="202"/>
        <item x="180"/>
        <item x="157"/>
        <item x="28"/>
        <item x="379"/>
        <item x="444"/>
        <item x="445"/>
        <item x="138"/>
        <item x="533"/>
        <item x="52"/>
        <item x="450"/>
        <item x="412"/>
        <item x="43"/>
        <item x="420"/>
        <item x="272"/>
        <item x="370"/>
        <item x="526"/>
        <item x="290"/>
        <item x="292"/>
        <item x="283"/>
        <item x="300"/>
        <item x="343"/>
        <item x="384"/>
        <item x="210"/>
        <item x="535"/>
        <item x="145"/>
        <item x="401"/>
        <item x="523"/>
        <item x="403"/>
        <item x="179"/>
        <item x="350"/>
        <item x="169"/>
        <item x="512"/>
        <item x="439"/>
        <item x="310"/>
        <item x="256"/>
        <item x="235"/>
        <item x="376"/>
        <item x="363"/>
        <item x="396"/>
        <item x="24"/>
        <item x="254"/>
        <item x="15"/>
        <item x="149"/>
        <item x="26"/>
        <item x="465"/>
        <item x="458"/>
        <item x="520"/>
        <item x="490"/>
        <item x="352"/>
        <item x="118"/>
        <item x="7"/>
        <item x="93"/>
        <item x="221"/>
        <item x="214"/>
        <item x="356"/>
        <item x="521"/>
        <item x="345"/>
        <item x="386"/>
        <item x="448"/>
        <item x="441"/>
        <item x="429"/>
        <item x="502"/>
        <item x="21"/>
        <item x="182"/>
        <item x="365"/>
        <item x="141"/>
        <item x="48"/>
        <item x="500"/>
        <item x="299"/>
        <item x="226"/>
        <item x="338"/>
        <item x="85"/>
        <item x="481"/>
        <item x="411"/>
        <item x="488"/>
        <item x="297"/>
        <item x="29"/>
        <item x="167"/>
        <item x="97"/>
        <item x="70"/>
        <item x="447"/>
        <item x="238"/>
        <item x="109"/>
        <item x="380"/>
        <item x="325"/>
        <item x="466"/>
        <item x="389"/>
        <item x="165"/>
        <item x="404"/>
        <item x="71"/>
        <item x="277"/>
        <item x="77"/>
        <item x="291"/>
        <item x="446"/>
        <item x="455"/>
        <item x="289"/>
        <item x="237"/>
        <item x="295"/>
        <item x="362"/>
        <item x="349"/>
        <item x="528"/>
        <item x="39"/>
        <item x="174"/>
        <item x="508"/>
        <item x="258"/>
        <item x="135"/>
        <item x="168"/>
        <item x="493"/>
        <item x="187"/>
        <item x="268"/>
        <item x="483"/>
        <item x="78"/>
        <item x="304"/>
        <item x="474"/>
        <item x="6"/>
        <item x="301"/>
        <item x="284"/>
        <item x="79"/>
        <item x="186"/>
        <item x="276"/>
        <item x="433"/>
        <item x="499"/>
        <item x="216"/>
        <item x="323"/>
        <item x="55"/>
        <item x="278"/>
        <item x="193"/>
        <item x="316"/>
        <item x="13"/>
        <item x="279"/>
        <item x="40"/>
        <item x="314"/>
        <item x="191"/>
        <item x="146"/>
        <item x="416"/>
        <item x="207"/>
        <item x="227"/>
        <item x="259"/>
        <item x="105"/>
        <item x="249"/>
        <item x="516"/>
        <item x="136"/>
        <item x="36"/>
        <item x="312"/>
        <item x="34"/>
        <item x="319"/>
        <item x="503"/>
        <item x="331"/>
        <item x="240"/>
        <item x="421"/>
        <item x="192"/>
        <item x="311"/>
        <item x="267"/>
        <item x="117"/>
        <item x="496"/>
        <item x="134"/>
        <item x="390"/>
        <item x="449"/>
        <item x="76"/>
        <item x="160"/>
        <item x="360"/>
        <item x="385"/>
        <item x="460"/>
        <item x="166"/>
        <item x="234"/>
        <item x="245"/>
        <item x="95"/>
        <item x="50"/>
        <item x="407"/>
        <item x="322"/>
        <item x="265"/>
        <item x="464"/>
        <item x="479"/>
        <item x="487"/>
        <item x="451"/>
        <item x="115"/>
        <item x="159"/>
        <item x="225"/>
        <item x="111"/>
        <item x="308"/>
        <item x="122"/>
        <item x="114"/>
        <item x="59"/>
        <item x="382"/>
        <item x="129"/>
        <item x="188"/>
        <item x="485"/>
        <item x="107"/>
        <item x="158"/>
        <item x="530"/>
        <item x="30"/>
        <item x="125"/>
        <item x="313"/>
        <item x="430"/>
        <item x="435"/>
        <item t="default"/>
      </items>
    </pivotField>
    <pivotField numFmtId="14" showAll="0"/>
    <pivotField numFmtId="165" showAll="0"/>
    <pivotField dataField="1" numFmtId="1" showAll="0"/>
    <pivotField showAll="0">
      <items count="8">
        <item x="0"/>
        <item x="5"/>
        <item x="3"/>
        <item x="1"/>
        <item x="4"/>
        <item x="6"/>
        <item x="2"/>
        <item t="default"/>
      </items>
    </pivotField>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pivotField showAll="0"/>
    <pivotField numFmtId="1" showAll="0">
      <items count="102">
        <item x="13"/>
        <item x="6"/>
        <item x="99"/>
        <item x="20"/>
        <item x="69"/>
        <item x="78"/>
        <item x="65"/>
        <item x="34"/>
        <item x="39"/>
        <item x="87"/>
        <item x="95"/>
        <item x="17"/>
        <item x="32"/>
        <item x="44"/>
        <item x="31"/>
        <item x="48"/>
        <item x="88"/>
        <item x="71"/>
        <item x="57"/>
        <item x="96"/>
        <item x="66"/>
        <item x="68"/>
        <item x="46"/>
        <item x="73"/>
        <item x="50"/>
        <item x="14"/>
        <item x="8"/>
        <item x="21"/>
        <item x="72"/>
        <item x="94"/>
        <item x="55"/>
        <item x="97"/>
        <item x="7"/>
        <item x="36"/>
        <item x="91"/>
        <item x="93"/>
        <item x="58"/>
        <item x="86"/>
        <item x="11"/>
        <item x="4"/>
        <item x="42"/>
        <item x="81"/>
        <item x="19"/>
        <item x="80"/>
        <item x="52"/>
        <item x="30"/>
        <item x="63"/>
        <item x="3"/>
        <item x="60"/>
        <item x="77"/>
        <item x="16"/>
        <item x="82"/>
        <item x="64"/>
        <item x="56"/>
        <item x="84"/>
        <item x="38"/>
        <item x="2"/>
        <item x="10"/>
        <item x="27"/>
        <item x="76"/>
        <item x="22"/>
        <item x="47"/>
        <item x="12"/>
        <item x="40"/>
        <item x="61"/>
        <item x="15"/>
        <item x="29"/>
        <item x="79"/>
        <item x="53"/>
        <item x="1"/>
        <item x="85"/>
        <item x="5"/>
        <item x="35"/>
        <item x="59"/>
        <item x="98"/>
        <item x="100"/>
        <item x="24"/>
        <item x="70"/>
        <item x="18"/>
        <item x="37"/>
        <item x="54"/>
        <item x="74"/>
        <item x="45"/>
        <item x="75"/>
        <item x="0"/>
        <item x="26"/>
        <item x="89"/>
        <item x="62"/>
        <item x="51"/>
        <item x="83"/>
        <item x="9"/>
        <item x="23"/>
        <item x="92"/>
        <item x="67"/>
        <item x="43"/>
        <item x="49"/>
        <item x="41"/>
        <item x="28"/>
        <item x="25"/>
        <item x="33"/>
        <item x="90"/>
        <item t="default"/>
      </items>
    </pivotField>
    <pivotField numFmtId="164" showAll="0"/>
    <pivotField showAll="0"/>
    <pivotField showAll="0"/>
    <pivotField numFmtId="1" showAll="0">
      <items count="925">
        <item x="820"/>
        <item x="647"/>
        <item x="269"/>
        <item x="416"/>
        <item x="448"/>
        <item x="701"/>
        <item x="5"/>
        <item x="919"/>
        <item x="73"/>
        <item x="680"/>
        <item x="640"/>
        <item x="290"/>
        <item x="407"/>
        <item x="395"/>
        <item x="423"/>
        <item x="272"/>
        <item x="409"/>
        <item x="332"/>
        <item x="422"/>
        <item x="205"/>
        <item x="150"/>
        <item x="609"/>
        <item x="565"/>
        <item x="435"/>
        <item x="206"/>
        <item x="180"/>
        <item x="125"/>
        <item x="509"/>
        <item x="203"/>
        <item x="323"/>
        <item x="342"/>
        <item x="314"/>
        <item x="718"/>
        <item x="761"/>
        <item x="858"/>
        <item x="432"/>
        <item x="592"/>
        <item x="141"/>
        <item x="459"/>
        <item x="11"/>
        <item x="175"/>
        <item x="174"/>
        <item x="528"/>
        <item x="786"/>
        <item x="705"/>
        <item x="394"/>
        <item x="229"/>
        <item x="207"/>
        <item x="883"/>
        <item x="86"/>
        <item x="532"/>
        <item x="451"/>
        <item x="374"/>
        <item x="878"/>
        <item x="833"/>
        <item x="700"/>
        <item x="526"/>
        <item x="22"/>
        <item x="292"/>
        <item x="246"/>
        <item x="494"/>
        <item x="679"/>
        <item x="601"/>
        <item x="367"/>
        <item x="399"/>
        <item x="337"/>
        <item x="8"/>
        <item x="677"/>
        <item x="401"/>
        <item x="68"/>
        <item x="66"/>
        <item x="468"/>
        <item x="260"/>
        <item x="517"/>
        <item x="729"/>
        <item x="277"/>
        <item x="502"/>
        <item x="650"/>
        <item x="866"/>
        <item x="627"/>
        <item x="612"/>
        <item x="462"/>
        <item x="415"/>
        <item x="660"/>
        <item x="67"/>
        <item x="489"/>
        <item x="238"/>
        <item x="775"/>
        <item x="678"/>
        <item x="768"/>
        <item x="51"/>
        <item x="181"/>
        <item x="893"/>
        <item x="157"/>
        <item x="607"/>
        <item x="46"/>
        <item x="482"/>
        <item x="241"/>
        <item x="156"/>
        <item x="127"/>
        <item x="153"/>
        <item x="550"/>
        <item x="280"/>
        <item x="515"/>
        <item x="805"/>
        <item x="554"/>
        <item x="512"/>
        <item x="450"/>
        <item x="479"/>
        <item x="88"/>
        <item x="698"/>
        <item x="389"/>
        <item x="90"/>
        <item x="44"/>
        <item x="320"/>
        <item x="340"/>
        <item x="308"/>
        <item x="800"/>
        <item x="122"/>
        <item x="321"/>
        <item x="431"/>
        <item x="785"/>
        <item x="15"/>
        <item x="222"/>
        <item x="94"/>
        <item x="10"/>
        <item x="559"/>
        <item x="588"/>
        <item x="553"/>
        <item x="210"/>
        <item x="237"/>
        <item x="441"/>
        <item x="434"/>
        <item x="755"/>
        <item x="235"/>
        <item x="117"/>
        <item x="474"/>
        <item x="160"/>
        <item x="587"/>
        <item x="257"/>
        <item x="318"/>
        <item x="457"/>
        <item x="492"/>
        <item x="6"/>
        <item x="491"/>
        <item x="499"/>
        <item x="728"/>
        <item x="906"/>
        <item x="692"/>
        <item x="356"/>
        <item x="816"/>
        <item x="31"/>
        <item x="719"/>
        <item x="58"/>
        <item x="309"/>
        <item x="822"/>
        <item x="651"/>
        <item x="37"/>
        <item x="889"/>
        <item x="764"/>
        <item x="516"/>
        <item x="655"/>
        <item x="819"/>
        <item x="633"/>
        <item x="696"/>
        <item x="577"/>
        <item x="726"/>
        <item x="518"/>
        <item x="147"/>
        <item x="463"/>
        <item x="618"/>
        <item x="335"/>
        <item x="848"/>
        <item x="212"/>
        <item x="75"/>
        <item x="165"/>
        <item x="115"/>
        <item x="709"/>
        <item x="739"/>
        <item x="211"/>
        <item x="3"/>
        <item x="868"/>
        <item x="467"/>
        <item x="376"/>
        <item x="61"/>
        <item x="225"/>
        <item x="495"/>
        <item x="784"/>
        <item x="254"/>
        <item x="799"/>
        <item x="259"/>
        <item x="725"/>
        <item x="888"/>
        <item x="403"/>
        <item x="567"/>
        <item x="281"/>
        <item x="908"/>
        <item x="142"/>
        <item x="546"/>
        <item x="188"/>
        <item x="14"/>
        <item x="464"/>
        <item x="184"/>
        <item x="200"/>
        <item x="751"/>
        <item x="541"/>
        <item x="600"/>
        <item x="311"/>
        <item x="319"/>
        <item x="544"/>
        <item x="63"/>
        <item x="265"/>
        <item x="295"/>
        <item x="896"/>
        <item x="746"/>
        <item x="192"/>
        <item x="620"/>
        <item x="62"/>
        <item x="17"/>
        <item x="596"/>
        <item x="132"/>
        <item x="839"/>
        <item x="285"/>
        <item x="414"/>
        <item x="591"/>
        <item x="684"/>
        <item x="689"/>
        <item x="406"/>
        <item x="796"/>
        <item x="804"/>
        <item x="91"/>
        <item x="687"/>
        <item x="824"/>
        <item x="625"/>
        <item x="897"/>
        <item x="575"/>
        <item x="628"/>
        <item x="676"/>
        <item x="387"/>
        <item x="498"/>
        <item x="446"/>
        <item x="576"/>
        <item x="49"/>
        <item x="381"/>
        <item x="769"/>
        <item x="703"/>
        <item x="593"/>
        <item x="433"/>
        <item x="548"/>
        <item x="674"/>
        <item x="616"/>
        <item x="78"/>
        <item x="864"/>
        <item x="551"/>
        <item x="801"/>
        <item x="358"/>
        <item x="776"/>
        <item x="857"/>
        <item x="120"/>
        <item x="444"/>
        <item x="844"/>
        <item x="606"/>
        <item x="594"/>
        <item x="733"/>
        <item x="388"/>
        <item x="777"/>
        <item x="187"/>
        <item x="555"/>
        <item x="24"/>
        <item x="566"/>
        <item x="712"/>
        <item x="828"/>
        <item x="317"/>
        <item x="158"/>
        <item x="313"/>
        <item x="339"/>
        <item x="438"/>
        <item x="392"/>
        <item x="244"/>
        <item x="652"/>
        <item x="297"/>
        <item x="378"/>
        <item x="177"/>
        <item x="386"/>
        <item x="779"/>
        <item x="558"/>
        <item x="811"/>
        <item x="228"/>
        <item x="657"/>
        <item x="439"/>
        <item x="621"/>
        <item x="867"/>
        <item x="590"/>
        <item x="312"/>
        <item x="440"/>
        <item x="74"/>
        <item x="329"/>
        <item x="266"/>
        <item x="429"/>
        <item x="580"/>
        <item x="110"/>
        <item x="542"/>
        <item x="853"/>
        <item x="860"/>
        <item x="879"/>
        <item x="331"/>
        <item x="293"/>
        <item x="282"/>
        <item x="12"/>
        <item x="735"/>
        <item x="326"/>
        <item x="595"/>
        <item x="136"/>
        <item x="40"/>
        <item x="408"/>
        <item x="48"/>
        <item x="634"/>
        <item x="791"/>
        <item x="236"/>
        <item x="220"/>
        <item x="179"/>
        <item x="497"/>
        <item x="345"/>
        <item x="681"/>
        <item x="648"/>
        <item x="907"/>
        <item x="905"/>
        <item x="862"/>
        <item x="26"/>
        <item x="81"/>
        <item x="535"/>
        <item x="798"/>
        <item x="186"/>
        <item x="2"/>
        <item x="827"/>
        <item x="699"/>
        <item x="597"/>
        <item x="900"/>
        <item x="413"/>
        <item x="65"/>
        <item x="578"/>
        <item x="50"/>
        <item x="129"/>
        <item x="330"/>
        <item x="418"/>
        <item x="224"/>
        <item x="56"/>
        <item x="102"/>
        <item x="752"/>
        <item x="500"/>
        <item x="797"/>
        <item x="870"/>
        <item x="626"/>
        <item x="720"/>
        <item x="398"/>
        <item x="802"/>
        <item x="4"/>
        <item x="370"/>
        <item x="649"/>
        <item x="279"/>
        <item x="821"/>
        <item x="133"/>
        <item x="641"/>
        <item x="25"/>
        <item x="193"/>
        <item x="569"/>
        <item x="871"/>
        <item x="373"/>
        <item x="274"/>
        <item x="530"/>
        <item x="646"/>
        <item x="793"/>
        <item x="64"/>
        <item x="305"/>
        <item x="713"/>
        <item x="404"/>
        <item x="194"/>
        <item x="166"/>
        <item x="103"/>
        <item x="197"/>
        <item x="818"/>
        <item x="283"/>
        <item x="223"/>
        <item x="899"/>
        <item x="922"/>
        <item x="671"/>
        <item x="581"/>
        <item x="152"/>
        <item x="708"/>
        <item x="714"/>
        <item x="334"/>
        <item x="145"/>
        <item x="355"/>
        <item x="505"/>
        <item x="472"/>
        <item x="724"/>
        <item x="744"/>
        <item x="351"/>
        <item x="146"/>
        <item x="911"/>
        <item x="465"/>
        <item x="851"/>
        <item x="470"/>
        <item x="456"/>
        <item x="226"/>
        <item x="521"/>
        <item x="727"/>
        <item x="352"/>
        <item x="471"/>
        <item x="372"/>
        <item x="854"/>
        <item x="402"/>
        <item x="658"/>
        <item x="885"/>
        <item x="672"/>
        <item x="740"/>
        <item x="823"/>
        <item x="377"/>
        <item x="124"/>
        <item x="661"/>
        <item x="82"/>
        <item x="547"/>
        <item x="232"/>
        <item x="863"/>
        <item x="562"/>
        <item x="149"/>
        <item x="261"/>
        <item x="234"/>
        <item x="789"/>
        <item x="665"/>
        <item x="199"/>
        <item x="656"/>
        <item x="610"/>
        <item x="901"/>
        <item x="1"/>
        <item x="255"/>
        <item x="36"/>
        <item x="845"/>
        <item x="787"/>
        <item x="189"/>
        <item x="877"/>
        <item x="694"/>
        <item x="855"/>
        <item x="881"/>
        <item x="856"/>
        <item x="704"/>
        <item x="369"/>
        <item x="673"/>
        <item x="173"/>
        <item x="123"/>
        <item x="353"/>
        <item x="503"/>
        <item x="393"/>
        <item x="306"/>
        <item x="85"/>
        <item x="230"/>
        <item x="169"/>
        <item x="196"/>
        <item x="478"/>
        <item x="23"/>
        <item x="536"/>
        <item x="39"/>
        <item x="302"/>
        <item x="490"/>
        <item x="890"/>
        <item x="461"/>
        <item x="348"/>
        <item x="579"/>
        <item x="750"/>
        <item x="382"/>
        <item x="915"/>
        <item x="667"/>
        <item x="424"/>
        <item x="154"/>
        <item x="850"/>
        <item x="872"/>
        <item x="106"/>
        <item x="757"/>
        <item x="738"/>
        <item x="693"/>
        <item x="832"/>
        <item x="239"/>
        <item x="903"/>
        <item x="572"/>
        <item x="248"/>
        <item x="215"/>
        <item x="614"/>
        <item x="666"/>
        <item x="636"/>
        <item x="419"/>
        <item x="216"/>
        <item x="275"/>
        <item x="185"/>
        <item x="198"/>
        <item x="34"/>
        <item x="806"/>
        <item x="586"/>
        <item x="291"/>
        <item x="163"/>
        <item x="582"/>
        <item x="643"/>
        <item x="139"/>
        <item x="758"/>
        <item x="322"/>
        <item x="537"/>
        <item x="262"/>
        <item x="894"/>
        <item x="263"/>
        <item x="436"/>
        <item x="561"/>
        <item x="425"/>
        <item x="38"/>
        <item x="137"/>
        <item x="895"/>
        <item x="428"/>
        <item x="773"/>
        <item x="209"/>
        <item x="485"/>
        <item x="107"/>
        <item x="734"/>
        <item x="794"/>
        <item x="349"/>
        <item x="396"/>
        <item x="116"/>
        <item x="27"/>
        <item x="501"/>
        <item x="765"/>
        <item x="35"/>
        <item x="221"/>
        <item x="513"/>
        <item x="347"/>
        <item x="126"/>
        <item x="762"/>
        <item x="568"/>
        <item x="481"/>
        <item x="560"/>
        <item x="604"/>
        <item x="258"/>
        <item x="178"/>
        <item x="84"/>
        <item x="686"/>
        <item x="303"/>
        <item x="916"/>
        <item x="108"/>
        <item x="7"/>
        <item x="98"/>
        <item x="483"/>
        <item x="605"/>
        <item x="0"/>
        <item x="529"/>
        <item x="843"/>
        <item x="245"/>
        <item x="364"/>
        <item x="921"/>
        <item x="213"/>
        <item x="836"/>
        <item x="447"/>
        <item x="96"/>
        <item x="100"/>
        <item x="201"/>
        <item x="826"/>
        <item x="195"/>
        <item x="617"/>
        <item x="243"/>
        <item x="77"/>
        <item x="695"/>
        <item x="599"/>
        <item x="362"/>
        <item x="736"/>
        <item x="707"/>
        <item x="570"/>
        <item x="639"/>
        <item x="400"/>
        <item x="270"/>
        <item x="268"/>
        <item x="171"/>
        <item x="803"/>
        <item x="688"/>
        <item x="359"/>
        <item x="742"/>
        <item x="771"/>
        <item x="286"/>
        <item x="138"/>
        <item x="183"/>
        <item x="706"/>
        <item x="645"/>
        <item x="760"/>
        <item x="912"/>
        <item x="837"/>
        <item x="449"/>
        <item x="72"/>
        <item x="721"/>
        <item x="874"/>
        <item x="327"/>
        <item x="520"/>
        <item x="574"/>
        <item x="299"/>
        <item x="838"/>
        <item x="741"/>
        <item x="583"/>
        <item x="458"/>
        <item x="114"/>
        <item x="831"/>
        <item x="251"/>
        <item x="635"/>
        <item x="923"/>
        <item x="460"/>
        <item x="523"/>
        <item x="316"/>
        <item x="556"/>
        <item x="506"/>
        <item x="105"/>
        <item x="93"/>
        <item x="898"/>
        <item x="914"/>
        <item x="164"/>
        <item x="715"/>
        <item x="745"/>
        <item x="383"/>
        <item x="135"/>
        <item x="527"/>
        <item x="325"/>
        <item x="589"/>
        <item x="227"/>
        <item x="252"/>
        <item x="585"/>
        <item x="814"/>
        <item x="514"/>
        <item x="869"/>
        <item x="101"/>
        <item x="182"/>
        <item x="780"/>
        <item x="564"/>
        <item x="603"/>
        <item x="662"/>
        <item x="882"/>
        <item x="508"/>
        <item x="300"/>
        <item x="52"/>
        <item x="454"/>
        <item x="859"/>
        <item x="737"/>
        <item x="391"/>
        <item x="730"/>
        <item x="507"/>
        <item x="32"/>
        <item x="42"/>
        <item x="28"/>
        <item x="829"/>
        <item x="92"/>
        <item x="770"/>
        <item x="475"/>
        <item x="410"/>
        <item x="563"/>
        <item x="57"/>
        <item x="807"/>
        <item x="522"/>
        <item x="493"/>
        <item x="267"/>
        <item x="118"/>
        <item x="637"/>
        <item x="611"/>
        <item x="812"/>
        <item x="631"/>
        <item x="861"/>
        <item x="452"/>
        <item x="80"/>
        <item x="365"/>
        <item x="682"/>
        <item x="717"/>
        <item x="363"/>
        <item x="278"/>
        <item x="130"/>
        <item x="143"/>
        <item x="817"/>
        <item x="886"/>
        <item x="121"/>
        <item x="128"/>
        <item x="842"/>
        <item x="20"/>
        <item x="813"/>
        <item x="690"/>
        <item x="759"/>
        <item x="45"/>
        <item x="778"/>
        <item x="112"/>
        <item x="55"/>
        <item x="638"/>
        <item x="716"/>
        <item x="790"/>
        <item x="144"/>
        <item x="83"/>
        <item x="202"/>
        <item x="788"/>
        <item x="552"/>
        <item x="301"/>
        <item x="722"/>
        <item x="109"/>
        <item x="477"/>
        <item x="624"/>
        <item x="756"/>
        <item x="743"/>
        <item x="504"/>
        <item x="918"/>
        <item x="233"/>
        <item x="711"/>
        <item x="95"/>
        <item x="663"/>
        <item x="747"/>
        <item x="466"/>
        <item x="405"/>
        <item x="421"/>
        <item x="753"/>
        <item x="13"/>
        <item x="473"/>
        <item x="390"/>
        <item x="772"/>
        <item x="622"/>
        <item x="249"/>
        <item x="774"/>
        <item x="217"/>
        <item x="328"/>
        <item x="543"/>
        <item x="702"/>
        <item x="841"/>
        <item x="338"/>
        <item x="763"/>
        <item x="455"/>
        <item x="781"/>
        <item x="276"/>
        <item x="9"/>
        <item x="247"/>
        <item x="691"/>
        <item x="809"/>
        <item x="782"/>
        <item x="849"/>
        <item x="214"/>
        <item x="476"/>
        <item x="104"/>
        <item x="71"/>
        <item x="664"/>
        <item x="134"/>
        <item x="29"/>
        <item x="87"/>
        <item x="191"/>
        <item x="70"/>
        <item x="155"/>
        <item x="161"/>
        <item x="368"/>
        <item x="910"/>
        <item x="538"/>
        <item x="453"/>
        <item x="510"/>
        <item x="250"/>
        <item x="357"/>
        <item x="384"/>
        <item x="140"/>
        <item x="524"/>
        <item x="41"/>
        <item x="917"/>
        <item x="208"/>
        <item x="346"/>
        <item x="336"/>
        <item x="913"/>
        <item x="47"/>
        <item x="668"/>
        <item x="69"/>
        <item x="488"/>
        <item x="539"/>
        <item x="808"/>
        <item x="99"/>
        <item x="16"/>
        <item x="710"/>
        <item x="525"/>
        <item x="445"/>
        <item x="354"/>
        <item x="887"/>
        <item x="602"/>
        <item x="380"/>
        <item x="835"/>
        <item x="304"/>
        <item x="30"/>
        <item x="288"/>
        <item x="519"/>
        <item x="19"/>
        <item x="549"/>
        <item x="557"/>
        <item x="307"/>
        <item x="669"/>
        <item x="426"/>
        <item x="420"/>
        <item x="371"/>
        <item x="148"/>
        <item x="33"/>
        <item x="767"/>
        <item x="810"/>
        <item x="615"/>
        <item x="875"/>
        <item x="846"/>
        <item x="119"/>
        <item x="573"/>
        <item x="659"/>
        <item x="670"/>
        <item x="315"/>
        <item x="385"/>
        <item x="242"/>
        <item x="231"/>
        <item x="654"/>
        <item x="748"/>
        <item x="865"/>
        <item x="350"/>
        <item x="511"/>
        <item x="333"/>
        <item x="815"/>
        <item x="131"/>
        <item x="253"/>
        <item x="412"/>
        <item x="884"/>
        <item x="443"/>
        <item x="486"/>
        <item x="685"/>
        <item x="190"/>
        <item x="598"/>
        <item x="731"/>
        <item x="873"/>
        <item x="176"/>
        <item x="298"/>
        <item x="341"/>
        <item x="168"/>
        <item x="531"/>
        <item x="79"/>
        <item x="754"/>
        <item x="783"/>
        <item x="264"/>
        <item x="792"/>
        <item x="540"/>
        <item x="170"/>
        <item x="909"/>
        <item x="830"/>
        <item x="545"/>
        <item x="43"/>
        <item x="619"/>
        <item x="795"/>
        <item x="840"/>
        <item x="294"/>
        <item x="375"/>
        <item x="629"/>
        <item x="296"/>
        <item x="487"/>
        <item x="891"/>
        <item x="361"/>
        <item x="310"/>
        <item x="324"/>
        <item x="427"/>
        <item x="902"/>
        <item x="749"/>
        <item x="379"/>
        <item x="271"/>
        <item x="825"/>
        <item x="60"/>
        <item x="21"/>
        <item x="289"/>
        <item x="366"/>
        <item x="766"/>
        <item x="273"/>
        <item x="76"/>
        <item x="256"/>
        <item x="97"/>
        <item x="89"/>
        <item x="167"/>
        <item x="442"/>
        <item x="904"/>
        <item x="533"/>
        <item x="623"/>
        <item x="642"/>
        <item x="18"/>
        <item x="54"/>
        <item x="653"/>
        <item x="53"/>
        <item x="480"/>
        <item x="218"/>
        <item x="113"/>
        <item x="852"/>
        <item x="287"/>
        <item x="59"/>
        <item x="920"/>
        <item x="240"/>
        <item x="892"/>
        <item x="484"/>
        <item x="632"/>
        <item x="411"/>
        <item x="159"/>
        <item x="360"/>
        <item x="219"/>
        <item x="697"/>
        <item x="630"/>
        <item x="876"/>
        <item x="417"/>
        <item x="723"/>
        <item x="880"/>
        <item x="613"/>
        <item x="162"/>
        <item x="204"/>
        <item x="437"/>
        <item x="608"/>
        <item x="111"/>
        <item x="284"/>
        <item x="344"/>
        <item x="534"/>
        <item x="343"/>
        <item x="675"/>
        <item x="469"/>
        <item x="644"/>
        <item x="151"/>
        <item x="430"/>
        <item x="683"/>
        <item x="847"/>
        <item x="397"/>
        <item x="584"/>
        <item x="172"/>
        <item x="496"/>
        <item x="834"/>
        <item x="732"/>
        <item x="571"/>
        <item t="default"/>
      </items>
    </pivotField>
    <pivotField showAll="0" sortType="ascending"/>
    <pivotField showAll="0">
      <items count="6">
        <item x="2"/>
        <item x="1"/>
        <item x="0"/>
        <item x="3"/>
        <item x="4"/>
        <item t="default"/>
      </items>
    </pivotField>
    <pivotField axis="axisRow" showAll="0">
      <items count="5">
        <item x="2"/>
        <item x="3"/>
        <item x="1"/>
        <item x="0"/>
        <item t="default"/>
      </items>
    </pivotField>
    <pivotField numFmtId="1" showAll="0"/>
    <pivotField showAll="0" nonAutoSortDefault="1">
      <items count="4">
        <item x="0"/>
        <item x="1"/>
        <item x="2"/>
        <item t="default"/>
      </items>
    </pivotField>
    <pivotField numFmtId="164" showAll="0"/>
    <pivotField showAll="0"/>
    <pivotField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6">
        <item n="0-20" sd="0" x="0"/>
        <item n="21-40" sd="0" x="1"/>
        <item n="41-60" sd="0" x="2"/>
        <item n="61-80" sd="0" x="3"/>
        <item n="81-100" sd="0" x="4"/>
        <item t="default"/>
      </items>
    </pivotField>
    <pivotField showAll="0">
      <items count="6">
        <item x="0"/>
        <item x="1"/>
        <item x="2"/>
        <item x="3"/>
        <item x="4"/>
        <item t="default"/>
      </items>
    </pivotField>
  </pivotFields>
  <rowFields count="1">
    <field x="22"/>
  </rowFields>
  <rowItems count="5">
    <i>
      <x/>
    </i>
    <i>
      <x v="1"/>
    </i>
    <i>
      <x v="2"/>
    </i>
    <i>
      <x v="3"/>
    </i>
    <i t="grand">
      <x/>
    </i>
  </rowItems>
  <colFields count="1">
    <field x="-2"/>
  </colFields>
  <colItems count="2">
    <i>
      <x/>
    </i>
    <i i="1">
      <x v="1"/>
    </i>
  </colItems>
  <dataFields count="2">
    <dataField name="Users Count" fld="0" subtotal="count" baseField="20" baseItem="0"/>
    <dataField name="Average of Watch_Hours" fld="5" subtotal="average" baseField="22" baseItem="0" numFmtId="1"/>
  </dataFields>
  <formats count="12">
    <format dxfId="106">
      <pivotArea type="all" dataOnly="0" outline="0" fieldPosition="0"/>
    </format>
    <format dxfId="105">
      <pivotArea outline="0" collapsedLevelsAreSubtotals="1" fieldPosition="0"/>
    </format>
    <format dxfId="104">
      <pivotArea field="24" type="button" dataOnly="0" labelOnly="1" outline="0"/>
    </format>
    <format dxfId="103">
      <pivotArea dataOnly="0" labelOnly="1" grandRow="1" outline="0" fieldPosition="0"/>
    </format>
    <format dxfId="102">
      <pivotArea type="all" dataOnly="0" outline="0" fieldPosition="0"/>
    </format>
    <format dxfId="101">
      <pivotArea outline="0" collapsedLevelsAreSubtotals="1" fieldPosition="0"/>
    </format>
    <format dxfId="100">
      <pivotArea field="24" type="button" dataOnly="0" labelOnly="1" outline="0"/>
    </format>
    <format dxfId="99">
      <pivotArea dataOnly="0" labelOnly="1" grandRow="1" outline="0" fieldPosition="0"/>
    </format>
    <format dxfId="98">
      <pivotArea type="all" dataOnly="0" outline="0" fieldPosition="0"/>
    </format>
    <format dxfId="97">
      <pivotArea outline="0" collapsedLevelsAreSubtotals="1" fieldPosition="0"/>
    </format>
    <format dxfId="96">
      <pivotArea field="24" type="button" dataOnly="0" labelOnly="1" outline="0"/>
    </format>
    <format dxfId="95">
      <pivotArea dataOnly="0" labelOnly="1" grandRow="1" outline="0" fieldPosition="0"/>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55F35C-314B-4351-8316-36B41303E180}" name="3. Demographic &amp; Behavioral Insights: 1.0" cacheId="0" applyNumberFormats="0" applyBorderFormats="0" applyFontFormats="0" applyPatternFormats="0" applyAlignmentFormats="0" applyWidthHeightFormats="1" dataCaption="Values" missingCaption="0" updatedVersion="8" minRefreshableVersion="5" rowGrandTotals="0" colGrandTotals="0" itemPrintTitles="1" createdVersion="8" indent="0" outline="1" outlineData="1" multipleFieldFilters="0" rowHeaderCaption="Age Group">
  <location ref="R4:Y10" firstHeaderRow="1" firstDataRow="2" firstDataCol="1"/>
  <pivotFields count="34">
    <pivotField dataField="1" numFmtId="1" showAll="0"/>
    <pivotField showAll="0"/>
    <pivotField numFmtId="14" showAll="0">
      <items count="538">
        <item x="91"/>
        <item x="302"/>
        <item x="102"/>
        <item x="424"/>
        <item x="54"/>
        <item x="127"/>
        <item x="51"/>
        <item x="274"/>
        <item x="137"/>
        <item x="53"/>
        <item x="201"/>
        <item x="417"/>
        <item x="218"/>
        <item x="228"/>
        <item x="374"/>
        <item x="524"/>
        <item x="484"/>
        <item x="514"/>
        <item x="470"/>
        <item x="513"/>
        <item x="333"/>
        <item x="463"/>
        <item x="368"/>
        <item x="222"/>
        <item x="176"/>
        <item x="119"/>
        <item x="255"/>
        <item x="270"/>
        <item x="281"/>
        <item x="251"/>
        <item x="344"/>
        <item x="497"/>
        <item x="3"/>
        <item x="200"/>
        <item x="58"/>
        <item x="504"/>
        <item x="86"/>
        <item x="147"/>
        <item x="116"/>
        <item x="224"/>
        <item x="359"/>
        <item x="478"/>
        <item x="440"/>
        <item x="16"/>
        <item x="242"/>
        <item x="471"/>
        <item x="100"/>
        <item x="507"/>
        <item x="65"/>
        <item x="128"/>
        <item x="233"/>
        <item x="131"/>
        <item x="217"/>
        <item x="152"/>
        <item x="372"/>
        <item x="62"/>
        <item x="397"/>
        <item x="393"/>
        <item x="204"/>
        <item x="364"/>
        <item x="139"/>
        <item x="112"/>
        <item x="253"/>
        <item x="475"/>
        <item x="518"/>
        <item x="151"/>
        <item x="378"/>
        <item x="264"/>
        <item x="123"/>
        <item x="269"/>
        <item x="353"/>
        <item x="453"/>
        <item x="45"/>
        <item x="47"/>
        <item x="12"/>
        <item x="10"/>
        <item x="361"/>
        <item x="108"/>
        <item x="1"/>
        <item x="42"/>
        <item x="408"/>
        <item x="428"/>
        <item x="334"/>
        <item x="367"/>
        <item x="459"/>
        <item x="275"/>
        <item x="64"/>
        <item x="410"/>
        <item x="90"/>
        <item x="505"/>
        <item x="241"/>
        <item x="154"/>
        <item x="336"/>
        <item x="306"/>
        <item x="232"/>
        <item x="211"/>
        <item x="413"/>
        <item x="44"/>
        <item x="491"/>
        <item x="494"/>
        <item x="80"/>
        <item x="427"/>
        <item x="124"/>
        <item x="132"/>
        <item x="400"/>
        <item x="324"/>
        <item x="177"/>
        <item x="480"/>
        <item x="130"/>
        <item x="172"/>
        <item x="0"/>
        <item x="190"/>
        <item x="315"/>
        <item x="366"/>
        <item x="392"/>
        <item x="282"/>
        <item x="181"/>
        <item x="194"/>
        <item x="318"/>
        <item x="266"/>
        <item x="369"/>
        <item x="461"/>
        <item x="230"/>
        <item x="532"/>
        <item x="257"/>
        <item x="178"/>
        <item x="17"/>
        <item x="469"/>
        <item x="351"/>
        <item x="4"/>
        <item x="14"/>
        <item x="173"/>
        <item x="148"/>
        <item x="175"/>
        <item x="405"/>
        <item x="339"/>
        <item x="509"/>
        <item x="8"/>
        <item x="156"/>
        <item x="25"/>
        <item x="98"/>
        <item x="519"/>
        <item x="31"/>
        <item x="391"/>
        <item x="60"/>
        <item x="506"/>
        <item x="220"/>
        <item x="434"/>
        <item x="454"/>
        <item x="19"/>
        <item x="164"/>
        <item x="402"/>
        <item x="373"/>
        <item x="273"/>
        <item x="294"/>
        <item x="199"/>
        <item x="20"/>
        <item x="41"/>
        <item x="476"/>
        <item x="244"/>
        <item x="510"/>
        <item x="94"/>
        <item x="468"/>
        <item x="229"/>
        <item x="49"/>
        <item x="239"/>
        <item x="395"/>
        <item x="68"/>
        <item x="2"/>
        <item x="88"/>
        <item x="250"/>
        <item x="236"/>
        <item x="101"/>
        <item x="436"/>
        <item x="247"/>
        <item x="260"/>
        <item x="189"/>
        <item x="515"/>
        <item x="183"/>
        <item x="37"/>
        <item x="75"/>
        <item x="398"/>
        <item x="482"/>
        <item x="335"/>
        <item x="330"/>
        <item x="511"/>
        <item x="296"/>
        <item x="208"/>
        <item x="213"/>
        <item x="399"/>
        <item x="46"/>
        <item x="206"/>
        <item x="288"/>
        <item x="133"/>
        <item x="69"/>
        <item x="457"/>
        <item x="197"/>
        <item x="409"/>
        <item x="337"/>
        <item x="84"/>
        <item x="486"/>
        <item x="383"/>
        <item x="35"/>
        <item x="442"/>
        <item x="5"/>
        <item x="381"/>
        <item x="293"/>
        <item x="18"/>
        <item x="467"/>
        <item x="23"/>
        <item x="425"/>
        <item x="162"/>
        <item x="423"/>
        <item x="332"/>
        <item x="271"/>
        <item x="106"/>
        <item x="346"/>
        <item x="113"/>
        <item x="477"/>
        <item x="437"/>
        <item x="422"/>
        <item x="57"/>
        <item x="67"/>
        <item x="223"/>
        <item x="153"/>
        <item x="140"/>
        <item x="87"/>
        <item x="82"/>
        <item x="231"/>
        <item x="73"/>
        <item x="501"/>
        <item x="305"/>
        <item x="89"/>
        <item x="431"/>
        <item x="340"/>
        <item x="143"/>
        <item x="456"/>
        <item x="472"/>
        <item x="341"/>
        <item x="298"/>
        <item x="529"/>
        <item x="326"/>
        <item x="212"/>
        <item x="195"/>
        <item x="347"/>
        <item x="462"/>
        <item x="196"/>
        <item x="22"/>
        <item x="388"/>
        <item x="534"/>
        <item x="120"/>
        <item x="536"/>
        <item x="66"/>
        <item x="32"/>
        <item x="517"/>
        <item x="285"/>
        <item x="9"/>
        <item x="492"/>
        <item x="170"/>
        <item x="72"/>
        <item x="327"/>
        <item x="96"/>
        <item x="184"/>
        <item x="329"/>
        <item x="371"/>
        <item x="320"/>
        <item x="342"/>
        <item x="377"/>
        <item x="452"/>
        <item x="527"/>
        <item x="81"/>
        <item x="56"/>
        <item x="418"/>
        <item x="406"/>
        <item x="262"/>
        <item x="522"/>
        <item x="209"/>
        <item x="263"/>
        <item x="61"/>
        <item x="307"/>
        <item x="74"/>
        <item x="357"/>
        <item x="286"/>
        <item x="205"/>
        <item x="261"/>
        <item x="443"/>
        <item x="414"/>
        <item x="203"/>
        <item x="33"/>
        <item x="126"/>
        <item x="248"/>
        <item x="142"/>
        <item x="280"/>
        <item x="394"/>
        <item x="287"/>
        <item x="243"/>
        <item x="110"/>
        <item x="317"/>
        <item x="303"/>
        <item x="161"/>
        <item x="489"/>
        <item x="215"/>
        <item x="27"/>
        <item x="144"/>
        <item x="121"/>
        <item x="246"/>
        <item x="321"/>
        <item x="163"/>
        <item x="525"/>
        <item x="104"/>
        <item x="415"/>
        <item x="92"/>
        <item x="419"/>
        <item x="38"/>
        <item x="438"/>
        <item x="309"/>
        <item x="150"/>
        <item x="473"/>
        <item x="171"/>
        <item x="155"/>
        <item x="348"/>
        <item x="198"/>
        <item x="185"/>
        <item x="387"/>
        <item x="83"/>
        <item x="426"/>
        <item x="11"/>
        <item x="103"/>
        <item x="375"/>
        <item x="354"/>
        <item x="495"/>
        <item x="219"/>
        <item x="498"/>
        <item x="432"/>
        <item x="531"/>
        <item x="252"/>
        <item x="63"/>
        <item x="99"/>
        <item x="355"/>
        <item x="328"/>
        <item x="358"/>
        <item x="202"/>
        <item x="180"/>
        <item x="157"/>
        <item x="28"/>
        <item x="379"/>
        <item x="444"/>
        <item x="445"/>
        <item x="138"/>
        <item x="533"/>
        <item x="52"/>
        <item x="450"/>
        <item x="412"/>
        <item x="43"/>
        <item x="420"/>
        <item x="272"/>
        <item x="370"/>
        <item x="526"/>
        <item x="290"/>
        <item x="292"/>
        <item x="283"/>
        <item x="300"/>
        <item x="343"/>
        <item x="384"/>
        <item x="210"/>
        <item x="535"/>
        <item x="145"/>
        <item x="401"/>
        <item x="523"/>
        <item x="403"/>
        <item x="179"/>
        <item x="350"/>
        <item x="169"/>
        <item x="512"/>
        <item x="439"/>
        <item x="310"/>
        <item x="256"/>
        <item x="235"/>
        <item x="376"/>
        <item x="363"/>
        <item x="396"/>
        <item x="24"/>
        <item x="254"/>
        <item x="15"/>
        <item x="149"/>
        <item x="26"/>
        <item x="465"/>
        <item x="458"/>
        <item x="520"/>
        <item x="490"/>
        <item x="352"/>
        <item x="118"/>
        <item x="7"/>
        <item x="93"/>
        <item x="221"/>
        <item x="214"/>
        <item x="356"/>
        <item x="521"/>
        <item x="345"/>
        <item x="386"/>
        <item x="448"/>
        <item x="441"/>
        <item x="429"/>
        <item x="502"/>
        <item x="21"/>
        <item x="182"/>
        <item x="365"/>
        <item x="141"/>
        <item x="48"/>
        <item x="500"/>
        <item x="299"/>
        <item x="226"/>
        <item x="338"/>
        <item x="85"/>
        <item x="481"/>
        <item x="411"/>
        <item x="488"/>
        <item x="297"/>
        <item x="29"/>
        <item x="167"/>
        <item x="97"/>
        <item x="70"/>
        <item x="447"/>
        <item x="238"/>
        <item x="109"/>
        <item x="380"/>
        <item x="325"/>
        <item x="466"/>
        <item x="389"/>
        <item x="165"/>
        <item x="404"/>
        <item x="71"/>
        <item x="277"/>
        <item x="77"/>
        <item x="291"/>
        <item x="446"/>
        <item x="455"/>
        <item x="289"/>
        <item x="237"/>
        <item x="295"/>
        <item x="362"/>
        <item x="349"/>
        <item x="528"/>
        <item x="39"/>
        <item x="174"/>
        <item x="508"/>
        <item x="258"/>
        <item x="135"/>
        <item x="168"/>
        <item x="493"/>
        <item x="187"/>
        <item x="268"/>
        <item x="483"/>
        <item x="78"/>
        <item x="304"/>
        <item x="474"/>
        <item x="6"/>
        <item x="301"/>
        <item x="284"/>
        <item x="79"/>
        <item x="186"/>
        <item x="276"/>
        <item x="433"/>
        <item x="499"/>
        <item x="216"/>
        <item x="323"/>
        <item x="55"/>
        <item x="278"/>
        <item x="193"/>
        <item x="316"/>
        <item x="13"/>
        <item x="279"/>
        <item x="40"/>
        <item x="314"/>
        <item x="191"/>
        <item x="146"/>
        <item x="416"/>
        <item x="207"/>
        <item x="227"/>
        <item x="259"/>
        <item x="105"/>
        <item x="249"/>
        <item x="516"/>
        <item x="136"/>
        <item x="36"/>
        <item x="312"/>
        <item x="34"/>
        <item x="319"/>
        <item x="503"/>
        <item x="331"/>
        <item x="240"/>
        <item x="421"/>
        <item x="192"/>
        <item x="311"/>
        <item x="267"/>
        <item x="117"/>
        <item x="496"/>
        <item x="134"/>
        <item x="390"/>
        <item x="449"/>
        <item x="76"/>
        <item x="160"/>
        <item x="360"/>
        <item x="385"/>
        <item x="460"/>
        <item x="166"/>
        <item x="234"/>
        <item x="245"/>
        <item x="95"/>
        <item x="50"/>
        <item x="407"/>
        <item x="322"/>
        <item x="265"/>
        <item x="464"/>
        <item x="479"/>
        <item x="487"/>
        <item x="451"/>
        <item x="115"/>
        <item x="159"/>
        <item x="225"/>
        <item x="111"/>
        <item x="308"/>
        <item x="122"/>
        <item x="114"/>
        <item x="59"/>
        <item x="382"/>
        <item x="129"/>
        <item x="188"/>
        <item x="485"/>
        <item x="107"/>
        <item x="158"/>
        <item x="530"/>
        <item x="30"/>
        <item x="125"/>
        <item x="313"/>
        <item x="430"/>
        <item x="435"/>
        <item t="default"/>
      </items>
    </pivotField>
    <pivotField numFmtId="14" showAll="0"/>
    <pivotField numFmtId="165" showAll="0"/>
    <pivotField numFmtId="1" showAll="0"/>
    <pivotField axis="axisCol">
      <items count="8">
        <item x="0"/>
        <item x="5"/>
        <item x="3"/>
        <item x="1"/>
        <item x="4"/>
        <item x="6"/>
        <item x="2"/>
        <item t="default"/>
      </items>
    </pivotField>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pivotField showAll="0"/>
    <pivotField numFmtId="1" showAll="0">
      <items count="102">
        <item x="13"/>
        <item x="6"/>
        <item x="99"/>
        <item x="20"/>
        <item x="69"/>
        <item x="78"/>
        <item x="65"/>
        <item x="34"/>
        <item x="39"/>
        <item x="87"/>
        <item x="95"/>
        <item x="17"/>
        <item x="32"/>
        <item x="44"/>
        <item x="31"/>
        <item x="48"/>
        <item x="88"/>
        <item x="71"/>
        <item x="57"/>
        <item x="96"/>
        <item x="66"/>
        <item x="68"/>
        <item x="46"/>
        <item x="73"/>
        <item x="50"/>
        <item x="14"/>
        <item x="8"/>
        <item x="21"/>
        <item x="72"/>
        <item x="94"/>
        <item x="55"/>
        <item x="97"/>
        <item x="7"/>
        <item x="36"/>
        <item x="91"/>
        <item x="93"/>
        <item x="58"/>
        <item x="86"/>
        <item x="11"/>
        <item x="4"/>
        <item x="42"/>
        <item x="81"/>
        <item x="19"/>
        <item x="80"/>
        <item x="52"/>
        <item x="30"/>
        <item x="63"/>
        <item x="3"/>
        <item x="60"/>
        <item x="77"/>
        <item x="16"/>
        <item x="82"/>
        <item x="64"/>
        <item x="56"/>
        <item x="84"/>
        <item x="38"/>
        <item x="2"/>
        <item x="10"/>
        <item x="27"/>
        <item x="76"/>
        <item x="22"/>
        <item x="47"/>
        <item x="12"/>
        <item x="40"/>
        <item x="61"/>
        <item x="15"/>
        <item x="29"/>
        <item x="79"/>
        <item x="53"/>
        <item x="1"/>
        <item x="85"/>
        <item x="5"/>
        <item x="35"/>
        <item x="59"/>
        <item x="98"/>
        <item x="100"/>
        <item x="24"/>
        <item x="70"/>
        <item x="18"/>
        <item x="37"/>
        <item x="54"/>
        <item x="74"/>
        <item x="45"/>
        <item x="75"/>
        <item x="0"/>
        <item x="26"/>
        <item x="89"/>
        <item x="62"/>
        <item x="51"/>
        <item x="83"/>
        <item x="9"/>
        <item x="23"/>
        <item x="92"/>
        <item x="67"/>
        <item x="43"/>
        <item x="49"/>
        <item x="41"/>
        <item x="28"/>
        <item x="25"/>
        <item x="33"/>
        <item x="90"/>
        <item t="default"/>
      </items>
    </pivotField>
    <pivotField numFmtId="164" showAll="0"/>
    <pivotField showAll="0"/>
    <pivotField showAll="0"/>
    <pivotField numFmtId="1" showAll="0">
      <items count="925">
        <item x="820"/>
        <item x="647"/>
        <item x="269"/>
        <item x="416"/>
        <item x="448"/>
        <item x="701"/>
        <item x="5"/>
        <item x="919"/>
        <item x="73"/>
        <item x="680"/>
        <item x="640"/>
        <item x="290"/>
        <item x="407"/>
        <item x="395"/>
        <item x="423"/>
        <item x="272"/>
        <item x="409"/>
        <item x="332"/>
        <item x="422"/>
        <item x="205"/>
        <item x="150"/>
        <item x="609"/>
        <item x="565"/>
        <item x="435"/>
        <item x="206"/>
        <item x="180"/>
        <item x="125"/>
        <item x="509"/>
        <item x="203"/>
        <item x="323"/>
        <item x="342"/>
        <item x="314"/>
        <item x="718"/>
        <item x="761"/>
        <item x="858"/>
        <item x="432"/>
        <item x="592"/>
        <item x="141"/>
        <item x="459"/>
        <item x="11"/>
        <item x="175"/>
        <item x="174"/>
        <item x="528"/>
        <item x="786"/>
        <item x="705"/>
        <item x="394"/>
        <item x="229"/>
        <item x="207"/>
        <item x="883"/>
        <item x="86"/>
        <item x="532"/>
        <item x="451"/>
        <item x="374"/>
        <item x="878"/>
        <item x="833"/>
        <item x="700"/>
        <item x="526"/>
        <item x="22"/>
        <item x="292"/>
        <item x="246"/>
        <item x="494"/>
        <item x="679"/>
        <item x="601"/>
        <item x="367"/>
        <item x="399"/>
        <item x="337"/>
        <item x="8"/>
        <item x="677"/>
        <item x="401"/>
        <item x="68"/>
        <item x="66"/>
        <item x="468"/>
        <item x="260"/>
        <item x="517"/>
        <item x="729"/>
        <item x="277"/>
        <item x="502"/>
        <item x="650"/>
        <item x="866"/>
        <item x="627"/>
        <item x="612"/>
        <item x="462"/>
        <item x="415"/>
        <item x="660"/>
        <item x="67"/>
        <item x="489"/>
        <item x="238"/>
        <item x="775"/>
        <item x="678"/>
        <item x="768"/>
        <item x="51"/>
        <item x="181"/>
        <item x="893"/>
        <item x="157"/>
        <item x="607"/>
        <item x="46"/>
        <item x="482"/>
        <item x="241"/>
        <item x="156"/>
        <item x="127"/>
        <item x="153"/>
        <item x="550"/>
        <item x="280"/>
        <item x="515"/>
        <item x="805"/>
        <item x="554"/>
        <item x="512"/>
        <item x="450"/>
        <item x="479"/>
        <item x="88"/>
        <item x="698"/>
        <item x="389"/>
        <item x="90"/>
        <item x="44"/>
        <item x="320"/>
        <item x="340"/>
        <item x="308"/>
        <item x="800"/>
        <item x="122"/>
        <item x="321"/>
        <item x="431"/>
        <item x="785"/>
        <item x="15"/>
        <item x="222"/>
        <item x="94"/>
        <item x="10"/>
        <item x="559"/>
        <item x="588"/>
        <item x="553"/>
        <item x="210"/>
        <item x="237"/>
        <item x="441"/>
        <item x="434"/>
        <item x="755"/>
        <item x="235"/>
        <item x="117"/>
        <item x="474"/>
        <item x="160"/>
        <item x="587"/>
        <item x="257"/>
        <item x="318"/>
        <item x="457"/>
        <item x="492"/>
        <item x="6"/>
        <item x="491"/>
        <item x="499"/>
        <item x="728"/>
        <item x="906"/>
        <item x="692"/>
        <item x="356"/>
        <item x="816"/>
        <item x="31"/>
        <item x="719"/>
        <item x="58"/>
        <item x="309"/>
        <item x="822"/>
        <item x="651"/>
        <item x="37"/>
        <item x="889"/>
        <item x="764"/>
        <item x="516"/>
        <item x="655"/>
        <item x="819"/>
        <item x="633"/>
        <item x="696"/>
        <item x="577"/>
        <item x="726"/>
        <item x="518"/>
        <item x="147"/>
        <item x="463"/>
        <item x="618"/>
        <item x="335"/>
        <item x="848"/>
        <item x="212"/>
        <item x="75"/>
        <item x="165"/>
        <item x="115"/>
        <item x="709"/>
        <item x="739"/>
        <item x="211"/>
        <item x="3"/>
        <item x="868"/>
        <item x="467"/>
        <item x="376"/>
        <item x="61"/>
        <item x="225"/>
        <item x="495"/>
        <item x="784"/>
        <item x="254"/>
        <item x="799"/>
        <item x="259"/>
        <item x="725"/>
        <item x="888"/>
        <item x="403"/>
        <item x="567"/>
        <item x="281"/>
        <item x="908"/>
        <item x="142"/>
        <item x="546"/>
        <item x="188"/>
        <item x="14"/>
        <item x="464"/>
        <item x="184"/>
        <item x="200"/>
        <item x="751"/>
        <item x="541"/>
        <item x="600"/>
        <item x="311"/>
        <item x="319"/>
        <item x="544"/>
        <item x="63"/>
        <item x="265"/>
        <item x="295"/>
        <item x="896"/>
        <item x="746"/>
        <item x="192"/>
        <item x="620"/>
        <item x="62"/>
        <item x="17"/>
        <item x="596"/>
        <item x="132"/>
        <item x="839"/>
        <item x="285"/>
        <item x="414"/>
        <item x="591"/>
        <item x="684"/>
        <item x="689"/>
        <item x="406"/>
        <item x="796"/>
        <item x="804"/>
        <item x="91"/>
        <item x="687"/>
        <item x="824"/>
        <item x="625"/>
        <item x="897"/>
        <item x="575"/>
        <item x="628"/>
        <item x="676"/>
        <item x="387"/>
        <item x="498"/>
        <item x="446"/>
        <item x="576"/>
        <item x="49"/>
        <item x="381"/>
        <item x="769"/>
        <item x="703"/>
        <item x="593"/>
        <item x="433"/>
        <item x="548"/>
        <item x="674"/>
        <item x="616"/>
        <item x="78"/>
        <item x="864"/>
        <item x="551"/>
        <item x="801"/>
        <item x="358"/>
        <item x="776"/>
        <item x="857"/>
        <item x="120"/>
        <item x="444"/>
        <item x="844"/>
        <item x="606"/>
        <item x="594"/>
        <item x="733"/>
        <item x="388"/>
        <item x="777"/>
        <item x="187"/>
        <item x="555"/>
        <item x="24"/>
        <item x="566"/>
        <item x="712"/>
        <item x="828"/>
        <item x="317"/>
        <item x="158"/>
        <item x="313"/>
        <item x="339"/>
        <item x="438"/>
        <item x="392"/>
        <item x="244"/>
        <item x="652"/>
        <item x="297"/>
        <item x="378"/>
        <item x="177"/>
        <item x="386"/>
        <item x="779"/>
        <item x="558"/>
        <item x="811"/>
        <item x="228"/>
        <item x="657"/>
        <item x="439"/>
        <item x="621"/>
        <item x="867"/>
        <item x="590"/>
        <item x="312"/>
        <item x="440"/>
        <item x="74"/>
        <item x="329"/>
        <item x="266"/>
        <item x="429"/>
        <item x="580"/>
        <item x="110"/>
        <item x="542"/>
        <item x="853"/>
        <item x="860"/>
        <item x="879"/>
        <item x="331"/>
        <item x="293"/>
        <item x="282"/>
        <item x="12"/>
        <item x="735"/>
        <item x="326"/>
        <item x="595"/>
        <item x="136"/>
        <item x="40"/>
        <item x="408"/>
        <item x="48"/>
        <item x="634"/>
        <item x="791"/>
        <item x="236"/>
        <item x="220"/>
        <item x="179"/>
        <item x="497"/>
        <item x="345"/>
        <item x="681"/>
        <item x="648"/>
        <item x="907"/>
        <item x="905"/>
        <item x="862"/>
        <item x="26"/>
        <item x="81"/>
        <item x="535"/>
        <item x="798"/>
        <item x="186"/>
        <item x="2"/>
        <item x="827"/>
        <item x="699"/>
        <item x="597"/>
        <item x="900"/>
        <item x="413"/>
        <item x="65"/>
        <item x="578"/>
        <item x="50"/>
        <item x="129"/>
        <item x="330"/>
        <item x="418"/>
        <item x="224"/>
        <item x="56"/>
        <item x="102"/>
        <item x="752"/>
        <item x="500"/>
        <item x="797"/>
        <item x="870"/>
        <item x="626"/>
        <item x="720"/>
        <item x="398"/>
        <item x="802"/>
        <item x="4"/>
        <item x="370"/>
        <item x="649"/>
        <item x="279"/>
        <item x="821"/>
        <item x="133"/>
        <item x="641"/>
        <item x="25"/>
        <item x="193"/>
        <item x="569"/>
        <item x="871"/>
        <item x="373"/>
        <item x="274"/>
        <item x="530"/>
        <item x="646"/>
        <item x="793"/>
        <item x="64"/>
        <item x="305"/>
        <item x="713"/>
        <item x="404"/>
        <item x="194"/>
        <item x="166"/>
        <item x="103"/>
        <item x="197"/>
        <item x="818"/>
        <item x="283"/>
        <item x="223"/>
        <item x="899"/>
        <item x="922"/>
        <item x="671"/>
        <item x="581"/>
        <item x="152"/>
        <item x="708"/>
        <item x="714"/>
        <item x="334"/>
        <item x="145"/>
        <item x="355"/>
        <item x="505"/>
        <item x="472"/>
        <item x="724"/>
        <item x="744"/>
        <item x="351"/>
        <item x="146"/>
        <item x="911"/>
        <item x="465"/>
        <item x="851"/>
        <item x="470"/>
        <item x="456"/>
        <item x="226"/>
        <item x="521"/>
        <item x="727"/>
        <item x="352"/>
        <item x="471"/>
        <item x="372"/>
        <item x="854"/>
        <item x="402"/>
        <item x="658"/>
        <item x="885"/>
        <item x="672"/>
        <item x="740"/>
        <item x="823"/>
        <item x="377"/>
        <item x="124"/>
        <item x="661"/>
        <item x="82"/>
        <item x="547"/>
        <item x="232"/>
        <item x="863"/>
        <item x="562"/>
        <item x="149"/>
        <item x="261"/>
        <item x="234"/>
        <item x="789"/>
        <item x="665"/>
        <item x="199"/>
        <item x="656"/>
        <item x="610"/>
        <item x="901"/>
        <item x="1"/>
        <item x="255"/>
        <item x="36"/>
        <item x="845"/>
        <item x="787"/>
        <item x="189"/>
        <item x="877"/>
        <item x="694"/>
        <item x="855"/>
        <item x="881"/>
        <item x="856"/>
        <item x="704"/>
        <item x="369"/>
        <item x="673"/>
        <item x="173"/>
        <item x="123"/>
        <item x="353"/>
        <item x="503"/>
        <item x="393"/>
        <item x="306"/>
        <item x="85"/>
        <item x="230"/>
        <item x="169"/>
        <item x="196"/>
        <item x="478"/>
        <item x="23"/>
        <item x="536"/>
        <item x="39"/>
        <item x="302"/>
        <item x="490"/>
        <item x="890"/>
        <item x="461"/>
        <item x="348"/>
        <item x="579"/>
        <item x="750"/>
        <item x="382"/>
        <item x="915"/>
        <item x="667"/>
        <item x="424"/>
        <item x="154"/>
        <item x="850"/>
        <item x="872"/>
        <item x="106"/>
        <item x="757"/>
        <item x="738"/>
        <item x="693"/>
        <item x="832"/>
        <item x="239"/>
        <item x="903"/>
        <item x="572"/>
        <item x="248"/>
        <item x="215"/>
        <item x="614"/>
        <item x="666"/>
        <item x="636"/>
        <item x="419"/>
        <item x="216"/>
        <item x="275"/>
        <item x="185"/>
        <item x="198"/>
        <item x="34"/>
        <item x="806"/>
        <item x="586"/>
        <item x="291"/>
        <item x="163"/>
        <item x="582"/>
        <item x="643"/>
        <item x="139"/>
        <item x="758"/>
        <item x="322"/>
        <item x="537"/>
        <item x="262"/>
        <item x="894"/>
        <item x="263"/>
        <item x="436"/>
        <item x="561"/>
        <item x="425"/>
        <item x="38"/>
        <item x="137"/>
        <item x="895"/>
        <item x="428"/>
        <item x="773"/>
        <item x="209"/>
        <item x="485"/>
        <item x="107"/>
        <item x="734"/>
        <item x="794"/>
        <item x="349"/>
        <item x="396"/>
        <item x="116"/>
        <item x="27"/>
        <item x="501"/>
        <item x="765"/>
        <item x="35"/>
        <item x="221"/>
        <item x="513"/>
        <item x="347"/>
        <item x="126"/>
        <item x="762"/>
        <item x="568"/>
        <item x="481"/>
        <item x="560"/>
        <item x="604"/>
        <item x="258"/>
        <item x="178"/>
        <item x="84"/>
        <item x="686"/>
        <item x="303"/>
        <item x="916"/>
        <item x="108"/>
        <item x="7"/>
        <item x="98"/>
        <item x="483"/>
        <item x="605"/>
        <item x="0"/>
        <item x="529"/>
        <item x="843"/>
        <item x="245"/>
        <item x="364"/>
        <item x="921"/>
        <item x="213"/>
        <item x="836"/>
        <item x="447"/>
        <item x="96"/>
        <item x="100"/>
        <item x="201"/>
        <item x="826"/>
        <item x="195"/>
        <item x="617"/>
        <item x="243"/>
        <item x="77"/>
        <item x="695"/>
        <item x="599"/>
        <item x="362"/>
        <item x="736"/>
        <item x="707"/>
        <item x="570"/>
        <item x="639"/>
        <item x="400"/>
        <item x="270"/>
        <item x="268"/>
        <item x="171"/>
        <item x="803"/>
        <item x="688"/>
        <item x="359"/>
        <item x="742"/>
        <item x="771"/>
        <item x="286"/>
        <item x="138"/>
        <item x="183"/>
        <item x="706"/>
        <item x="645"/>
        <item x="760"/>
        <item x="912"/>
        <item x="837"/>
        <item x="449"/>
        <item x="72"/>
        <item x="721"/>
        <item x="874"/>
        <item x="327"/>
        <item x="520"/>
        <item x="574"/>
        <item x="299"/>
        <item x="838"/>
        <item x="741"/>
        <item x="583"/>
        <item x="458"/>
        <item x="114"/>
        <item x="831"/>
        <item x="251"/>
        <item x="635"/>
        <item x="923"/>
        <item x="460"/>
        <item x="523"/>
        <item x="316"/>
        <item x="556"/>
        <item x="506"/>
        <item x="105"/>
        <item x="93"/>
        <item x="898"/>
        <item x="914"/>
        <item x="164"/>
        <item x="715"/>
        <item x="745"/>
        <item x="383"/>
        <item x="135"/>
        <item x="527"/>
        <item x="325"/>
        <item x="589"/>
        <item x="227"/>
        <item x="252"/>
        <item x="585"/>
        <item x="814"/>
        <item x="514"/>
        <item x="869"/>
        <item x="101"/>
        <item x="182"/>
        <item x="780"/>
        <item x="564"/>
        <item x="603"/>
        <item x="662"/>
        <item x="882"/>
        <item x="508"/>
        <item x="300"/>
        <item x="52"/>
        <item x="454"/>
        <item x="859"/>
        <item x="737"/>
        <item x="391"/>
        <item x="730"/>
        <item x="507"/>
        <item x="32"/>
        <item x="42"/>
        <item x="28"/>
        <item x="829"/>
        <item x="92"/>
        <item x="770"/>
        <item x="475"/>
        <item x="410"/>
        <item x="563"/>
        <item x="57"/>
        <item x="807"/>
        <item x="522"/>
        <item x="493"/>
        <item x="267"/>
        <item x="118"/>
        <item x="637"/>
        <item x="611"/>
        <item x="812"/>
        <item x="631"/>
        <item x="861"/>
        <item x="452"/>
        <item x="80"/>
        <item x="365"/>
        <item x="682"/>
        <item x="717"/>
        <item x="363"/>
        <item x="278"/>
        <item x="130"/>
        <item x="143"/>
        <item x="817"/>
        <item x="886"/>
        <item x="121"/>
        <item x="128"/>
        <item x="842"/>
        <item x="20"/>
        <item x="813"/>
        <item x="690"/>
        <item x="759"/>
        <item x="45"/>
        <item x="778"/>
        <item x="112"/>
        <item x="55"/>
        <item x="638"/>
        <item x="716"/>
        <item x="790"/>
        <item x="144"/>
        <item x="83"/>
        <item x="202"/>
        <item x="788"/>
        <item x="552"/>
        <item x="301"/>
        <item x="722"/>
        <item x="109"/>
        <item x="477"/>
        <item x="624"/>
        <item x="756"/>
        <item x="743"/>
        <item x="504"/>
        <item x="918"/>
        <item x="233"/>
        <item x="711"/>
        <item x="95"/>
        <item x="663"/>
        <item x="747"/>
        <item x="466"/>
        <item x="405"/>
        <item x="421"/>
        <item x="753"/>
        <item x="13"/>
        <item x="473"/>
        <item x="390"/>
        <item x="772"/>
        <item x="622"/>
        <item x="249"/>
        <item x="774"/>
        <item x="217"/>
        <item x="328"/>
        <item x="543"/>
        <item x="702"/>
        <item x="841"/>
        <item x="338"/>
        <item x="763"/>
        <item x="455"/>
        <item x="781"/>
        <item x="276"/>
        <item x="9"/>
        <item x="247"/>
        <item x="691"/>
        <item x="809"/>
        <item x="782"/>
        <item x="849"/>
        <item x="214"/>
        <item x="476"/>
        <item x="104"/>
        <item x="71"/>
        <item x="664"/>
        <item x="134"/>
        <item x="29"/>
        <item x="87"/>
        <item x="191"/>
        <item x="70"/>
        <item x="155"/>
        <item x="161"/>
        <item x="368"/>
        <item x="910"/>
        <item x="538"/>
        <item x="453"/>
        <item x="510"/>
        <item x="250"/>
        <item x="357"/>
        <item x="384"/>
        <item x="140"/>
        <item x="524"/>
        <item x="41"/>
        <item x="917"/>
        <item x="208"/>
        <item x="346"/>
        <item x="336"/>
        <item x="913"/>
        <item x="47"/>
        <item x="668"/>
        <item x="69"/>
        <item x="488"/>
        <item x="539"/>
        <item x="808"/>
        <item x="99"/>
        <item x="16"/>
        <item x="710"/>
        <item x="525"/>
        <item x="445"/>
        <item x="354"/>
        <item x="887"/>
        <item x="602"/>
        <item x="380"/>
        <item x="835"/>
        <item x="304"/>
        <item x="30"/>
        <item x="288"/>
        <item x="519"/>
        <item x="19"/>
        <item x="549"/>
        <item x="557"/>
        <item x="307"/>
        <item x="669"/>
        <item x="426"/>
        <item x="420"/>
        <item x="371"/>
        <item x="148"/>
        <item x="33"/>
        <item x="767"/>
        <item x="810"/>
        <item x="615"/>
        <item x="875"/>
        <item x="846"/>
        <item x="119"/>
        <item x="573"/>
        <item x="659"/>
        <item x="670"/>
        <item x="315"/>
        <item x="385"/>
        <item x="242"/>
        <item x="231"/>
        <item x="654"/>
        <item x="748"/>
        <item x="865"/>
        <item x="350"/>
        <item x="511"/>
        <item x="333"/>
        <item x="815"/>
        <item x="131"/>
        <item x="253"/>
        <item x="412"/>
        <item x="884"/>
        <item x="443"/>
        <item x="486"/>
        <item x="685"/>
        <item x="190"/>
        <item x="598"/>
        <item x="731"/>
        <item x="873"/>
        <item x="176"/>
        <item x="298"/>
        <item x="341"/>
        <item x="168"/>
        <item x="531"/>
        <item x="79"/>
        <item x="754"/>
        <item x="783"/>
        <item x="264"/>
        <item x="792"/>
        <item x="540"/>
        <item x="170"/>
        <item x="909"/>
        <item x="830"/>
        <item x="545"/>
        <item x="43"/>
        <item x="619"/>
        <item x="795"/>
        <item x="840"/>
        <item x="294"/>
        <item x="375"/>
        <item x="629"/>
        <item x="296"/>
        <item x="487"/>
        <item x="891"/>
        <item x="361"/>
        <item x="310"/>
        <item x="324"/>
        <item x="427"/>
        <item x="902"/>
        <item x="749"/>
        <item x="379"/>
        <item x="271"/>
        <item x="825"/>
        <item x="60"/>
        <item x="21"/>
        <item x="289"/>
        <item x="366"/>
        <item x="766"/>
        <item x="273"/>
        <item x="76"/>
        <item x="256"/>
        <item x="97"/>
        <item x="89"/>
        <item x="167"/>
        <item x="442"/>
        <item x="904"/>
        <item x="533"/>
        <item x="623"/>
        <item x="642"/>
        <item x="18"/>
        <item x="54"/>
        <item x="653"/>
        <item x="53"/>
        <item x="480"/>
        <item x="218"/>
        <item x="113"/>
        <item x="852"/>
        <item x="287"/>
        <item x="59"/>
        <item x="920"/>
        <item x="240"/>
        <item x="892"/>
        <item x="484"/>
        <item x="632"/>
        <item x="411"/>
        <item x="159"/>
        <item x="360"/>
        <item x="219"/>
        <item x="697"/>
        <item x="630"/>
        <item x="876"/>
        <item x="417"/>
        <item x="723"/>
        <item x="880"/>
        <item x="613"/>
        <item x="162"/>
        <item x="204"/>
        <item x="437"/>
        <item x="608"/>
        <item x="111"/>
        <item x="284"/>
        <item x="344"/>
        <item x="534"/>
        <item x="343"/>
        <item x="675"/>
        <item x="469"/>
        <item x="644"/>
        <item x="151"/>
        <item x="430"/>
        <item x="683"/>
        <item x="847"/>
        <item x="397"/>
        <item x="584"/>
        <item x="172"/>
        <item x="496"/>
        <item x="834"/>
        <item x="732"/>
        <item x="571"/>
        <item t="default"/>
      </items>
    </pivotField>
    <pivotField showAll="0"/>
    <pivotField axis="axisRow">
      <items count="6">
        <item x="2"/>
        <item x="1"/>
        <item x="0"/>
        <item x="3"/>
        <item x="4"/>
        <item t="default"/>
      </items>
    </pivotField>
    <pivotField showAll="0"/>
    <pivotField numFmtId="1" showAll="0"/>
    <pivotField showAll="0" nonAutoSortDefault="1">
      <items count="4">
        <item x="0"/>
        <item x="1"/>
        <item x="2"/>
        <item t="default"/>
      </items>
    </pivotField>
    <pivotField numFmtId="164" showAll="0"/>
    <pivotField showAll="0"/>
    <pivotField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6">
        <item n="0-20" sd="0" x="0"/>
        <item n="21-40" sd="0" x="1"/>
        <item n="41-60" sd="0" x="2"/>
        <item n="61-80" sd="0" x="3"/>
        <item n="81-100" sd="0" x="4"/>
        <item t="default"/>
      </items>
    </pivotField>
    <pivotField showAll="0">
      <items count="6">
        <item x="0"/>
        <item x="1"/>
        <item x="2"/>
        <item x="3"/>
        <item x="4"/>
        <item t="default"/>
      </items>
    </pivotField>
  </pivotFields>
  <rowFields count="1">
    <field x="21"/>
  </rowFields>
  <rowItems count="5">
    <i>
      <x/>
    </i>
    <i>
      <x v="1"/>
    </i>
    <i>
      <x v="2"/>
    </i>
    <i>
      <x v="3"/>
    </i>
    <i>
      <x v="4"/>
    </i>
  </rowItems>
  <colFields count="1">
    <field x="6"/>
  </colFields>
  <colItems count="7">
    <i>
      <x/>
    </i>
    <i>
      <x v="1"/>
    </i>
    <i>
      <x v="2"/>
    </i>
    <i>
      <x v="3"/>
    </i>
    <i>
      <x v="4"/>
    </i>
    <i>
      <x v="5"/>
    </i>
    <i>
      <x v="6"/>
    </i>
  </colItems>
  <dataFields count="1">
    <dataField name="Count of User_ID" fld="0" subtotal="count" baseField="6" baseItem="0"/>
  </dataFields>
  <formats count="12">
    <format dxfId="118">
      <pivotArea type="all" dataOnly="0" outline="0" fieldPosition="0"/>
    </format>
    <format dxfId="117">
      <pivotArea outline="0" collapsedLevelsAreSubtotals="1" fieldPosition="0"/>
    </format>
    <format dxfId="116">
      <pivotArea field="24" type="button" dataOnly="0" labelOnly="1" outline="0"/>
    </format>
    <format dxfId="115">
      <pivotArea dataOnly="0" labelOnly="1" grandRow="1" outline="0" fieldPosition="0"/>
    </format>
    <format dxfId="114">
      <pivotArea type="all" dataOnly="0" outline="0" fieldPosition="0"/>
    </format>
    <format dxfId="113">
      <pivotArea outline="0" collapsedLevelsAreSubtotals="1" fieldPosition="0"/>
    </format>
    <format dxfId="112">
      <pivotArea field="24" type="button" dataOnly="0" labelOnly="1" outline="0"/>
    </format>
    <format dxfId="111">
      <pivotArea dataOnly="0" labelOnly="1" grandRow="1" outline="0" fieldPosition="0"/>
    </format>
    <format dxfId="110">
      <pivotArea type="all" dataOnly="0" outline="0" fieldPosition="0"/>
    </format>
    <format dxfId="109">
      <pivotArea outline="0" collapsedLevelsAreSubtotals="1" fieldPosition="0"/>
    </format>
    <format dxfId="108">
      <pivotArea field="24" type="button" dataOnly="0" labelOnly="1" outline="0"/>
    </format>
    <format dxfId="107">
      <pivotArea dataOnly="0" labelOnly="1" grandRow="1" outline="0" fieldPosition="0"/>
    </format>
  </formats>
  <conditionalFormats count="1">
    <conditionalFormat priority="4">
      <pivotAreas count="1">
        <pivotArea type="data" collapsedLevelsAreSubtotals="1" fieldPosition="0">
          <references count="2">
            <reference field="4294967294" count="1" selected="0">
              <x v="0"/>
            </reference>
            <reference field="6" count="7">
              <x v="0"/>
              <x v="1"/>
              <x v="2"/>
              <x v="3"/>
              <x v="4"/>
              <x v="5"/>
              <x v="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C0E781-DF52-4B90-B34E-96F006E9FA10}" name="1. Subscription &amp; Revenue Analysis: 1.1" cacheId="0"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8" rowHeaderCaption="Year &amp; Month">
  <location ref="D11:G41" firstHeaderRow="1" firstDataRow="2" firstDataCol="1"/>
  <pivotFields count="34">
    <pivotField numFmtId="1" showAll="0"/>
    <pivotField showAll="0"/>
    <pivotField numFmtId="14" showAll="0">
      <items count="538">
        <item x="91"/>
        <item x="302"/>
        <item x="102"/>
        <item x="424"/>
        <item x="54"/>
        <item x="127"/>
        <item x="51"/>
        <item x="274"/>
        <item x="137"/>
        <item x="53"/>
        <item x="201"/>
        <item x="417"/>
        <item x="218"/>
        <item x="228"/>
        <item x="374"/>
        <item x="524"/>
        <item x="484"/>
        <item x="514"/>
        <item x="470"/>
        <item x="513"/>
        <item x="333"/>
        <item x="463"/>
        <item x="368"/>
        <item x="222"/>
        <item x="176"/>
        <item x="119"/>
        <item x="255"/>
        <item x="270"/>
        <item x="281"/>
        <item x="251"/>
        <item x="344"/>
        <item x="497"/>
        <item x="3"/>
        <item x="200"/>
        <item x="58"/>
        <item x="504"/>
        <item x="86"/>
        <item x="147"/>
        <item x="116"/>
        <item x="224"/>
        <item x="359"/>
        <item x="478"/>
        <item x="440"/>
        <item x="16"/>
        <item x="242"/>
        <item x="471"/>
        <item x="100"/>
        <item x="507"/>
        <item x="65"/>
        <item x="128"/>
        <item x="233"/>
        <item x="131"/>
        <item x="217"/>
        <item x="152"/>
        <item x="372"/>
        <item x="62"/>
        <item x="397"/>
        <item x="393"/>
        <item x="204"/>
        <item x="364"/>
        <item x="139"/>
        <item x="112"/>
        <item x="253"/>
        <item x="475"/>
        <item x="518"/>
        <item x="151"/>
        <item x="378"/>
        <item x="264"/>
        <item x="123"/>
        <item x="269"/>
        <item x="353"/>
        <item x="453"/>
        <item x="45"/>
        <item x="47"/>
        <item x="12"/>
        <item x="10"/>
        <item x="361"/>
        <item x="108"/>
        <item x="1"/>
        <item x="42"/>
        <item x="408"/>
        <item x="428"/>
        <item x="334"/>
        <item x="367"/>
        <item x="459"/>
        <item x="275"/>
        <item x="64"/>
        <item x="410"/>
        <item x="90"/>
        <item x="505"/>
        <item x="241"/>
        <item x="154"/>
        <item x="336"/>
        <item x="306"/>
        <item x="232"/>
        <item x="211"/>
        <item x="413"/>
        <item x="44"/>
        <item x="491"/>
        <item x="494"/>
        <item x="80"/>
        <item x="427"/>
        <item x="124"/>
        <item x="132"/>
        <item x="400"/>
        <item x="324"/>
        <item x="177"/>
        <item x="480"/>
        <item x="130"/>
        <item x="172"/>
        <item x="0"/>
        <item x="190"/>
        <item x="315"/>
        <item x="366"/>
        <item x="392"/>
        <item x="282"/>
        <item x="181"/>
        <item x="194"/>
        <item x="318"/>
        <item x="266"/>
        <item x="369"/>
        <item x="461"/>
        <item x="230"/>
        <item x="532"/>
        <item x="257"/>
        <item x="178"/>
        <item x="17"/>
        <item x="469"/>
        <item x="351"/>
        <item x="4"/>
        <item x="14"/>
        <item x="173"/>
        <item x="148"/>
        <item x="175"/>
        <item x="405"/>
        <item x="339"/>
        <item x="509"/>
        <item x="8"/>
        <item x="156"/>
        <item x="25"/>
        <item x="98"/>
        <item x="519"/>
        <item x="31"/>
        <item x="391"/>
        <item x="60"/>
        <item x="506"/>
        <item x="220"/>
        <item x="434"/>
        <item x="454"/>
        <item x="19"/>
        <item x="164"/>
        <item x="402"/>
        <item x="373"/>
        <item x="273"/>
        <item x="294"/>
        <item x="199"/>
        <item x="20"/>
        <item x="41"/>
        <item x="476"/>
        <item x="244"/>
        <item x="510"/>
        <item x="94"/>
        <item x="468"/>
        <item x="229"/>
        <item x="49"/>
        <item x="239"/>
        <item x="395"/>
        <item x="68"/>
        <item x="2"/>
        <item x="88"/>
        <item x="250"/>
        <item x="236"/>
        <item x="101"/>
        <item x="436"/>
        <item x="247"/>
        <item x="260"/>
        <item x="189"/>
        <item x="515"/>
        <item x="183"/>
        <item x="37"/>
        <item x="75"/>
        <item x="398"/>
        <item x="482"/>
        <item x="335"/>
        <item x="330"/>
        <item x="511"/>
        <item x="296"/>
        <item x="208"/>
        <item x="213"/>
        <item x="399"/>
        <item x="46"/>
        <item x="206"/>
        <item x="288"/>
        <item x="133"/>
        <item x="69"/>
        <item x="457"/>
        <item x="197"/>
        <item x="409"/>
        <item x="337"/>
        <item x="84"/>
        <item x="486"/>
        <item x="383"/>
        <item x="35"/>
        <item x="442"/>
        <item x="5"/>
        <item x="381"/>
        <item x="293"/>
        <item x="18"/>
        <item x="467"/>
        <item x="23"/>
        <item x="425"/>
        <item x="162"/>
        <item x="423"/>
        <item x="332"/>
        <item x="271"/>
        <item x="106"/>
        <item x="346"/>
        <item x="113"/>
        <item x="477"/>
        <item x="437"/>
        <item x="422"/>
        <item x="57"/>
        <item x="67"/>
        <item x="223"/>
        <item x="153"/>
        <item x="140"/>
        <item x="87"/>
        <item x="82"/>
        <item x="231"/>
        <item x="73"/>
        <item x="501"/>
        <item x="305"/>
        <item x="89"/>
        <item x="431"/>
        <item x="340"/>
        <item x="143"/>
        <item x="456"/>
        <item x="472"/>
        <item x="341"/>
        <item x="298"/>
        <item x="529"/>
        <item x="326"/>
        <item x="212"/>
        <item x="195"/>
        <item x="347"/>
        <item x="462"/>
        <item x="196"/>
        <item x="22"/>
        <item x="388"/>
        <item x="534"/>
        <item x="120"/>
        <item x="536"/>
        <item x="66"/>
        <item x="32"/>
        <item x="517"/>
        <item x="285"/>
        <item x="9"/>
        <item x="492"/>
        <item x="170"/>
        <item x="72"/>
        <item x="327"/>
        <item x="96"/>
        <item x="184"/>
        <item x="329"/>
        <item x="371"/>
        <item x="320"/>
        <item x="342"/>
        <item x="377"/>
        <item x="452"/>
        <item x="527"/>
        <item x="81"/>
        <item x="56"/>
        <item x="418"/>
        <item x="406"/>
        <item x="262"/>
        <item x="522"/>
        <item x="209"/>
        <item x="263"/>
        <item x="61"/>
        <item x="307"/>
        <item x="74"/>
        <item x="357"/>
        <item x="286"/>
        <item x="205"/>
        <item x="261"/>
        <item x="443"/>
        <item x="414"/>
        <item x="203"/>
        <item x="33"/>
        <item x="126"/>
        <item x="248"/>
        <item x="142"/>
        <item x="280"/>
        <item x="394"/>
        <item x="287"/>
        <item x="243"/>
        <item x="110"/>
        <item x="317"/>
        <item x="303"/>
        <item x="161"/>
        <item x="489"/>
        <item x="215"/>
        <item x="27"/>
        <item x="144"/>
        <item x="121"/>
        <item x="246"/>
        <item x="321"/>
        <item x="163"/>
        <item x="525"/>
        <item x="104"/>
        <item x="415"/>
        <item x="92"/>
        <item x="419"/>
        <item x="38"/>
        <item x="438"/>
        <item x="309"/>
        <item x="150"/>
        <item x="473"/>
        <item x="171"/>
        <item x="155"/>
        <item x="348"/>
        <item x="198"/>
        <item x="185"/>
        <item x="387"/>
        <item x="83"/>
        <item x="426"/>
        <item x="11"/>
        <item x="103"/>
        <item x="375"/>
        <item x="354"/>
        <item x="495"/>
        <item x="219"/>
        <item x="498"/>
        <item x="432"/>
        <item x="531"/>
        <item x="252"/>
        <item x="63"/>
        <item x="99"/>
        <item x="355"/>
        <item x="328"/>
        <item x="358"/>
        <item x="202"/>
        <item x="180"/>
        <item x="157"/>
        <item x="28"/>
        <item x="379"/>
        <item x="444"/>
        <item x="445"/>
        <item x="138"/>
        <item x="533"/>
        <item x="52"/>
        <item x="450"/>
        <item x="412"/>
        <item x="43"/>
        <item x="420"/>
        <item x="272"/>
        <item x="370"/>
        <item x="526"/>
        <item x="290"/>
        <item x="292"/>
        <item x="283"/>
        <item x="300"/>
        <item x="343"/>
        <item x="384"/>
        <item x="210"/>
        <item x="535"/>
        <item x="145"/>
        <item x="401"/>
        <item x="523"/>
        <item x="403"/>
        <item x="179"/>
        <item x="350"/>
        <item x="169"/>
        <item x="512"/>
        <item x="439"/>
        <item x="310"/>
        <item x="256"/>
        <item x="235"/>
        <item x="376"/>
        <item x="363"/>
        <item x="396"/>
        <item x="24"/>
        <item x="254"/>
        <item x="15"/>
        <item x="149"/>
        <item x="26"/>
        <item x="465"/>
        <item x="458"/>
        <item x="520"/>
        <item x="490"/>
        <item x="352"/>
        <item x="118"/>
        <item x="7"/>
        <item x="93"/>
        <item x="221"/>
        <item x="214"/>
        <item x="356"/>
        <item x="521"/>
        <item x="345"/>
        <item x="386"/>
        <item x="448"/>
        <item x="441"/>
        <item x="429"/>
        <item x="502"/>
        <item x="21"/>
        <item x="182"/>
        <item x="365"/>
        <item x="141"/>
        <item x="48"/>
        <item x="500"/>
        <item x="299"/>
        <item x="226"/>
        <item x="338"/>
        <item x="85"/>
        <item x="481"/>
        <item x="411"/>
        <item x="488"/>
        <item x="297"/>
        <item x="29"/>
        <item x="167"/>
        <item x="97"/>
        <item x="70"/>
        <item x="447"/>
        <item x="238"/>
        <item x="109"/>
        <item x="380"/>
        <item x="325"/>
        <item x="466"/>
        <item x="389"/>
        <item x="165"/>
        <item x="404"/>
        <item x="71"/>
        <item x="277"/>
        <item x="77"/>
        <item x="291"/>
        <item x="446"/>
        <item x="455"/>
        <item x="289"/>
        <item x="237"/>
        <item x="295"/>
        <item x="362"/>
        <item x="349"/>
        <item x="528"/>
        <item x="39"/>
        <item x="174"/>
        <item x="508"/>
        <item x="258"/>
        <item x="135"/>
        <item x="168"/>
        <item x="493"/>
        <item x="187"/>
        <item x="268"/>
        <item x="483"/>
        <item x="78"/>
        <item x="304"/>
        <item x="474"/>
        <item x="6"/>
        <item x="301"/>
        <item x="284"/>
        <item x="79"/>
        <item x="186"/>
        <item x="276"/>
        <item x="433"/>
        <item x="499"/>
        <item x="216"/>
        <item x="323"/>
        <item x="55"/>
        <item x="278"/>
        <item x="193"/>
        <item x="316"/>
        <item x="13"/>
        <item x="279"/>
        <item x="40"/>
        <item x="314"/>
        <item x="191"/>
        <item x="146"/>
        <item x="416"/>
        <item x="207"/>
        <item x="227"/>
        <item x="259"/>
        <item x="105"/>
        <item x="249"/>
        <item x="516"/>
        <item x="136"/>
        <item x="36"/>
        <item x="312"/>
        <item x="34"/>
        <item x="319"/>
        <item x="503"/>
        <item x="331"/>
        <item x="240"/>
        <item x="421"/>
        <item x="192"/>
        <item x="311"/>
        <item x="267"/>
        <item x="117"/>
        <item x="496"/>
        <item x="134"/>
        <item x="390"/>
        <item x="449"/>
        <item x="76"/>
        <item x="160"/>
        <item x="360"/>
        <item x="385"/>
        <item x="460"/>
        <item x="166"/>
        <item x="234"/>
        <item x="245"/>
        <item x="95"/>
        <item x="50"/>
        <item x="407"/>
        <item x="322"/>
        <item x="265"/>
        <item x="464"/>
        <item x="479"/>
        <item x="487"/>
        <item x="451"/>
        <item x="115"/>
        <item x="159"/>
        <item x="225"/>
        <item x="111"/>
        <item x="308"/>
        <item x="122"/>
        <item x="114"/>
        <item x="59"/>
        <item x="382"/>
        <item x="129"/>
        <item x="188"/>
        <item x="485"/>
        <item x="107"/>
        <item x="158"/>
        <item x="530"/>
        <item x="30"/>
        <item x="125"/>
        <item x="313"/>
        <item x="430"/>
        <item x="435"/>
        <item t="default"/>
      </items>
    </pivotField>
    <pivotField numFmtId="14" showAll="0"/>
    <pivotField dataField="1" numFmtId="165" showAll="0"/>
    <pivotField numFmtId="1" showAll="0"/>
    <pivotField showAll="0">
      <items count="8">
        <item x="0"/>
        <item x="5"/>
        <item x="3"/>
        <item x="1"/>
        <item x="4"/>
        <item x="6"/>
        <item x="2"/>
        <item t="default"/>
      </items>
    </pivotField>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pivotField showAll="0"/>
    <pivotField numFmtId="1" showAll="0">
      <items count="102">
        <item x="13"/>
        <item x="6"/>
        <item x="99"/>
        <item x="20"/>
        <item x="69"/>
        <item x="78"/>
        <item x="65"/>
        <item x="34"/>
        <item x="39"/>
        <item x="87"/>
        <item x="95"/>
        <item x="17"/>
        <item x="32"/>
        <item x="44"/>
        <item x="31"/>
        <item x="48"/>
        <item x="88"/>
        <item x="71"/>
        <item x="57"/>
        <item x="96"/>
        <item x="66"/>
        <item x="68"/>
        <item x="46"/>
        <item x="73"/>
        <item x="50"/>
        <item x="14"/>
        <item x="8"/>
        <item x="21"/>
        <item x="72"/>
        <item x="94"/>
        <item x="55"/>
        <item x="97"/>
        <item x="7"/>
        <item x="36"/>
        <item x="91"/>
        <item x="93"/>
        <item x="58"/>
        <item x="86"/>
        <item x="11"/>
        <item x="4"/>
        <item x="42"/>
        <item x="81"/>
        <item x="19"/>
        <item x="80"/>
        <item x="52"/>
        <item x="30"/>
        <item x="63"/>
        <item x="3"/>
        <item x="60"/>
        <item x="77"/>
        <item x="16"/>
        <item x="82"/>
        <item x="64"/>
        <item x="56"/>
        <item x="84"/>
        <item x="38"/>
        <item x="2"/>
        <item x="10"/>
        <item x="27"/>
        <item x="76"/>
        <item x="22"/>
        <item x="47"/>
        <item x="12"/>
        <item x="40"/>
        <item x="61"/>
        <item x="15"/>
        <item x="29"/>
        <item x="79"/>
        <item x="53"/>
        <item x="1"/>
        <item x="85"/>
        <item x="5"/>
        <item x="35"/>
        <item x="59"/>
        <item x="98"/>
        <item x="100"/>
        <item x="24"/>
        <item x="70"/>
        <item x="18"/>
        <item x="37"/>
        <item x="54"/>
        <item x="74"/>
        <item x="45"/>
        <item x="75"/>
        <item x="0"/>
        <item x="26"/>
        <item x="89"/>
        <item x="62"/>
        <item x="51"/>
        <item x="83"/>
        <item x="9"/>
        <item x="23"/>
        <item x="92"/>
        <item x="67"/>
        <item x="43"/>
        <item x="49"/>
        <item x="41"/>
        <item x="28"/>
        <item x="25"/>
        <item x="33"/>
        <item x="90"/>
        <item t="default"/>
      </items>
    </pivotField>
    <pivotField numFmtId="164" showAll="0"/>
    <pivotField showAll="0"/>
    <pivotField showAll="0"/>
    <pivotField numFmtId="1" showAll="0">
      <items count="925">
        <item x="820"/>
        <item x="647"/>
        <item x="269"/>
        <item x="416"/>
        <item x="448"/>
        <item x="701"/>
        <item x="5"/>
        <item x="919"/>
        <item x="73"/>
        <item x="680"/>
        <item x="640"/>
        <item x="290"/>
        <item x="407"/>
        <item x="395"/>
        <item x="423"/>
        <item x="272"/>
        <item x="409"/>
        <item x="332"/>
        <item x="422"/>
        <item x="205"/>
        <item x="150"/>
        <item x="609"/>
        <item x="565"/>
        <item x="435"/>
        <item x="206"/>
        <item x="180"/>
        <item x="125"/>
        <item x="509"/>
        <item x="203"/>
        <item x="323"/>
        <item x="342"/>
        <item x="314"/>
        <item x="718"/>
        <item x="761"/>
        <item x="858"/>
        <item x="432"/>
        <item x="592"/>
        <item x="141"/>
        <item x="459"/>
        <item x="11"/>
        <item x="175"/>
        <item x="174"/>
        <item x="528"/>
        <item x="786"/>
        <item x="705"/>
        <item x="394"/>
        <item x="229"/>
        <item x="207"/>
        <item x="883"/>
        <item x="86"/>
        <item x="532"/>
        <item x="451"/>
        <item x="374"/>
        <item x="878"/>
        <item x="833"/>
        <item x="700"/>
        <item x="526"/>
        <item x="22"/>
        <item x="292"/>
        <item x="246"/>
        <item x="494"/>
        <item x="679"/>
        <item x="601"/>
        <item x="367"/>
        <item x="399"/>
        <item x="337"/>
        <item x="8"/>
        <item x="677"/>
        <item x="401"/>
        <item x="68"/>
        <item x="66"/>
        <item x="468"/>
        <item x="260"/>
        <item x="517"/>
        <item x="729"/>
        <item x="277"/>
        <item x="502"/>
        <item x="650"/>
        <item x="866"/>
        <item x="627"/>
        <item x="612"/>
        <item x="462"/>
        <item x="415"/>
        <item x="660"/>
        <item x="67"/>
        <item x="489"/>
        <item x="238"/>
        <item x="775"/>
        <item x="678"/>
        <item x="768"/>
        <item x="51"/>
        <item x="181"/>
        <item x="893"/>
        <item x="157"/>
        <item x="607"/>
        <item x="46"/>
        <item x="482"/>
        <item x="241"/>
        <item x="156"/>
        <item x="127"/>
        <item x="153"/>
        <item x="550"/>
        <item x="280"/>
        <item x="515"/>
        <item x="805"/>
        <item x="554"/>
        <item x="512"/>
        <item x="450"/>
        <item x="479"/>
        <item x="88"/>
        <item x="698"/>
        <item x="389"/>
        <item x="90"/>
        <item x="44"/>
        <item x="320"/>
        <item x="340"/>
        <item x="308"/>
        <item x="800"/>
        <item x="122"/>
        <item x="321"/>
        <item x="431"/>
        <item x="785"/>
        <item x="15"/>
        <item x="222"/>
        <item x="94"/>
        <item x="10"/>
        <item x="559"/>
        <item x="588"/>
        <item x="553"/>
        <item x="210"/>
        <item x="237"/>
        <item x="441"/>
        <item x="434"/>
        <item x="755"/>
        <item x="235"/>
        <item x="117"/>
        <item x="474"/>
        <item x="160"/>
        <item x="587"/>
        <item x="257"/>
        <item x="318"/>
        <item x="457"/>
        <item x="492"/>
        <item x="6"/>
        <item x="491"/>
        <item x="499"/>
        <item x="728"/>
        <item x="906"/>
        <item x="692"/>
        <item x="356"/>
        <item x="816"/>
        <item x="31"/>
        <item x="719"/>
        <item x="58"/>
        <item x="309"/>
        <item x="822"/>
        <item x="651"/>
        <item x="37"/>
        <item x="889"/>
        <item x="764"/>
        <item x="516"/>
        <item x="655"/>
        <item x="819"/>
        <item x="633"/>
        <item x="696"/>
        <item x="577"/>
        <item x="726"/>
        <item x="518"/>
        <item x="147"/>
        <item x="463"/>
        <item x="618"/>
        <item x="335"/>
        <item x="848"/>
        <item x="212"/>
        <item x="75"/>
        <item x="165"/>
        <item x="115"/>
        <item x="709"/>
        <item x="739"/>
        <item x="211"/>
        <item x="3"/>
        <item x="868"/>
        <item x="467"/>
        <item x="376"/>
        <item x="61"/>
        <item x="225"/>
        <item x="495"/>
        <item x="784"/>
        <item x="254"/>
        <item x="799"/>
        <item x="259"/>
        <item x="725"/>
        <item x="888"/>
        <item x="403"/>
        <item x="567"/>
        <item x="281"/>
        <item x="908"/>
        <item x="142"/>
        <item x="546"/>
        <item x="188"/>
        <item x="14"/>
        <item x="464"/>
        <item x="184"/>
        <item x="200"/>
        <item x="751"/>
        <item x="541"/>
        <item x="600"/>
        <item x="311"/>
        <item x="319"/>
        <item x="544"/>
        <item x="63"/>
        <item x="265"/>
        <item x="295"/>
        <item x="896"/>
        <item x="746"/>
        <item x="192"/>
        <item x="620"/>
        <item x="62"/>
        <item x="17"/>
        <item x="596"/>
        <item x="132"/>
        <item x="839"/>
        <item x="285"/>
        <item x="414"/>
        <item x="591"/>
        <item x="684"/>
        <item x="689"/>
        <item x="406"/>
        <item x="796"/>
        <item x="804"/>
        <item x="91"/>
        <item x="687"/>
        <item x="824"/>
        <item x="625"/>
        <item x="897"/>
        <item x="575"/>
        <item x="628"/>
        <item x="676"/>
        <item x="387"/>
        <item x="498"/>
        <item x="446"/>
        <item x="576"/>
        <item x="49"/>
        <item x="381"/>
        <item x="769"/>
        <item x="703"/>
        <item x="593"/>
        <item x="433"/>
        <item x="548"/>
        <item x="674"/>
        <item x="616"/>
        <item x="78"/>
        <item x="864"/>
        <item x="551"/>
        <item x="801"/>
        <item x="358"/>
        <item x="776"/>
        <item x="857"/>
        <item x="120"/>
        <item x="444"/>
        <item x="844"/>
        <item x="606"/>
        <item x="594"/>
        <item x="733"/>
        <item x="388"/>
        <item x="777"/>
        <item x="187"/>
        <item x="555"/>
        <item x="24"/>
        <item x="566"/>
        <item x="712"/>
        <item x="828"/>
        <item x="317"/>
        <item x="158"/>
        <item x="313"/>
        <item x="339"/>
        <item x="438"/>
        <item x="392"/>
        <item x="244"/>
        <item x="652"/>
        <item x="297"/>
        <item x="378"/>
        <item x="177"/>
        <item x="386"/>
        <item x="779"/>
        <item x="558"/>
        <item x="811"/>
        <item x="228"/>
        <item x="657"/>
        <item x="439"/>
        <item x="621"/>
        <item x="867"/>
        <item x="590"/>
        <item x="312"/>
        <item x="440"/>
        <item x="74"/>
        <item x="329"/>
        <item x="266"/>
        <item x="429"/>
        <item x="580"/>
        <item x="110"/>
        <item x="542"/>
        <item x="853"/>
        <item x="860"/>
        <item x="879"/>
        <item x="331"/>
        <item x="293"/>
        <item x="282"/>
        <item x="12"/>
        <item x="735"/>
        <item x="326"/>
        <item x="595"/>
        <item x="136"/>
        <item x="40"/>
        <item x="408"/>
        <item x="48"/>
        <item x="634"/>
        <item x="791"/>
        <item x="236"/>
        <item x="220"/>
        <item x="179"/>
        <item x="497"/>
        <item x="345"/>
        <item x="681"/>
        <item x="648"/>
        <item x="907"/>
        <item x="905"/>
        <item x="862"/>
        <item x="26"/>
        <item x="81"/>
        <item x="535"/>
        <item x="798"/>
        <item x="186"/>
        <item x="2"/>
        <item x="827"/>
        <item x="699"/>
        <item x="597"/>
        <item x="900"/>
        <item x="413"/>
        <item x="65"/>
        <item x="578"/>
        <item x="50"/>
        <item x="129"/>
        <item x="330"/>
        <item x="418"/>
        <item x="224"/>
        <item x="56"/>
        <item x="102"/>
        <item x="752"/>
        <item x="500"/>
        <item x="797"/>
        <item x="870"/>
        <item x="626"/>
        <item x="720"/>
        <item x="398"/>
        <item x="802"/>
        <item x="4"/>
        <item x="370"/>
        <item x="649"/>
        <item x="279"/>
        <item x="821"/>
        <item x="133"/>
        <item x="641"/>
        <item x="25"/>
        <item x="193"/>
        <item x="569"/>
        <item x="871"/>
        <item x="373"/>
        <item x="274"/>
        <item x="530"/>
        <item x="646"/>
        <item x="793"/>
        <item x="64"/>
        <item x="305"/>
        <item x="713"/>
        <item x="404"/>
        <item x="194"/>
        <item x="166"/>
        <item x="103"/>
        <item x="197"/>
        <item x="818"/>
        <item x="283"/>
        <item x="223"/>
        <item x="899"/>
        <item x="922"/>
        <item x="671"/>
        <item x="581"/>
        <item x="152"/>
        <item x="708"/>
        <item x="714"/>
        <item x="334"/>
        <item x="145"/>
        <item x="355"/>
        <item x="505"/>
        <item x="472"/>
        <item x="724"/>
        <item x="744"/>
        <item x="351"/>
        <item x="146"/>
        <item x="911"/>
        <item x="465"/>
        <item x="851"/>
        <item x="470"/>
        <item x="456"/>
        <item x="226"/>
        <item x="521"/>
        <item x="727"/>
        <item x="352"/>
        <item x="471"/>
        <item x="372"/>
        <item x="854"/>
        <item x="402"/>
        <item x="658"/>
        <item x="885"/>
        <item x="672"/>
        <item x="740"/>
        <item x="823"/>
        <item x="377"/>
        <item x="124"/>
        <item x="661"/>
        <item x="82"/>
        <item x="547"/>
        <item x="232"/>
        <item x="863"/>
        <item x="562"/>
        <item x="149"/>
        <item x="261"/>
        <item x="234"/>
        <item x="789"/>
        <item x="665"/>
        <item x="199"/>
        <item x="656"/>
        <item x="610"/>
        <item x="901"/>
        <item x="1"/>
        <item x="255"/>
        <item x="36"/>
        <item x="845"/>
        <item x="787"/>
        <item x="189"/>
        <item x="877"/>
        <item x="694"/>
        <item x="855"/>
        <item x="881"/>
        <item x="856"/>
        <item x="704"/>
        <item x="369"/>
        <item x="673"/>
        <item x="173"/>
        <item x="123"/>
        <item x="353"/>
        <item x="503"/>
        <item x="393"/>
        <item x="306"/>
        <item x="85"/>
        <item x="230"/>
        <item x="169"/>
        <item x="196"/>
        <item x="478"/>
        <item x="23"/>
        <item x="536"/>
        <item x="39"/>
        <item x="302"/>
        <item x="490"/>
        <item x="890"/>
        <item x="461"/>
        <item x="348"/>
        <item x="579"/>
        <item x="750"/>
        <item x="382"/>
        <item x="915"/>
        <item x="667"/>
        <item x="424"/>
        <item x="154"/>
        <item x="850"/>
        <item x="872"/>
        <item x="106"/>
        <item x="757"/>
        <item x="738"/>
        <item x="693"/>
        <item x="832"/>
        <item x="239"/>
        <item x="903"/>
        <item x="572"/>
        <item x="248"/>
        <item x="215"/>
        <item x="614"/>
        <item x="666"/>
        <item x="636"/>
        <item x="419"/>
        <item x="216"/>
        <item x="275"/>
        <item x="185"/>
        <item x="198"/>
        <item x="34"/>
        <item x="806"/>
        <item x="586"/>
        <item x="291"/>
        <item x="163"/>
        <item x="582"/>
        <item x="643"/>
        <item x="139"/>
        <item x="758"/>
        <item x="322"/>
        <item x="537"/>
        <item x="262"/>
        <item x="894"/>
        <item x="263"/>
        <item x="436"/>
        <item x="561"/>
        <item x="425"/>
        <item x="38"/>
        <item x="137"/>
        <item x="895"/>
        <item x="428"/>
        <item x="773"/>
        <item x="209"/>
        <item x="485"/>
        <item x="107"/>
        <item x="734"/>
        <item x="794"/>
        <item x="349"/>
        <item x="396"/>
        <item x="116"/>
        <item x="27"/>
        <item x="501"/>
        <item x="765"/>
        <item x="35"/>
        <item x="221"/>
        <item x="513"/>
        <item x="347"/>
        <item x="126"/>
        <item x="762"/>
        <item x="568"/>
        <item x="481"/>
        <item x="560"/>
        <item x="604"/>
        <item x="258"/>
        <item x="178"/>
        <item x="84"/>
        <item x="686"/>
        <item x="303"/>
        <item x="916"/>
        <item x="108"/>
        <item x="7"/>
        <item x="98"/>
        <item x="483"/>
        <item x="605"/>
        <item x="0"/>
        <item x="529"/>
        <item x="843"/>
        <item x="245"/>
        <item x="364"/>
        <item x="921"/>
        <item x="213"/>
        <item x="836"/>
        <item x="447"/>
        <item x="96"/>
        <item x="100"/>
        <item x="201"/>
        <item x="826"/>
        <item x="195"/>
        <item x="617"/>
        <item x="243"/>
        <item x="77"/>
        <item x="695"/>
        <item x="599"/>
        <item x="362"/>
        <item x="736"/>
        <item x="707"/>
        <item x="570"/>
        <item x="639"/>
        <item x="400"/>
        <item x="270"/>
        <item x="268"/>
        <item x="171"/>
        <item x="803"/>
        <item x="688"/>
        <item x="359"/>
        <item x="742"/>
        <item x="771"/>
        <item x="286"/>
        <item x="138"/>
        <item x="183"/>
        <item x="706"/>
        <item x="645"/>
        <item x="760"/>
        <item x="912"/>
        <item x="837"/>
        <item x="449"/>
        <item x="72"/>
        <item x="721"/>
        <item x="874"/>
        <item x="327"/>
        <item x="520"/>
        <item x="574"/>
        <item x="299"/>
        <item x="838"/>
        <item x="741"/>
        <item x="583"/>
        <item x="458"/>
        <item x="114"/>
        <item x="831"/>
        <item x="251"/>
        <item x="635"/>
        <item x="923"/>
        <item x="460"/>
        <item x="523"/>
        <item x="316"/>
        <item x="556"/>
        <item x="506"/>
        <item x="105"/>
        <item x="93"/>
        <item x="898"/>
        <item x="914"/>
        <item x="164"/>
        <item x="715"/>
        <item x="745"/>
        <item x="383"/>
        <item x="135"/>
        <item x="527"/>
        <item x="325"/>
        <item x="589"/>
        <item x="227"/>
        <item x="252"/>
        <item x="585"/>
        <item x="814"/>
        <item x="514"/>
        <item x="869"/>
        <item x="101"/>
        <item x="182"/>
        <item x="780"/>
        <item x="564"/>
        <item x="603"/>
        <item x="662"/>
        <item x="882"/>
        <item x="508"/>
        <item x="300"/>
        <item x="52"/>
        <item x="454"/>
        <item x="859"/>
        <item x="737"/>
        <item x="391"/>
        <item x="730"/>
        <item x="507"/>
        <item x="32"/>
        <item x="42"/>
        <item x="28"/>
        <item x="829"/>
        <item x="92"/>
        <item x="770"/>
        <item x="475"/>
        <item x="410"/>
        <item x="563"/>
        <item x="57"/>
        <item x="807"/>
        <item x="522"/>
        <item x="493"/>
        <item x="267"/>
        <item x="118"/>
        <item x="637"/>
        <item x="611"/>
        <item x="812"/>
        <item x="631"/>
        <item x="861"/>
        <item x="452"/>
        <item x="80"/>
        <item x="365"/>
        <item x="682"/>
        <item x="717"/>
        <item x="363"/>
        <item x="278"/>
        <item x="130"/>
        <item x="143"/>
        <item x="817"/>
        <item x="886"/>
        <item x="121"/>
        <item x="128"/>
        <item x="842"/>
        <item x="20"/>
        <item x="813"/>
        <item x="690"/>
        <item x="759"/>
        <item x="45"/>
        <item x="778"/>
        <item x="112"/>
        <item x="55"/>
        <item x="638"/>
        <item x="716"/>
        <item x="790"/>
        <item x="144"/>
        <item x="83"/>
        <item x="202"/>
        <item x="788"/>
        <item x="552"/>
        <item x="301"/>
        <item x="722"/>
        <item x="109"/>
        <item x="477"/>
        <item x="624"/>
        <item x="756"/>
        <item x="743"/>
        <item x="504"/>
        <item x="918"/>
        <item x="233"/>
        <item x="711"/>
        <item x="95"/>
        <item x="663"/>
        <item x="747"/>
        <item x="466"/>
        <item x="405"/>
        <item x="421"/>
        <item x="753"/>
        <item x="13"/>
        <item x="473"/>
        <item x="390"/>
        <item x="772"/>
        <item x="622"/>
        <item x="249"/>
        <item x="774"/>
        <item x="217"/>
        <item x="328"/>
        <item x="543"/>
        <item x="702"/>
        <item x="841"/>
        <item x="338"/>
        <item x="763"/>
        <item x="455"/>
        <item x="781"/>
        <item x="276"/>
        <item x="9"/>
        <item x="247"/>
        <item x="691"/>
        <item x="809"/>
        <item x="782"/>
        <item x="849"/>
        <item x="214"/>
        <item x="476"/>
        <item x="104"/>
        <item x="71"/>
        <item x="664"/>
        <item x="134"/>
        <item x="29"/>
        <item x="87"/>
        <item x="191"/>
        <item x="70"/>
        <item x="155"/>
        <item x="161"/>
        <item x="368"/>
        <item x="910"/>
        <item x="538"/>
        <item x="453"/>
        <item x="510"/>
        <item x="250"/>
        <item x="357"/>
        <item x="384"/>
        <item x="140"/>
        <item x="524"/>
        <item x="41"/>
        <item x="917"/>
        <item x="208"/>
        <item x="346"/>
        <item x="336"/>
        <item x="913"/>
        <item x="47"/>
        <item x="668"/>
        <item x="69"/>
        <item x="488"/>
        <item x="539"/>
        <item x="808"/>
        <item x="99"/>
        <item x="16"/>
        <item x="710"/>
        <item x="525"/>
        <item x="445"/>
        <item x="354"/>
        <item x="887"/>
        <item x="602"/>
        <item x="380"/>
        <item x="835"/>
        <item x="304"/>
        <item x="30"/>
        <item x="288"/>
        <item x="519"/>
        <item x="19"/>
        <item x="549"/>
        <item x="557"/>
        <item x="307"/>
        <item x="669"/>
        <item x="426"/>
        <item x="420"/>
        <item x="371"/>
        <item x="148"/>
        <item x="33"/>
        <item x="767"/>
        <item x="810"/>
        <item x="615"/>
        <item x="875"/>
        <item x="846"/>
        <item x="119"/>
        <item x="573"/>
        <item x="659"/>
        <item x="670"/>
        <item x="315"/>
        <item x="385"/>
        <item x="242"/>
        <item x="231"/>
        <item x="654"/>
        <item x="748"/>
        <item x="865"/>
        <item x="350"/>
        <item x="511"/>
        <item x="333"/>
        <item x="815"/>
        <item x="131"/>
        <item x="253"/>
        <item x="412"/>
        <item x="884"/>
        <item x="443"/>
        <item x="486"/>
        <item x="685"/>
        <item x="190"/>
        <item x="598"/>
        <item x="731"/>
        <item x="873"/>
        <item x="176"/>
        <item x="298"/>
        <item x="341"/>
        <item x="168"/>
        <item x="531"/>
        <item x="79"/>
        <item x="754"/>
        <item x="783"/>
        <item x="264"/>
        <item x="792"/>
        <item x="540"/>
        <item x="170"/>
        <item x="909"/>
        <item x="830"/>
        <item x="545"/>
        <item x="43"/>
        <item x="619"/>
        <item x="795"/>
        <item x="840"/>
        <item x="294"/>
        <item x="375"/>
        <item x="629"/>
        <item x="296"/>
        <item x="487"/>
        <item x="891"/>
        <item x="361"/>
        <item x="310"/>
        <item x="324"/>
        <item x="427"/>
        <item x="902"/>
        <item x="749"/>
        <item x="379"/>
        <item x="271"/>
        <item x="825"/>
        <item x="60"/>
        <item x="21"/>
        <item x="289"/>
        <item x="366"/>
        <item x="766"/>
        <item x="273"/>
        <item x="76"/>
        <item x="256"/>
        <item x="97"/>
        <item x="89"/>
        <item x="167"/>
        <item x="442"/>
        <item x="904"/>
        <item x="533"/>
        <item x="623"/>
        <item x="642"/>
        <item x="18"/>
        <item x="54"/>
        <item x="653"/>
        <item x="53"/>
        <item x="480"/>
        <item x="218"/>
        <item x="113"/>
        <item x="852"/>
        <item x="287"/>
        <item x="59"/>
        <item x="920"/>
        <item x="240"/>
        <item x="892"/>
        <item x="484"/>
        <item x="632"/>
        <item x="411"/>
        <item x="159"/>
        <item x="360"/>
        <item x="219"/>
        <item x="697"/>
        <item x="630"/>
        <item x="876"/>
        <item x="417"/>
        <item x="723"/>
        <item x="880"/>
        <item x="613"/>
        <item x="162"/>
        <item x="204"/>
        <item x="437"/>
        <item x="608"/>
        <item x="111"/>
        <item x="284"/>
        <item x="344"/>
        <item x="534"/>
        <item x="343"/>
        <item x="675"/>
        <item x="469"/>
        <item x="644"/>
        <item x="151"/>
        <item x="430"/>
        <item x="683"/>
        <item x="847"/>
        <item x="397"/>
        <item x="584"/>
        <item x="172"/>
        <item x="496"/>
        <item x="834"/>
        <item x="732"/>
        <item x="571"/>
        <item t="default"/>
      </items>
    </pivotField>
    <pivotField showAll="0"/>
    <pivotField showAll="0">
      <items count="6">
        <item x="2"/>
        <item x="1"/>
        <item x="0"/>
        <item x="3"/>
        <item x="4"/>
        <item t="default"/>
      </items>
    </pivotField>
    <pivotField showAll="0"/>
    <pivotField numFmtId="1" showAll="0"/>
    <pivotField axis="axisCol" showAll="0" nonAutoSortDefault="1">
      <items count="4">
        <item x="0"/>
        <item x="1"/>
        <item x="2"/>
        <item t="default"/>
      </items>
    </pivotField>
    <pivotField numFmtId="164" showAll="0"/>
    <pivotField showAll="0"/>
    <pivotField numFmtId="2"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6">
        <item x="0"/>
        <item x="1"/>
        <item x="2"/>
        <item x="3"/>
        <item x="4"/>
        <item t="default"/>
      </items>
    </pivotField>
    <pivotField showAll="0">
      <items count="6">
        <item x="0"/>
        <item x="1"/>
        <item x="2"/>
        <item x="3"/>
        <item x="4"/>
        <item t="default"/>
      </items>
    </pivotField>
    <pivotField showAll="0">
      <items count="6">
        <item x="0"/>
        <item x="1"/>
        <item x="2"/>
        <item x="3"/>
        <item x="4"/>
        <item t="default"/>
      </items>
    </pivotField>
  </pivotFields>
  <rowFields count="2">
    <field x="31"/>
    <field x="29"/>
  </rowFields>
  <rowItems count="29">
    <i>
      <x v="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t="grand">
      <x/>
    </i>
  </rowItems>
  <colFields count="1">
    <field x="24"/>
  </colFields>
  <colItems count="3">
    <i>
      <x/>
    </i>
    <i>
      <x v="1"/>
    </i>
    <i>
      <x v="2"/>
    </i>
  </colItems>
  <dataFields count="1">
    <dataField name="Susbcription Amount" fld="4" baseField="0" baseItem="0" numFmtId="166"/>
  </dataFields>
  <formats count="72">
    <format dxfId="190">
      <pivotArea type="all" dataOnly="0" outline="0" fieldPosition="0"/>
    </format>
    <format dxfId="189">
      <pivotArea outline="0" collapsedLevelsAreSubtotals="1" fieldPosition="0"/>
    </format>
    <format dxfId="188">
      <pivotArea field="24" type="button" dataOnly="0" labelOnly="1" outline="0" axis="axisCol" fieldPosition="0"/>
    </format>
    <format dxfId="187">
      <pivotArea dataOnly="0" labelOnly="1" grandRow="1" outline="0" fieldPosition="0"/>
    </format>
    <format dxfId="186">
      <pivotArea dataOnly="0" labelOnly="1" outline="0" fieldPosition="0">
        <references count="1">
          <reference field="4294967294" count="1">
            <x v="0"/>
          </reference>
        </references>
      </pivotArea>
    </format>
    <format dxfId="185">
      <pivotArea type="all" dataOnly="0" outline="0" fieldPosition="0"/>
    </format>
    <format dxfId="184">
      <pivotArea outline="0" collapsedLevelsAreSubtotals="1" fieldPosition="0"/>
    </format>
    <format dxfId="183">
      <pivotArea field="24" type="button" dataOnly="0" labelOnly="1" outline="0" axis="axisCol" fieldPosition="0"/>
    </format>
    <format dxfId="182">
      <pivotArea dataOnly="0" labelOnly="1" grandRow="1" outline="0" fieldPosition="0"/>
    </format>
    <format dxfId="181">
      <pivotArea dataOnly="0" labelOnly="1" outline="0" fieldPosition="0">
        <references count="1">
          <reference field="4294967294" count="1">
            <x v="0"/>
          </reference>
        </references>
      </pivotArea>
    </format>
    <format dxfId="180">
      <pivotArea outline="0" collapsedLevelsAreSubtotals="1" fieldPosition="0"/>
    </format>
    <format dxfId="179">
      <pivotArea type="origin" dataOnly="0" labelOnly="1" outline="0" offset="A2" fieldPosition="0"/>
    </format>
    <format dxfId="178">
      <pivotArea field="31" type="button" dataOnly="0" labelOnly="1" outline="0" axis="axisRow" fieldPosition="0"/>
    </format>
    <format dxfId="177">
      <pivotArea dataOnly="0" labelOnly="1" fieldPosition="0">
        <references count="1">
          <reference field="31" count="3">
            <x v="1"/>
            <x v="2"/>
            <x v="3"/>
          </reference>
        </references>
      </pivotArea>
    </format>
    <format dxfId="176">
      <pivotArea dataOnly="0" labelOnly="1" grandRow="1" outline="0" fieldPosition="0"/>
    </format>
    <format dxfId="175">
      <pivotArea dataOnly="0" labelOnly="1" fieldPosition="0">
        <references count="1">
          <reference field="24" count="0"/>
        </references>
      </pivotArea>
    </format>
    <format dxfId="174">
      <pivotArea dataOnly="0" labelOnly="1" outline="0" fieldPosition="0">
        <references count="2">
          <reference field="4294967294" count="1">
            <x v="0"/>
          </reference>
          <reference field="24" count="1" selected="0">
            <x v="0"/>
          </reference>
        </references>
      </pivotArea>
    </format>
    <format dxfId="173">
      <pivotArea dataOnly="0" labelOnly="1" outline="0" fieldPosition="0">
        <references count="2">
          <reference field="4294967294" count="1">
            <x v="0"/>
          </reference>
          <reference field="24" count="1" selected="0">
            <x v="1"/>
          </reference>
        </references>
      </pivotArea>
    </format>
    <format dxfId="172">
      <pivotArea dataOnly="0" labelOnly="1" outline="0" fieldPosition="0">
        <references count="2">
          <reference field="4294967294" count="1">
            <x v="0"/>
          </reference>
          <reference field="24" count="1" selected="0">
            <x v="2"/>
          </reference>
        </references>
      </pivotArea>
    </format>
    <format dxfId="171">
      <pivotArea type="origin" dataOnly="0" labelOnly="1" outline="0" offset="A1" fieldPosition="0"/>
    </format>
    <format dxfId="170">
      <pivotArea field="24" type="button" dataOnly="0" labelOnly="1" outline="0" axis="axisCol" fieldPosition="0"/>
    </format>
    <format dxfId="169">
      <pivotArea field="-2" type="button" dataOnly="0" labelOnly="1" outline="0" axis="axisValues" fieldPosition="0"/>
    </format>
    <format dxfId="168">
      <pivotArea type="topRight" dataOnly="0" labelOnly="1" outline="0" fieldPosition="0"/>
    </format>
    <format dxfId="167">
      <pivotArea type="all" dataOnly="0" outline="0" fieldPosition="0"/>
    </format>
    <format dxfId="166">
      <pivotArea outline="0" collapsedLevelsAreSubtotals="1" fieldPosition="0"/>
    </format>
    <format dxfId="165">
      <pivotArea type="origin" dataOnly="0" labelOnly="1" outline="0" fieldPosition="0"/>
    </format>
    <format dxfId="164">
      <pivotArea field="24" type="button" dataOnly="0" labelOnly="1" outline="0" axis="axisCol" fieldPosition="0"/>
    </format>
    <format dxfId="163">
      <pivotArea type="topRight" dataOnly="0" labelOnly="1" outline="0" fieldPosition="0"/>
    </format>
    <format dxfId="162">
      <pivotArea field="31" type="button" dataOnly="0" labelOnly="1" outline="0" axis="axisRow" fieldPosition="0"/>
    </format>
    <format dxfId="161">
      <pivotArea dataOnly="0" labelOnly="1" fieldPosition="0">
        <references count="1">
          <reference field="31" count="3">
            <x v="1"/>
            <x v="2"/>
            <x v="3"/>
          </reference>
        </references>
      </pivotArea>
    </format>
    <format dxfId="160">
      <pivotArea dataOnly="0" labelOnly="1" grandRow="1" outline="0" fieldPosition="0"/>
    </format>
    <format dxfId="159">
      <pivotArea dataOnly="0" labelOnly="1" fieldPosition="0">
        <references count="2">
          <reference field="29" count="1">
            <x v="12"/>
          </reference>
          <reference field="31" count="1" selected="0">
            <x v="1"/>
          </reference>
        </references>
      </pivotArea>
    </format>
    <format dxfId="158">
      <pivotArea dataOnly="0" labelOnly="1" fieldPosition="0">
        <references count="2">
          <reference field="29" count="12">
            <x v="1"/>
            <x v="2"/>
            <x v="3"/>
            <x v="4"/>
            <x v="5"/>
            <x v="6"/>
            <x v="7"/>
            <x v="8"/>
            <x v="9"/>
            <x v="10"/>
            <x v="11"/>
            <x v="12"/>
          </reference>
          <reference field="31" count="1" selected="0">
            <x v="2"/>
          </reference>
        </references>
      </pivotArea>
    </format>
    <format dxfId="157">
      <pivotArea dataOnly="0" labelOnly="1" fieldPosition="0">
        <references count="2">
          <reference field="29" count="12">
            <x v="1"/>
            <x v="2"/>
            <x v="3"/>
            <x v="4"/>
            <x v="5"/>
            <x v="6"/>
            <x v="7"/>
            <x v="8"/>
            <x v="9"/>
            <x v="10"/>
            <x v="11"/>
            <x v="12"/>
          </reference>
          <reference field="31" count="1" selected="0">
            <x v="3"/>
          </reference>
        </references>
      </pivotArea>
    </format>
    <format dxfId="156">
      <pivotArea dataOnly="0" labelOnly="1" fieldPosition="0">
        <references count="1">
          <reference field="24" count="0"/>
        </references>
      </pivotArea>
    </format>
    <format dxfId="155">
      <pivotArea type="all" dataOnly="0" outline="0" fieldPosition="0"/>
    </format>
    <format dxfId="154">
      <pivotArea outline="0" collapsedLevelsAreSubtotals="1" fieldPosition="0"/>
    </format>
    <format dxfId="153">
      <pivotArea type="origin" dataOnly="0" labelOnly="1" outline="0" fieldPosition="0"/>
    </format>
    <format dxfId="152">
      <pivotArea field="24" type="button" dataOnly="0" labelOnly="1" outline="0" axis="axisCol" fieldPosition="0"/>
    </format>
    <format dxfId="151">
      <pivotArea type="topRight" dataOnly="0" labelOnly="1" outline="0" fieldPosition="0"/>
    </format>
    <format dxfId="150">
      <pivotArea field="31" type="button" dataOnly="0" labelOnly="1" outline="0" axis="axisRow" fieldPosition="0"/>
    </format>
    <format dxfId="149">
      <pivotArea dataOnly="0" labelOnly="1" fieldPosition="0">
        <references count="1">
          <reference field="31" count="3">
            <x v="1"/>
            <x v="2"/>
            <x v="3"/>
          </reference>
        </references>
      </pivotArea>
    </format>
    <format dxfId="148">
      <pivotArea dataOnly="0" labelOnly="1" grandRow="1" outline="0" fieldPosition="0"/>
    </format>
    <format dxfId="147">
      <pivotArea dataOnly="0" labelOnly="1" fieldPosition="0">
        <references count="2">
          <reference field="29" count="1">
            <x v="12"/>
          </reference>
          <reference field="31" count="1" selected="0">
            <x v="1"/>
          </reference>
        </references>
      </pivotArea>
    </format>
    <format dxfId="146">
      <pivotArea dataOnly="0" labelOnly="1" fieldPosition="0">
        <references count="2">
          <reference field="29" count="12">
            <x v="1"/>
            <x v="2"/>
            <x v="3"/>
            <x v="4"/>
            <x v="5"/>
            <x v="6"/>
            <x v="7"/>
            <x v="8"/>
            <x v="9"/>
            <x v="10"/>
            <x v="11"/>
            <x v="12"/>
          </reference>
          <reference field="31" count="1" selected="0">
            <x v="2"/>
          </reference>
        </references>
      </pivotArea>
    </format>
    <format dxfId="145">
      <pivotArea dataOnly="0" labelOnly="1" fieldPosition="0">
        <references count="2">
          <reference field="29" count="12">
            <x v="1"/>
            <x v="2"/>
            <x v="3"/>
            <x v="4"/>
            <x v="5"/>
            <x v="6"/>
            <x v="7"/>
            <x v="8"/>
            <x v="9"/>
            <x v="10"/>
            <x v="11"/>
            <x v="12"/>
          </reference>
          <reference field="31" count="1" selected="0">
            <x v="3"/>
          </reference>
        </references>
      </pivotArea>
    </format>
    <format dxfId="144">
      <pivotArea dataOnly="0" labelOnly="1" fieldPosition="0">
        <references count="1">
          <reference field="24" count="0"/>
        </references>
      </pivotArea>
    </format>
    <format dxfId="143">
      <pivotArea type="all" dataOnly="0" outline="0" fieldPosition="0"/>
    </format>
    <format dxfId="142">
      <pivotArea outline="0" collapsedLevelsAreSubtotals="1" fieldPosition="0"/>
    </format>
    <format dxfId="141">
      <pivotArea type="origin" dataOnly="0" labelOnly="1" outline="0" fieldPosition="0"/>
    </format>
    <format dxfId="140">
      <pivotArea field="24" type="button" dataOnly="0" labelOnly="1" outline="0" axis="axisCol" fieldPosition="0"/>
    </format>
    <format dxfId="139">
      <pivotArea type="topRight" dataOnly="0" labelOnly="1" outline="0" fieldPosition="0"/>
    </format>
    <format dxfId="138">
      <pivotArea field="31" type="button" dataOnly="0" labelOnly="1" outline="0" axis="axisRow" fieldPosition="0"/>
    </format>
    <format dxfId="137">
      <pivotArea dataOnly="0" labelOnly="1" fieldPosition="0">
        <references count="1">
          <reference field="31" count="3">
            <x v="1"/>
            <x v="2"/>
            <x v="3"/>
          </reference>
        </references>
      </pivotArea>
    </format>
    <format dxfId="136">
      <pivotArea dataOnly="0" labelOnly="1" grandRow="1" outline="0" fieldPosition="0"/>
    </format>
    <format dxfId="135">
      <pivotArea dataOnly="0" labelOnly="1" fieldPosition="0">
        <references count="2">
          <reference field="29" count="1">
            <x v="12"/>
          </reference>
          <reference field="31" count="1" selected="0">
            <x v="1"/>
          </reference>
        </references>
      </pivotArea>
    </format>
    <format dxfId="134">
      <pivotArea dataOnly="0" labelOnly="1" fieldPosition="0">
        <references count="2">
          <reference field="29" count="12">
            <x v="1"/>
            <x v="2"/>
            <x v="3"/>
            <x v="4"/>
            <x v="5"/>
            <x v="6"/>
            <x v="7"/>
            <x v="8"/>
            <x v="9"/>
            <x v="10"/>
            <x v="11"/>
            <x v="12"/>
          </reference>
          <reference field="31" count="1" selected="0">
            <x v="2"/>
          </reference>
        </references>
      </pivotArea>
    </format>
    <format dxfId="133">
      <pivotArea dataOnly="0" labelOnly="1" fieldPosition="0">
        <references count="2">
          <reference field="29" count="12">
            <x v="1"/>
            <x v="2"/>
            <x v="3"/>
            <x v="4"/>
            <x v="5"/>
            <x v="6"/>
            <x v="7"/>
            <x v="8"/>
            <x v="9"/>
            <x v="10"/>
            <x v="11"/>
            <x v="12"/>
          </reference>
          <reference field="31" count="1" selected="0">
            <x v="3"/>
          </reference>
        </references>
      </pivotArea>
    </format>
    <format dxfId="132">
      <pivotArea dataOnly="0" labelOnly="1" fieldPosition="0">
        <references count="1">
          <reference field="24" count="0"/>
        </references>
      </pivotArea>
    </format>
    <format dxfId="131">
      <pivotArea type="all" dataOnly="0" outline="0" fieldPosition="0"/>
    </format>
    <format dxfId="130">
      <pivotArea outline="0" collapsedLevelsAreSubtotals="1" fieldPosition="0"/>
    </format>
    <format dxfId="129">
      <pivotArea type="origin" dataOnly="0" labelOnly="1" outline="0" fieldPosition="0"/>
    </format>
    <format dxfId="128">
      <pivotArea field="24" type="button" dataOnly="0" labelOnly="1" outline="0" axis="axisCol" fieldPosition="0"/>
    </format>
    <format dxfId="127">
      <pivotArea type="topRight" dataOnly="0" labelOnly="1" outline="0" fieldPosition="0"/>
    </format>
    <format dxfId="126">
      <pivotArea field="31" type="button" dataOnly="0" labelOnly="1" outline="0" axis="axisRow" fieldPosition="0"/>
    </format>
    <format dxfId="125">
      <pivotArea dataOnly="0" labelOnly="1" fieldPosition="0">
        <references count="1">
          <reference field="31" count="3">
            <x v="1"/>
            <x v="2"/>
            <x v="3"/>
          </reference>
        </references>
      </pivotArea>
    </format>
    <format dxfId="124">
      <pivotArea dataOnly="0" labelOnly="1" grandRow="1" outline="0" fieldPosition="0"/>
    </format>
    <format dxfId="123">
      <pivotArea dataOnly="0" labelOnly="1" fieldPosition="0">
        <references count="2">
          <reference field="29" count="1">
            <x v="12"/>
          </reference>
          <reference field="31" count="1" selected="0">
            <x v="1"/>
          </reference>
        </references>
      </pivotArea>
    </format>
    <format dxfId="122">
      <pivotArea dataOnly="0" labelOnly="1" fieldPosition="0">
        <references count="2">
          <reference field="29" count="12">
            <x v="1"/>
            <x v="2"/>
            <x v="3"/>
            <x v="4"/>
            <x v="5"/>
            <x v="6"/>
            <x v="7"/>
            <x v="8"/>
            <x v="9"/>
            <x v="10"/>
            <x v="11"/>
            <x v="12"/>
          </reference>
          <reference field="31" count="1" selected="0">
            <x v="2"/>
          </reference>
        </references>
      </pivotArea>
    </format>
    <format dxfId="121">
      <pivotArea dataOnly="0" labelOnly="1" fieldPosition="0">
        <references count="2">
          <reference field="29" count="12">
            <x v="1"/>
            <x v="2"/>
            <x v="3"/>
            <x v="4"/>
            <x v="5"/>
            <x v="6"/>
            <x v="7"/>
            <x v="8"/>
            <x v="9"/>
            <x v="10"/>
            <x v="11"/>
            <x v="12"/>
          </reference>
          <reference field="31" count="1" selected="0">
            <x v="3"/>
          </reference>
        </references>
      </pivotArea>
    </format>
    <format dxfId="120">
      <pivotArea dataOnly="0" labelOnly="1" fieldPosition="0">
        <references count="1">
          <reference field="24" count="0"/>
        </references>
      </pivotArea>
    </format>
    <format dxfId="119">
      <pivotArea outline="0" collapsedLevelsAreSubtotals="1" fieldPosition="0"/>
    </format>
  </formats>
  <chartFormats count="6">
    <chartFormat chart="0" format="0" series="1">
      <pivotArea type="data" outline="0" fieldPosition="0">
        <references count="2">
          <reference field="4294967294" count="1" selected="0">
            <x v="0"/>
          </reference>
          <reference field="24" count="1" selected="0">
            <x v="0"/>
          </reference>
        </references>
      </pivotArea>
    </chartFormat>
    <chartFormat chart="0" format="1" series="1">
      <pivotArea type="data" outline="0" fieldPosition="0">
        <references count="2">
          <reference field="4294967294" count="1" selected="0">
            <x v="0"/>
          </reference>
          <reference field="24" count="1" selected="0">
            <x v="1"/>
          </reference>
        </references>
      </pivotArea>
    </chartFormat>
    <chartFormat chart="0" format="2" series="1">
      <pivotArea type="data" outline="0" fieldPosition="0">
        <references count="2">
          <reference field="4294967294" count="1" selected="0">
            <x v="0"/>
          </reference>
          <reference field="24" count="1" selected="0">
            <x v="2"/>
          </reference>
        </references>
      </pivotArea>
    </chartFormat>
    <chartFormat chart="3" format="6" series="1">
      <pivotArea type="data" outline="0" fieldPosition="0">
        <references count="2">
          <reference field="4294967294" count="1" selected="0">
            <x v="0"/>
          </reference>
          <reference field="24" count="1" selected="0">
            <x v="0"/>
          </reference>
        </references>
      </pivotArea>
    </chartFormat>
    <chartFormat chart="3" format="7" series="1">
      <pivotArea type="data" outline="0" fieldPosition="0">
        <references count="2">
          <reference field="4294967294" count="1" selected="0">
            <x v="0"/>
          </reference>
          <reference field="24" count="1" selected="0">
            <x v="1"/>
          </reference>
        </references>
      </pivotArea>
    </chartFormat>
    <chartFormat chart="3" format="8" series="1">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173F69-BE6D-4C58-9181-C38E5E3B5BC2}" name="3. Demographic &amp; Behavioral Insights: 1.1"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7" rowHeaderCaption="Device Name">
  <location ref="R13:T19" firstHeaderRow="0" firstDataRow="1" firstDataCol="1"/>
  <pivotFields count="34">
    <pivotField dataField="1" numFmtId="1" showAll="0"/>
    <pivotField showAll="0"/>
    <pivotField numFmtId="14" showAll="0">
      <items count="538">
        <item x="91"/>
        <item x="302"/>
        <item x="102"/>
        <item x="424"/>
        <item x="54"/>
        <item x="127"/>
        <item x="51"/>
        <item x="274"/>
        <item x="137"/>
        <item x="53"/>
        <item x="201"/>
        <item x="417"/>
        <item x="218"/>
        <item x="228"/>
        <item x="374"/>
        <item x="524"/>
        <item x="484"/>
        <item x="514"/>
        <item x="470"/>
        <item x="513"/>
        <item x="333"/>
        <item x="463"/>
        <item x="368"/>
        <item x="222"/>
        <item x="176"/>
        <item x="119"/>
        <item x="255"/>
        <item x="270"/>
        <item x="281"/>
        <item x="251"/>
        <item x="344"/>
        <item x="497"/>
        <item x="3"/>
        <item x="200"/>
        <item x="58"/>
        <item x="504"/>
        <item x="86"/>
        <item x="147"/>
        <item x="116"/>
        <item x="224"/>
        <item x="359"/>
        <item x="478"/>
        <item x="440"/>
        <item x="16"/>
        <item x="242"/>
        <item x="471"/>
        <item x="100"/>
        <item x="507"/>
        <item x="65"/>
        <item x="128"/>
        <item x="233"/>
        <item x="131"/>
        <item x="217"/>
        <item x="152"/>
        <item x="372"/>
        <item x="62"/>
        <item x="397"/>
        <item x="393"/>
        <item x="204"/>
        <item x="364"/>
        <item x="139"/>
        <item x="112"/>
        <item x="253"/>
        <item x="475"/>
        <item x="518"/>
        <item x="151"/>
        <item x="378"/>
        <item x="264"/>
        <item x="123"/>
        <item x="269"/>
        <item x="353"/>
        <item x="453"/>
        <item x="45"/>
        <item x="47"/>
        <item x="12"/>
        <item x="10"/>
        <item x="361"/>
        <item x="108"/>
        <item x="1"/>
        <item x="42"/>
        <item x="408"/>
        <item x="428"/>
        <item x="334"/>
        <item x="367"/>
        <item x="459"/>
        <item x="275"/>
        <item x="64"/>
        <item x="410"/>
        <item x="90"/>
        <item x="505"/>
        <item x="241"/>
        <item x="154"/>
        <item x="336"/>
        <item x="306"/>
        <item x="232"/>
        <item x="211"/>
        <item x="413"/>
        <item x="44"/>
        <item x="491"/>
        <item x="494"/>
        <item x="80"/>
        <item x="427"/>
        <item x="124"/>
        <item x="132"/>
        <item x="400"/>
        <item x="324"/>
        <item x="177"/>
        <item x="480"/>
        <item x="130"/>
        <item x="172"/>
        <item x="0"/>
        <item x="190"/>
        <item x="315"/>
        <item x="366"/>
        <item x="392"/>
        <item x="282"/>
        <item x="181"/>
        <item x="194"/>
        <item x="318"/>
        <item x="266"/>
        <item x="369"/>
        <item x="461"/>
        <item x="230"/>
        <item x="532"/>
        <item x="257"/>
        <item x="178"/>
        <item x="17"/>
        <item x="469"/>
        <item x="351"/>
        <item x="4"/>
        <item x="14"/>
        <item x="173"/>
        <item x="148"/>
        <item x="175"/>
        <item x="405"/>
        <item x="339"/>
        <item x="509"/>
        <item x="8"/>
        <item x="156"/>
        <item x="25"/>
        <item x="98"/>
        <item x="519"/>
        <item x="31"/>
        <item x="391"/>
        <item x="60"/>
        <item x="506"/>
        <item x="220"/>
        <item x="434"/>
        <item x="454"/>
        <item x="19"/>
        <item x="164"/>
        <item x="402"/>
        <item x="373"/>
        <item x="273"/>
        <item x="294"/>
        <item x="199"/>
        <item x="20"/>
        <item x="41"/>
        <item x="476"/>
        <item x="244"/>
        <item x="510"/>
        <item x="94"/>
        <item x="468"/>
        <item x="229"/>
        <item x="49"/>
        <item x="239"/>
        <item x="395"/>
        <item x="68"/>
        <item x="2"/>
        <item x="88"/>
        <item x="250"/>
        <item x="236"/>
        <item x="101"/>
        <item x="436"/>
        <item x="247"/>
        <item x="260"/>
        <item x="189"/>
        <item x="515"/>
        <item x="183"/>
        <item x="37"/>
        <item x="75"/>
        <item x="398"/>
        <item x="482"/>
        <item x="335"/>
        <item x="330"/>
        <item x="511"/>
        <item x="296"/>
        <item x="208"/>
        <item x="213"/>
        <item x="399"/>
        <item x="46"/>
        <item x="206"/>
        <item x="288"/>
        <item x="133"/>
        <item x="69"/>
        <item x="457"/>
        <item x="197"/>
        <item x="409"/>
        <item x="337"/>
        <item x="84"/>
        <item x="486"/>
        <item x="383"/>
        <item x="35"/>
        <item x="442"/>
        <item x="5"/>
        <item x="381"/>
        <item x="293"/>
        <item x="18"/>
        <item x="467"/>
        <item x="23"/>
        <item x="425"/>
        <item x="162"/>
        <item x="423"/>
        <item x="332"/>
        <item x="271"/>
        <item x="106"/>
        <item x="346"/>
        <item x="113"/>
        <item x="477"/>
        <item x="437"/>
        <item x="422"/>
        <item x="57"/>
        <item x="67"/>
        <item x="223"/>
        <item x="153"/>
        <item x="140"/>
        <item x="87"/>
        <item x="82"/>
        <item x="231"/>
        <item x="73"/>
        <item x="501"/>
        <item x="305"/>
        <item x="89"/>
        <item x="431"/>
        <item x="340"/>
        <item x="143"/>
        <item x="456"/>
        <item x="472"/>
        <item x="341"/>
        <item x="298"/>
        <item x="529"/>
        <item x="326"/>
        <item x="212"/>
        <item x="195"/>
        <item x="347"/>
        <item x="462"/>
        <item x="196"/>
        <item x="22"/>
        <item x="388"/>
        <item x="534"/>
        <item x="120"/>
        <item x="536"/>
        <item x="66"/>
        <item x="32"/>
        <item x="517"/>
        <item x="285"/>
        <item x="9"/>
        <item x="492"/>
        <item x="170"/>
        <item x="72"/>
        <item x="327"/>
        <item x="96"/>
        <item x="184"/>
        <item x="329"/>
        <item x="371"/>
        <item x="320"/>
        <item x="342"/>
        <item x="377"/>
        <item x="452"/>
        <item x="527"/>
        <item x="81"/>
        <item x="56"/>
        <item x="418"/>
        <item x="406"/>
        <item x="262"/>
        <item x="522"/>
        <item x="209"/>
        <item x="263"/>
        <item x="61"/>
        <item x="307"/>
        <item x="74"/>
        <item x="357"/>
        <item x="286"/>
        <item x="205"/>
        <item x="261"/>
        <item x="443"/>
        <item x="414"/>
        <item x="203"/>
        <item x="33"/>
        <item x="126"/>
        <item x="248"/>
        <item x="142"/>
        <item x="280"/>
        <item x="394"/>
        <item x="287"/>
        <item x="243"/>
        <item x="110"/>
        <item x="317"/>
        <item x="303"/>
        <item x="161"/>
        <item x="489"/>
        <item x="215"/>
        <item x="27"/>
        <item x="144"/>
        <item x="121"/>
        <item x="246"/>
        <item x="321"/>
        <item x="163"/>
        <item x="525"/>
        <item x="104"/>
        <item x="415"/>
        <item x="92"/>
        <item x="419"/>
        <item x="38"/>
        <item x="438"/>
        <item x="309"/>
        <item x="150"/>
        <item x="473"/>
        <item x="171"/>
        <item x="155"/>
        <item x="348"/>
        <item x="198"/>
        <item x="185"/>
        <item x="387"/>
        <item x="83"/>
        <item x="426"/>
        <item x="11"/>
        <item x="103"/>
        <item x="375"/>
        <item x="354"/>
        <item x="495"/>
        <item x="219"/>
        <item x="498"/>
        <item x="432"/>
        <item x="531"/>
        <item x="252"/>
        <item x="63"/>
        <item x="99"/>
        <item x="355"/>
        <item x="328"/>
        <item x="358"/>
        <item x="202"/>
        <item x="180"/>
        <item x="157"/>
        <item x="28"/>
        <item x="379"/>
        <item x="444"/>
        <item x="445"/>
        <item x="138"/>
        <item x="533"/>
        <item x="52"/>
        <item x="450"/>
        <item x="412"/>
        <item x="43"/>
        <item x="420"/>
        <item x="272"/>
        <item x="370"/>
        <item x="526"/>
        <item x="290"/>
        <item x="292"/>
        <item x="283"/>
        <item x="300"/>
        <item x="343"/>
        <item x="384"/>
        <item x="210"/>
        <item x="535"/>
        <item x="145"/>
        <item x="401"/>
        <item x="523"/>
        <item x="403"/>
        <item x="179"/>
        <item x="350"/>
        <item x="169"/>
        <item x="512"/>
        <item x="439"/>
        <item x="310"/>
        <item x="256"/>
        <item x="235"/>
        <item x="376"/>
        <item x="363"/>
        <item x="396"/>
        <item x="24"/>
        <item x="254"/>
        <item x="15"/>
        <item x="149"/>
        <item x="26"/>
        <item x="465"/>
        <item x="458"/>
        <item x="520"/>
        <item x="490"/>
        <item x="352"/>
        <item x="118"/>
        <item x="7"/>
        <item x="93"/>
        <item x="221"/>
        <item x="214"/>
        <item x="356"/>
        <item x="521"/>
        <item x="345"/>
        <item x="386"/>
        <item x="448"/>
        <item x="441"/>
        <item x="429"/>
        <item x="502"/>
        <item x="21"/>
        <item x="182"/>
        <item x="365"/>
        <item x="141"/>
        <item x="48"/>
        <item x="500"/>
        <item x="299"/>
        <item x="226"/>
        <item x="338"/>
        <item x="85"/>
        <item x="481"/>
        <item x="411"/>
        <item x="488"/>
        <item x="297"/>
        <item x="29"/>
        <item x="167"/>
        <item x="97"/>
        <item x="70"/>
        <item x="447"/>
        <item x="238"/>
        <item x="109"/>
        <item x="380"/>
        <item x="325"/>
        <item x="466"/>
        <item x="389"/>
        <item x="165"/>
        <item x="404"/>
        <item x="71"/>
        <item x="277"/>
        <item x="77"/>
        <item x="291"/>
        <item x="446"/>
        <item x="455"/>
        <item x="289"/>
        <item x="237"/>
        <item x="295"/>
        <item x="362"/>
        <item x="349"/>
        <item x="528"/>
        <item x="39"/>
        <item x="174"/>
        <item x="508"/>
        <item x="258"/>
        <item x="135"/>
        <item x="168"/>
        <item x="493"/>
        <item x="187"/>
        <item x="268"/>
        <item x="483"/>
        <item x="78"/>
        <item x="304"/>
        <item x="474"/>
        <item x="6"/>
        <item x="301"/>
        <item x="284"/>
        <item x="79"/>
        <item x="186"/>
        <item x="276"/>
        <item x="433"/>
        <item x="499"/>
        <item x="216"/>
        <item x="323"/>
        <item x="55"/>
        <item x="278"/>
        <item x="193"/>
        <item x="316"/>
        <item x="13"/>
        <item x="279"/>
        <item x="40"/>
        <item x="314"/>
        <item x="191"/>
        <item x="146"/>
        <item x="416"/>
        <item x="207"/>
        <item x="227"/>
        <item x="259"/>
        <item x="105"/>
        <item x="249"/>
        <item x="516"/>
        <item x="136"/>
        <item x="36"/>
        <item x="312"/>
        <item x="34"/>
        <item x="319"/>
        <item x="503"/>
        <item x="331"/>
        <item x="240"/>
        <item x="421"/>
        <item x="192"/>
        <item x="311"/>
        <item x="267"/>
        <item x="117"/>
        <item x="496"/>
        <item x="134"/>
        <item x="390"/>
        <item x="449"/>
        <item x="76"/>
        <item x="160"/>
        <item x="360"/>
        <item x="385"/>
        <item x="460"/>
        <item x="166"/>
        <item x="234"/>
        <item x="245"/>
        <item x="95"/>
        <item x="50"/>
        <item x="407"/>
        <item x="322"/>
        <item x="265"/>
        <item x="464"/>
        <item x="479"/>
        <item x="487"/>
        <item x="451"/>
        <item x="115"/>
        <item x="159"/>
        <item x="225"/>
        <item x="111"/>
        <item x="308"/>
        <item x="122"/>
        <item x="114"/>
        <item x="59"/>
        <item x="382"/>
        <item x="129"/>
        <item x="188"/>
        <item x="485"/>
        <item x="107"/>
        <item x="158"/>
        <item x="530"/>
        <item x="30"/>
        <item x="125"/>
        <item x="313"/>
        <item x="430"/>
        <item x="435"/>
        <item t="default"/>
      </items>
    </pivotField>
    <pivotField numFmtId="14" showAll="0"/>
    <pivotField numFmtId="165" showAll="0"/>
    <pivotField numFmtId="1" showAll="0"/>
    <pivotField showAll="0">
      <items count="8">
        <item x="0"/>
        <item x="5"/>
        <item x="3"/>
        <item x="1"/>
        <item x="4"/>
        <item x="6"/>
        <item x="2"/>
        <item t="default"/>
      </items>
    </pivotField>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pivotField showAll="0"/>
    <pivotField numFmtId="1" showAll="0">
      <items count="102">
        <item x="13"/>
        <item x="6"/>
        <item x="99"/>
        <item x="20"/>
        <item x="69"/>
        <item x="78"/>
        <item x="65"/>
        <item x="34"/>
        <item x="39"/>
        <item x="87"/>
        <item x="95"/>
        <item x="17"/>
        <item x="32"/>
        <item x="44"/>
        <item x="31"/>
        <item x="48"/>
        <item x="88"/>
        <item x="71"/>
        <item x="57"/>
        <item x="96"/>
        <item x="66"/>
        <item x="68"/>
        <item x="46"/>
        <item x="73"/>
        <item x="50"/>
        <item x="14"/>
        <item x="8"/>
        <item x="21"/>
        <item x="72"/>
        <item x="94"/>
        <item x="55"/>
        <item x="97"/>
        <item x="7"/>
        <item x="36"/>
        <item x="91"/>
        <item x="93"/>
        <item x="58"/>
        <item x="86"/>
        <item x="11"/>
        <item x="4"/>
        <item x="42"/>
        <item x="81"/>
        <item x="19"/>
        <item x="80"/>
        <item x="52"/>
        <item x="30"/>
        <item x="63"/>
        <item x="3"/>
        <item x="60"/>
        <item x="77"/>
        <item x="16"/>
        <item x="82"/>
        <item x="64"/>
        <item x="56"/>
        <item x="84"/>
        <item x="38"/>
        <item x="2"/>
        <item x="10"/>
        <item x="27"/>
        <item x="76"/>
        <item x="22"/>
        <item x="47"/>
        <item x="12"/>
        <item x="40"/>
        <item x="61"/>
        <item x="15"/>
        <item x="29"/>
        <item x="79"/>
        <item x="53"/>
        <item x="1"/>
        <item x="85"/>
        <item x="5"/>
        <item x="35"/>
        <item x="59"/>
        <item x="98"/>
        <item x="100"/>
        <item x="24"/>
        <item x="70"/>
        <item x="18"/>
        <item x="37"/>
        <item x="54"/>
        <item x="74"/>
        <item x="45"/>
        <item x="75"/>
        <item x="0"/>
        <item x="26"/>
        <item x="89"/>
        <item x="62"/>
        <item x="51"/>
        <item x="83"/>
        <item x="9"/>
        <item x="23"/>
        <item x="92"/>
        <item x="67"/>
        <item x="43"/>
        <item x="49"/>
        <item x="41"/>
        <item x="28"/>
        <item x="25"/>
        <item x="33"/>
        <item x="90"/>
        <item t="default"/>
      </items>
    </pivotField>
    <pivotField numFmtId="164" showAll="0"/>
    <pivotField showAll="0"/>
    <pivotField showAll="0"/>
    <pivotField numFmtId="1" showAll="0">
      <items count="925">
        <item x="820"/>
        <item x="647"/>
        <item x="269"/>
        <item x="416"/>
        <item x="448"/>
        <item x="701"/>
        <item x="5"/>
        <item x="919"/>
        <item x="73"/>
        <item x="680"/>
        <item x="640"/>
        <item x="290"/>
        <item x="407"/>
        <item x="395"/>
        <item x="423"/>
        <item x="272"/>
        <item x="409"/>
        <item x="332"/>
        <item x="422"/>
        <item x="205"/>
        <item x="150"/>
        <item x="609"/>
        <item x="565"/>
        <item x="435"/>
        <item x="206"/>
        <item x="180"/>
        <item x="125"/>
        <item x="509"/>
        <item x="203"/>
        <item x="323"/>
        <item x="342"/>
        <item x="314"/>
        <item x="718"/>
        <item x="761"/>
        <item x="858"/>
        <item x="432"/>
        <item x="592"/>
        <item x="141"/>
        <item x="459"/>
        <item x="11"/>
        <item x="175"/>
        <item x="174"/>
        <item x="528"/>
        <item x="786"/>
        <item x="705"/>
        <item x="394"/>
        <item x="229"/>
        <item x="207"/>
        <item x="883"/>
        <item x="86"/>
        <item x="532"/>
        <item x="451"/>
        <item x="374"/>
        <item x="878"/>
        <item x="833"/>
        <item x="700"/>
        <item x="526"/>
        <item x="22"/>
        <item x="292"/>
        <item x="246"/>
        <item x="494"/>
        <item x="679"/>
        <item x="601"/>
        <item x="367"/>
        <item x="399"/>
        <item x="337"/>
        <item x="8"/>
        <item x="677"/>
        <item x="401"/>
        <item x="68"/>
        <item x="66"/>
        <item x="468"/>
        <item x="260"/>
        <item x="517"/>
        <item x="729"/>
        <item x="277"/>
        <item x="502"/>
        <item x="650"/>
        <item x="866"/>
        <item x="627"/>
        <item x="612"/>
        <item x="462"/>
        <item x="415"/>
        <item x="660"/>
        <item x="67"/>
        <item x="489"/>
        <item x="238"/>
        <item x="775"/>
        <item x="678"/>
        <item x="768"/>
        <item x="51"/>
        <item x="181"/>
        <item x="893"/>
        <item x="157"/>
        <item x="607"/>
        <item x="46"/>
        <item x="482"/>
        <item x="241"/>
        <item x="156"/>
        <item x="127"/>
        <item x="153"/>
        <item x="550"/>
        <item x="280"/>
        <item x="515"/>
        <item x="805"/>
        <item x="554"/>
        <item x="512"/>
        <item x="450"/>
        <item x="479"/>
        <item x="88"/>
        <item x="698"/>
        <item x="389"/>
        <item x="90"/>
        <item x="44"/>
        <item x="320"/>
        <item x="340"/>
        <item x="308"/>
        <item x="800"/>
        <item x="122"/>
        <item x="321"/>
        <item x="431"/>
        <item x="785"/>
        <item x="15"/>
        <item x="222"/>
        <item x="94"/>
        <item x="10"/>
        <item x="559"/>
        <item x="588"/>
        <item x="553"/>
        <item x="210"/>
        <item x="237"/>
        <item x="441"/>
        <item x="434"/>
        <item x="755"/>
        <item x="235"/>
        <item x="117"/>
        <item x="474"/>
        <item x="160"/>
        <item x="587"/>
        <item x="257"/>
        <item x="318"/>
        <item x="457"/>
        <item x="492"/>
        <item x="6"/>
        <item x="491"/>
        <item x="499"/>
        <item x="728"/>
        <item x="906"/>
        <item x="692"/>
        <item x="356"/>
        <item x="816"/>
        <item x="31"/>
        <item x="719"/>
        <item x="58"/>
        <item x="309"/>
        <item x="822"/>
        <item x="651"/>
        <item x="37"/>
        <item x="889"/>
        <item x="764"/>
        <item x="516"/>
        <item x="655"/>
        <item x="819"/>
        <item x="633"/>
        <item x="696"/>
        <item x="577"/>
        <item x="726"/>
        <item x="518"/>
        <item x="147"/>
        <item x="463"/>
        <item x="618"/>
        <item x="335"/>
        <item x="848"/>
        <item x="212"/>
        <item x="75"/>
        <item x="165"/>
        <item x="115"/>
        <item x="709"/>
        <item x="739"/>
        <item x="211"/>
        <item x="3"/>
        <item x="868"/>
        <item x="467"/>
        <item x="376"/>
        <item x="61"/>
        <item x="225"/>
        <item x="495"/>
        <item x="784"/>
        <item x="254"/>
        <item x="799"/>
        <item x="259"/>
        <item x="725"/>
        <item x="888"/>
        <item x="403"/>
        <item x="567"/>
        <item x="281"/>
        <item x="908"/>
        <item x="142"/>
        <item x="546"/>
        <item x="188"/>
        <item x="14"/>
        <item x="464"/>
        <item x="184"/>
        <item x="200"/>
        <item x="751"/>
        <item x="541"/>
        <item x="600"/>
        <item x="311"/>
        <item x="319"/>
        <item x="544"/>
        <item x="63"/>
        <item x="265"/>
        <item x="295"/>
        <item x="896"/>
        <item x="746"/>
        <item x="192"/>
        <item x="620"/>
        <item x="62"/>
        <item x="17"/>
        <item x="596"/>
        <item x="132"/>
        <item x="839"/>
        <item x="285"/>
        <item x="414"/>
        <item x="591"/>
        <item x="684"/>
        <item x="689"/>
        <item x="406"/>
        <item x="796"/>
        <item x="804"/>
        <item x="91"/>
        <item x="687"/>
        <item x="824"/>
        <item x="625"/>
        <item x="897"/>
        <item x="575"/>
        <item x="628"/>
        <item x="676"/>
        <item x="387"/>
        <item x="498"/>
        <item x="446"/>
        <item x="576"/>
        <item x="49"/>
        <item x="381"/>
        <item x="769"/>
        <item x="703"/>
        <item x="593"/>
        <item x="433"/>
        <item x="548"/>
        <item x="674"/>
        <item x="616"/>
        <item x="78"/>
        <item x="864"/>
        <item x="551"/>
        <item x="801"/>
        <item x="358"/>
        <item x="776"/>
        <item x="857"/>
        <item x="120"/>
        <item x="444"/>
        <item x="844"/>
        <item x="606"/>
        <item x="594"/>
        <item x="733"/>
        <item x="388"/>
        <item x="777"/>
        <item x="187"/>
        <item x="555"/>
        <item x="24"/>
        <item x="566"/>
        <item x="712"/>
        <item x="828"/>
        <item x="317"/>
        <item x="158"/>
        <item x="313"/>
        <item x="339"/>
        <item x="438"/>
        <item x="392"/>
        <item x="244"/>
        <item x="652"/>
        <item x="297"/>
        <item x="378"/>
        <item x="177"/>
        <item x="386"/>
        <item x="779"/>
        <item x="558"/>
        <item x="811"/>
        <item x="228"/>
        <item x="657"/>
        <item x="439"/>
        <item x="621"/>
        <item x="867"/>
        <item x="590"/>
        <item x="312"/>
        <item x="440"/>
        <item x="74"/>
        <item x="329"/>
        <item x="266"/>
        <item x="429"/>
        <item x="580"/>
        <item x="110"/>
        <item x="542"/>
        <item x="853"/>
        <item x="860"/>
        <item x="879"/>
        <item x="331"/>
        <item x="293"/>
        <item x="282"/>
        <item x="12"/>
        <item x="735"/>
        <item x="326"/>
        <item x="595"/>
        <item x="136"/>
        <item x="40"/>
        <item x="408"/>
        <item x="48"/>
        <item x="634"/>
        <item x="791"/>
        <item x="236"/>
        <item x="220"/>
        <item x="179"/>
        <item x="497"/>
        <item x="345"/>
        <item x="681"/>
        <item x="648"/>
        <item x="907"/>
        <item x="905"/>
        <item x="862"/>
        <item x="26"/>
        <item x="81"/>
        <item x="535"/>
        <item x="798"/>
        <item x="186"/>
        <item x="2"/>
        <item x="827"/>
        <item x="699"/>
        <item x="597"/>
        <item x="900"/>
        <item x="413"/>
        <item x="65"/>
        <item x="578"/>
        <item x="50"/>
        <item x="129"/>
        <item x="330"/>
        <item x="418"/>
        <item x="224"/>
        <item x="56"/>
        <item x="102"/>
        <item x="752"/>
        <item x="500"/>
        <item x="797"/>
        <item x="870"/>
        <item x="626"/>
        <item x="720"/>
        <item x="398"/>
        <item x="802"/>
        <item x="4"/>
        <item x="370"/>
        <item x="649"/>
        <item x="279"/>
        <item x="821"/>
        <item x="133"/>
        <item x="641"/>
        <item x="25"/>
        <item x="193"/>
        <item x="569"/>
        <item x="871"/>
        <item x="373"/>
        <item x="274"/>
        <item x="530"/>
        <item x="646"/>
        <item x="793"/>
        <item x="64"/>
        <item x="305"/>
        <item x="713"/>
        <item x="404"/>
        <item x="194"/>
        <item x="166"/>
        <item x="103"/>
        <item x="197"/>
        <item x="818"/>
        <item x="283"/>
        <item x="223"/>
        <item x="899"/>
        <item x="922"/>
        <item x="671"/>
        <item x="581"/>
        <item x="152"/>
        <item x="708"/>
        <item x="714"/>
        <item x="334"/>
        <item x="145"/>
        <item x="355"/>
        <item x="505"/>
        <item x="472"/>
        <item x="724"/>
        <item x="744"/>
        <item x="351"/>
        <item x="146"/>
        <item x="911"/>
        <item x="465"/>
        <item x="851"/>
        <item x="470"/>
        <item x="456"/>
        <item x="226"/>
        <item x="521"/>
        <item x="727"/>
        <item x="352"/>
        <item x="471"/>
        <item x="372"/>
        <item x="854"/>
        <item x="402"/>
        <item x="658"/>
        <item x="885"/>
        <item x="672"/>
        <item x="740"/>
        <item x="823"/>
        <item x="377"/>
        <item x="124"/>
        <item x="661"/>
        <item x="82"/>
        <item x="547"/>
        <item x="232"/>
        <item x="863"/>
        <item x="562"/>
        <item x="149"/>
        <item x="261"/>
        <item x="234"/>
        <item x="789"/>
        <item x="665"/>
        <item x="199"/>
        <item x="656"/>
        <item x="610"/>
        <item x="901"/>
        <item x="1"/>
        <item x="255"/>
        <item x="36"/>
        <item x="845"/>
        <item x="787"/>
        <item x="189"/>
        <item x="877"/>
        <item x="694"/>
        <item x="855"/>
        <item x="881"/>
        <item x="856"/>
        <item x="704"/>
        <item x="369"/>
        <item x="673"/>
        <item x="173"/>
        <item x="123"/>
        <item x="353"/>
        <item x="503"/>
        <item x="393"/>
        <item x="306"/>
        <item x="85"/>
        <item x="230"/>
        <item x="169"/>
        <item x="196"/>
        <item x="478"/>
        <item x="23"/>
        <item x="536"/>
        <item x="39"/>
        <item x="302"/>
        <item x="490"/>
        <item x="890"/>
        <item x="461"/>
        <item x="348"/>
        <item x="579"/>
        <item x="750"/>
        <item x="382"/>
        <item x="915"/>
        <item x="667"/>
        <item x="424"/>
        <item x="154"/>
        <item x="850"/>
        <item x="872"/>
        <item x="106"/>
        <item x="757"/>
        <item x="738"/>
        <item x="693"/>
        <item x="832"/>
        <item x="239"/>
        <item x="903"/>
        <item x="572"/>
        <item x="248"/>
        <item x="215"/>
        <item x="614"/>
        <item x="666"/>
        <item x="636"/>
        <item x="419"/>
        <item x="216"/>
        <item x="275"/>
        <item x="185"/>
        <item x="198"/>
        <item x="34"/>
        <item x="806"/>
        <item x="586"/>
        <item x="291"/>
        <item x="163"/>
        <item x="582"/>
        <item x="643"/>
        <item x="139"/>
        <item x="758"/>
        <item x="322"/>
        <item x="537"/>
        <item x="262"/>
        <item x="894"/>
        <item x="263"/>
        <item x="436"/>
        <item x="561"/>
        <item x="425"/>
        <item x="38"/>
        <item x="137"/>
        <item x="895"/>
        <item x="428"/>
        <item x="773"/>
        <item x="209"/>
        <item x="485"/>
        <item x="107"/>
        <item x="734"/>
        <item x="794"/>
        <item x="349"/>
        <item x="396"/>
        <item x="116"/>
        <item x="27"/>
        <item x="501"/>
        <item x="765"/>
        <item x="35"/>
        <item x="221"/>
        <item x="513"/>
        <item x="347"/>
        <item x="126"/>
        <item x="762"/>
        <item x="568"/>
        <item x="481"/>
        <item x="560"/>
        <item x="604"/>
        <item x="258"/>
        <item x="178"/>
        <item x="84"/>
        <item x="686"/>
        <item x="303"/>
        <item x="916"/>
        <item x="108"/>
        <item x="7"/>
        <item x="98"/>
        <item x="483"/>
        <item x="605"/>
        <item x="0"/>
        <item x="529"/>
        <item x="843"/>
        <item x="245"/>
        <item x="364"/>
        <item x="921"/>
        <item x="213"/>
        <item x="836"/>
        <item x="447"/>
        <item x="96"/>
        <item x="100"/>
        <item x="201"/>
        <item x="826"/>
        <item x="195"/>
        <item x="617"/>
        <item x="243"/>
        <item x="77"/>
        <item x="695"/>
        <item x="599"/>
        <item x="362"/>
        <item x="736"/>
        <item x="707"/>
        <item x="570"/>
        <item x="639"/>
        <item x="400"/>
        <item x="270"/>
        <item x="268"/>
        <item x="171"/>
        <item x="803"/>
        <item x="688"/>
        <item x="359"/>
        <item x="742"/>
        <item x="771"/>
        <item x="286"/>
        <item x="138"/>
        <item x="183"/>
        <item x="706"/>
        <item x="645"/>
        <item x="760"/>
        <item x="912"/>
        <item x="837"/>
        <item x="449"/>
        <item x="72"/>
        <item x="721"/>
        <item x="874"/>
        <item x="327"/>
        <item x="520"/>
        <item x="574"/>
        <item x="299"/>
        <item x="838"/>
        <item x="741"/>
        <item x="583"/>
        <item x="458"/>
        <item x="114"/>
        <item x="831"/>
        <item x="251"/>
        <item x="635"/>
        <item x="923"/>
        <item x="460"/>
        <item x="523"/>
        <item x="316"/>
        <item x="556"/>
        <item x="506"/>
        <item x="105"/>
        <item x="93"/>
        <item x="898"/>
        <item x="914"/>
        <item x="164"/>
        <item x="715"/>
        <item x="745"/>
        <item x="383"/>
        <item x="135"/>
        <item x="527"/>
        <item x="325"/>
        <item x="589"/>
        <item x="227"/>
        <item x="252"/>
        <item x="585"/>
        <item x="814"/>
        <item x="514"/>
        <item x="869"/>
        <item x="101"/>
        <item x="182"/>
        <item x="780"/>
        <item x="564"/>
        <item x="603"/>
        <item x="662"/>
        <item x="882"/>
        <item x="508"/>
        <item x="300"/>
        <item x="52"/>
        <item x="454"/>
        <item x="859"/>
        <item x="737"/>
        <item x="391"/>
        <item x="730"/>
        <item x="507"/>
        <item x="32"/>
        <item x="42"/>
        <item x="28"/>
        <item x="829"/>
        <item x="92"/>
        <item x="770"/>
        <item x="475"/>
        <item x="410"/>
        <item x="563"/>
        <item x="57"/>
        <item x="807"/>
        <item x="522"/>
        <item x="493"/>
        <item x="267"/>
        <item x="118"/>
        <item x="637"/>
        <item x="611"/>
        <item x="812"/>
        <item x="631"/>
        <item x="861"/>
        <item x="452"/>
        <item x="80"/>
        <item x="365"/>
        <item x="682"/>
        <item x="717"/>
        <item x="363"/>
        <item x="278"/>
        <item x="130"/>
        <item x="143"/>
        <item x="817"/>
        <item x="886"/>
        <item x="121"/>
        <item x="128"/>
        <item x="842"/>
        <item x="20"/>
        <item x="813"/>
        <item x="690"/>
        <item x="759"/>
        <item x="45"/>
        <item x="778"/>
        <item x="112"/>
        <item x="55"/>
        <item x="638"/>
        <item x="716"/>
        <item x="790"/>
        <item x="144"/>
        <item x="83"/>
        <item x="202"/>
        <item x="788"/>
        <item x="552"/>
        <item x="301"/>
        <item x="722"/>
        <item x="109"/>
        <item x="477"/>
        <item x="624"/>
        <item x="756"/>
        <item x="743"/>
        <item x="504"/>
        <item x="918"/>
        <item x="233"/>
        <item x="711"/>
        <item x="95"/>
        <item x="663"/>
        <item x="747"/>
        <item x="466"/>
        <item x="405"/>
        <item x="421"/>
        <item x="753"/>
        <item x="13"/>
        <item x="473"/>
        <item x="390"/>
        <item x="772"/>
        <item x="622"/>
        <item x="249"/>
        <item x="774"/>
        <item x="217"/>
        <item x="328"/>
        <item x="543"/>
        <item x="702"/>
        <item x="841"/>
        <item x="338"/>
        <item x="763"/>
        <item x="455"/>
        <item x="781"/>
        <item x="276"/>
        <item x="9"/>
        <item x="247"/>
        <item x="691"/>
        <item x="809"/>
        <item x="782"/>
        <item x="849"/>
        <item x="214"/>
        <item x="476"/>
        <item x="104"/>
        <item x="71"/>
        <item x="664"/>
        <item x="134"/>
        <item x="29"/>
        <item x="87"/>
        <item x="191"/>
        <item x="70"/>
        <item x="155"/>
        <item x="161"/>
        <item x="368"/>
        <item x="910"/>
        <item x="538"/>
        <item x="453"/>
        <item x="510"/>
        <item x="250"/>
        <item x="357"/>
        <item x="384"/>
        <item x="140"/>
        <item x="524"/>
        <item x="41"/>
        <item x="917"/>
        <item x="208"/>
        <item x="346"/>
        <item x="336"/>
        <item x="913"/>
        <item x="47"/>
        <item x="668"/>
        <item x="69"/>
        <item x="488"/>
        <item x="539"/>
        <item x="808"/>
        <item x="99"/>
        <item x="16"/>
        <item x="710"/>
        <item x="525"/>
        <item x="445"/>
        <item x="354"/>
        <item x="887"/>
        <item x="602"/>
        <item x="380"/>
        <item x="835"/>
        <item x="304"/>
        <item x="30"/>
        <item x="288"/>
        <item x="519"/>
        <item x="19"/>
        <item x="549"/>
        <item x="557"/>
        <item x="307"/>
        <item x="669"/>
        <item x="426"/>
        <item x="420"/>
        <item x="371"/>
        <item x="148"/>
        <item x="33"/>
        <item x="767"/>
        <item x="810"/>
        <item x="615"/>
        <item x="875"/>
        <item x="846"/>
        <item x="119"/>
        <item x="573"/>
        <item x="659"/>
        <item x="670"/>
        <item x="315"/>
        <item x="385"/>
        <item x="242"/>
        <item x="231"/>
        <item x="654"/>
        <item x="748"/>
        <item x="865"/>
        <item x="350"/>
        <item x="511"/>
        <item x="333"/>
        <item x="815"/>
        <item x="131"/>
        <item x="253"/>
        <item x="412"/>
        <item x="884"/>
        <item x="443"/>
        <item x="486"/>
        <item x="685"/>
        <item x="190"/>
        <item x="598"/>
        <item x="731"/>
        <item x="873"/>
        <item x="176"/>
        <item x="298"/>
        <item x="341"/>
        <item x="168"/>
        <item x="531"/>
        <item x="79"/>
        <item x="754"/>
        <item x="783"/>
        <item x="264"/>
        <item x="792"/>
        <item x="540"/>
        <item x="170"/>
        <item x="909"/>
        <item x="830"/>
        <item x="545"/>
        <item x="43"/>
        <item x="619"/>
        <item x="795"/>
        <item x="840"/>
        <item x="294"/>
        <item x="375"/>
        <item x="629"/>
        <item x="296"/>
        <item x="487"/>
        <item x="891"/>
        <item x="361"/>
        <item x="310"/>
        <item x="324"/>
        <item x="427"/>
        <item x="902"/>
        <item x="749"/>
        <item x="379"/>
        <item x="271"/>
        <item x="825"/>
        <item x="60"/>
        <item x="21"/>
        <item x="289"/>
        <item x="366"/>
        <item x="766"/>
        <item x="273"/>
        <item x="76"/>
        <item x="256"/>
        <item x="97"/>
        <item x="89"/>
        <item x="167"/>
        <item x="442"/>
        <item x="904"/>
        <item x="533"/>
        <item x="623"/>
        <item x="642"/>
        <item x="18"/>
        <item x="54"/>
        <item x="653"/>
        <item x="53"/>
        <item x="480"/>
        <item x="218"/>
        <item x="113"/>
        <item x="852"/>
        <item x="287"/>
        <item x="59"/>
        <item x="920"/>
        <item x="240"/>
        <item x="892"/>
        <item x="484"/>
        <item x="632"/>
        <item x="411"/>
        <item x="159"/>
        <item x="360"/>
        <item x="219"/>
        <item x="697"/>
        <item x="630"/>
        <item x="876"/>
        <item x="417"/>
        <item x="723"/>
        <item x="880"/>
        <item x="613"/>
        <item x="162"/>
        <item x="204"/>
        <item x="437"/>
        <item x="608"/>
        <item x="111"/>
        <item x="284"/>
        <item x="344"/>
        <item x="534"/>
        <item x="343"/>
        <item x="675"/>
        <item x="469"/>
        <item x="644"/>
        <item x="151"/>
        <item x="430"/>
        <item x="683"/>
        <item x="847"/>
        <item x="397"/>
        <item x="584"/>
        <item x="172"/>
        <item x="496"/>
        <item x="834"/>
        <item x="732"/>
        <item x="571"/>
        <item t="default"/>
      </items>
    </pivotField>
    <pivotField axis="axisRow" showAll="0" sortType="ascending">
      <items count="6">
        <item x="0"/>
        <item x="4"/>
        <item x="3"/>
        <item x="1"/>
        <item x="2"/>
        <item t="default"/>
      </items>
    </pivotField>
    <pivotField showAll="0">
      <items count="6">
        <item x="2"/>
        <item x="1"/>
        <item x="0"/>
        <item x="3"/>
        <item x="4"/>
        <item t="default"/>
      </items>
    </pivotField>
    <pivotField showAll="0"/>
    <pivotField numFmtId="1" showAll="0"/>
    <pivotField showAll="0" nonAutoSortDefault="1">
      <items count="4">
        <item x="0"/>
        <item x="1"/>
        <item x="2"/>
        <item t="default"/>
      </items>
    </pivotField>
    <pivotField numFmtId="164" showAll="0"/>
    <pivotField showAll="0"/>
    <pivotField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6">
        <item n="0-20" sd="0" x="0"/>
        <item n="21-40" sd="0" x="1"/>
        <item n="41-60" sd="0" x="2"/>
        <item n="61-80" sd="0" x="3"/>
        <item n="81-100" sd="0" x="4"/>
        <item t="default"/>
      </items>
    </pivotField>
    <pivotField showAll="0">
      <items count="6">
        <item x="0"/>
        <item x="1"/>
        <item x="2"/>
        <item x="3"/>
        <item x="4"/>
        <item t="default"/>
      </items>
    </pivotField>
  </pivotFields>
  <rowFields count="1">
    <field x="20"/>
  </rowFields>
  <rowItems count="6">
    <i>
      <x/>
    </i>
    <i>
      <x v="1"/>
    </i>
    <i>
      <x v="2"/>
    </i>
    <i>
      <x v="3"/>
    </i>
    <i>
      <x v="4"/>
    </i>
    <i t="grand">
      <x/>
    </i>
  </rowItems>
  <colFields count="1">
    <field x="-2"/>
  </colFields>
  <colItems count="2">
    <i>
      <x/>
    </i>
    <i i="1">
      <x v="1"/>
    </i>
  </colItems>
  <dataFields count="2">
    <dataField name="Users Count" fld="0" subtotal="count" baseField="20" baseItem="0"/>
    <dataField name="Count of User_ID2" fld="0" subtotal="count" showDataAs="percentOfCol" baseField="20" baseItem="3" numFmtId="9"/>
  </dataFields>
  <formats count="14">
    <format dxfId="204">
      <pivotArea type="all" dataOnly="0" outline="0" fieldPosition="0"/>
    </format>
    <format dxfId="203">
      <pivotArea outline="0" collapsedLevelsAreSubtotals="1" fieldPosition="0"/>
    </format>
    <format dxfId="202">
      <pivotArea field="24" type="button" dataOnly="0" labelOnly="1" outline="0"/>
    </format>
    <format dxfId="201">
      <pivotArea dataOnly="0" labelOnly="1" grandRow="1" outline="0" fieldPosition="0"/>
    </format>
    <format dxfId="200">
      <pivotArea type="all" dataOnly="0" outline="0" fieldPosition="0"/>
    </format>
    <format dxfId="199">
      <pivotArea outline="0" collapsedLevelsAreSubtotals="1" fieldPosition="0"/>
    </format>
    <format dxfId="198">
      <pivotArea field="24" type="button" dataOnly="0" labelOnly="1" outline="0"/>
    </format>
    <format dxfId="197">
      <pivotArea dataOnly="0" labelOnly="1" grandRow="1" outline="0" fieldPosition="0"/>
    </format>
    <format dxfId="196">
      <pivotArea type="all" dataOnly="0" outline="0" fieldPosition="0"/>
    </format>
    <format dxfId="195">
      <pivotArea outline="0" collapsedLevelsAreSubtotals="1" fieldPosition="0"/>
    </format>
    <format dxfId="194">
      <pivotArea field="24" type="button" dataOnly="0" labelOnly="1" outline="0"/>
    </format>
    <format dxfId="193">
      <pivotArea dataOnly="0" labelOnly="1" grandRow="1" outline="0" fieldPosition="0"/>
    </format>
    <format dxfId="192">
      <pivotArea outline="0" fieldPosition="0">
        <references count="1">
          <reference field="4294967294" count="1">
            <x v="1"/>
          </reference>
        </references>
      </pivotArea>
    </format>
    <format dxfId="191">
      <pivotArea outline="0" collapsedLevelsAreSubtotals="1" fieldPosition="0">
        <references count="1">
          <reference field="4294967294" count="1" selected="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4C29560-6483-4229-A160-77F7BC83FF11}" name="5. Payment Preferences &amp; Regional Trends 1.0" cacheId="0"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3" rowHeaderCaption="Country Name">
  <location ref="AJ6:AN15" firstHeaderRow="1" firstDataRow="2" firstDataCol="1" rowPageCount="1" colPageCount="1"/>
  <pivotFields count="34">
    <pivotField dataField="1" numFmtId="1" showAll="0"/>
    <pivotField showAll="0"/>
    <pivotField numFmtId="14" showAll="0">
      <items count="538">
        <item x="91"/>
        <item x="302"/>
        <item x="102"/>
        <item x="424"/>
        <item x="54"/>
        <item x="127"/>
        <item x="51"/>
        <item x="274"/>
        <item x="137"/>
        <item x="53"/>
        <item x="201"/>
        <item x="417"/>
        <item x="218"/>
        <item x="228"/>
        <item x="374"/>
        <item x="524"/>
        <item x="484"/>
        <item x="514"/>
        <item x="470"/>
        <item x="513"/>
        <item x="333"/>
        <item x="463"/>
        <item x="368"/>
        <item x="222"/>
        <item x="176"/>
        <item x="119"/>
        <item x="255"/>
        <item x="270"/>
        <item x="281"/>
        <item x="251"/>
        <item x="344"/>
        <item x="497"/>
        <item x="3"/>
        <item x="200"/>
        <item x="58"/>
        <item x="504"/>
        <item x="86"/>
        <item x="147"/>
        <item x="116"/>
        <item x="224"/>
        <item x="359"/>
        <item x="478"/>
        <item x="440"/>
        <item x="16"/>
        <item x="242"/>
        <item x="471"/>
        <item x="100"/>
        <item x="507"/>
        <item x="65"/>
        <item x="128"/>
        <item x="233"/>
        <item x="131"/>
        <item x="217"/>
        <item x="152"/>
        <item x="372"/>
        <item x="62"/>
        <item x="397"/>
        <item x="393"/>
        <item x="204"/>
        <item x="364"/>
        <item x="139"/>
        <item x="112"/>
        <item x="253"/>
        <item x="475"/>
        <item x="518"/>
        <item x="151"/>
        <item x="378"/>
        <item x="264"/>
        <item x="123"/>
        <item x="269"/>
        <item x="353"/>
        <item x="453"/>
        <item x="45"/>
        <item x="47"/>
        <item x="12"/>
        <item x="10"/>
        <item x="361"/>
        <item x="108"/>
        <item x="1"/>
        <item x="42"/>
        <item x="408"/>
        <item x="428"/>
        <item x="334"/>
        <item x="367"/>
        <item x="459"/>
        <item x="275"/>
        <item x="64"/>
        <item x="410"/>
        <item x="90"/>
        <item x="505"/>
        <item x="241"/>
        <item x="154"/>
        <item x="336"/>
        <item x="306"/>
        <item x="232"/>
        <item x="211"/>
        <item x="413"/>
        <item x="44"/>
        <item x="491"/>
        <item x="494"/>
        <item x="80"/>
        <item x="427"/>
        <item x="124"/>
        <item x="132"/>
        <item x="400"/>
        <item x="324"/>
        <item x="177"/>
        <item x="480"/>
        <item x="130"/>
        <item x="172"/>
        <item x="0"/>
        <item x="190"/>
        <item x="315"/>
        <item x="366"/>
        <item x="392"/>
        <item x="282"/>
        <item x="181"/>
        <item x="194"/>
        <item x="318"/>
        <item x="266"/>
        <item x="369"/>
        <item x="461"/>
        <item x="230"/>
        <item x="532"/>
        <item x="257"/>
        <item x="178"/>
        <item x="17"/>
        <item x="469"/>
        <item x="351"/>
        <item x="4"/>
        <item x="14"/>
        <item x="173"/>
        <item x="148"/>
        <item x="175"/>
        <item x="405"/>
        <item x="339"/>
        <item x="509"/>
        <item x="8"/>
        <item x="156"/>
        <item x="25"/>
        <item x="98"/>
        <item x="519"/>
        <item x="31"/>
        <item x="391"/>
        <item x="60"/>
        <item x="506"/>
        <item x="220"/>
        <item x="434"/>
        <item x="454"/>
        <item x="19"/>
        <item x="164"/>
        <item x="402"/>
        <item x="373"/>
        <item x="273"/>
        <item x="294"/>
        <item x="199"/>
        <item x="20"/>
        <item x="41"/>
        <item x="476"/>
        <item x="244"/>
        <item x="510"/>
        <item x="94"/>
        <item x="468"/>
        <item x="229"/>
        <item x="49"/>
        <item x="239"/>
        <item x="395"/>
        <item x="68"/>
        <item x="2"/>
        <item x="88"/>
        <item x="250"/>
        <item x="236"/>
        <item x="101"/>
        <item x="436"/>
        <item x="247"/>
        <item x="260"/>
        <item x="189"/>
        <item x="515"/>
        <item x="183"/>
        <item x="37"/>
        <item x="75"/>
        <item x="398"/>
        <item x="482"/>
        <item x="335"/>
        <item x="330"/>
        <item x="511"/>
        <item x="296"/>
        <item x="208"/>
        <item x="213"/>
        <item x="399"/>
        <item x="46"/>
        <item x="206"/>
        <item x="288"/>
        <item x="133"/>
        <item x="69"/>
        <item x="457"/>
        <item x="197"/>
        <item x="409"/>
        <item x="337"/>
        <item x="84"/>
        <item x="486"/>
        <item x="383"/>
        <item x="35"/>
        <item x="442"/>
        <item x="5"/>
        <item x="381"/>
        <item x="293"/>
        <item x="18"/>
        <item x="467"/>
        <item x="23"/>
        <item x="425"/>
        <item x="162"/>
        <item x="423"/>
        <item x="332"/>
        <item x="271"/>
        <item x="106"/>
        <item x="346"/>
        <item x="113"/>
        <item x="477"/>
        <item x="437"/>
        <item x="422"/>
        <item x="57"/>
        <item x="67"/>
        <item x="223"/>
        <item x="153"/>
        <item x="140"/>
        <item x="87"/>
        <item x="82"/>
        <item x="231"/>
        <item x="73"/>
        <item x="501"/>
        <item x="305"/>
        <item x="89"/>
        <item x="431"/>
        <item x="340"/>
        <item x="143"/>
        <item x="456"/>
        <item x="472"/>
        <item x="341"/>
        <item x="298"/>
        <item x="529"/>
        <item x="326"/>
        <item x="212"/>
        <item x="195"/>
        <item x="347"/>
        <item x="462"/>
        <item x="196"/>
        <item x="22"/>
        <item x="388"/>
        <item x="534"/>
        <item x="120"/>
        <item x="536"/>
        <item x="66"/>
        <item x="32"/>
        <item x="517"/>
        <item x="285"/>
        <item x="9"/>
        <item x="492"/>
        <item x="170"/>
        <item x="72"/>
        <item x="327"/>
        <item x="96"/>
        <item x="184"/>
        <item x="329"/>
        <item x="371"/>
        <item x="320"/>
        <item x="342"/>
        <item x="377"/>
        <item x="452"/>
        <item x="527"/>
        <item x="81"/>
        <item x="56"/>
        <item x="418"/>
        <item x="406"/>
        <item x="262"/>
        <item x="522"/>
        <item x="209"/>
        <item x="263"/>
        <item x="61"/>
        <item x="307"/>
        <item x="74"/>
        <item x="357"/>
        <item x="286"/>
        <item x="205"/>
        <item x="261"/>
        <item x="443"/>
        <item x="414"/>
        <item x="203"/>
        <item x="33"/>
        <item x="126"/>
        <item x="248"/>
        <item x="142"/>
        <item x="280"/>
        <item x="394"/>
        <item x="287"/>
        <item x="243"/>
        <item x="110"/>
        <item x="317"/>
        <item x="303"/>
        <item x="161"/>
        <item x="489"/>
        <item x="215"/>
        <item x="27"/>
        <item x="144"/>
        <item x="121"/>
        <item x="246"/>
        <item x="321"/>
        <item x="163"/>
        <item x="525"/>
        <item x="104"/>
        <item x="415"/>
        <item x="92"/>
        <item x="419"/>
        <item x="38"/>
        <item x="438"/>
        <item x="309"/>
        <item x="150"/>
        <item x="473"/>
        <item x="171"/>
        <item x="155"/>
        <item x="348"/>
        <item x="198"/>
        <item x="185"/>
        <item x="387"/>
        <item x="83"/>
        <item x="426"/>
        <item x="11"/>
        <item x="103"/>
        <item x="375"/>
        <item x="354"/>
        <item x="495"/>
        <item x="219"/>
        <item x="498"/>
        <item x="432"/>
        <item x="531"/>
        <item x="252"/>
        <item x="63"/>
        <item x="99"/>
        <item x="355"/>
        <item x="328"/>
        <item x="358"/>
        <item x="202"/>
        <item x="180"/>
        <item x="157"/>
        <item x="28"/>
        <item x="379"/>
        <item x="444"/>
        <item x="445"/>
        <item x="138"/>
        <item x="533"/>
        <item x="52"/>
        <item x="450"/>
        <item x="412"/>
        <item x="43"/>
        <item x="420"/>
        <item x="272"/>
        <item x="370"/>
        <item x="526"/>
        <item x="290"/>
        <item x="292"/>
        <item x="283"/>
        <item x="300"/>
        <item x="343"/>
        <item x="384"/>
        <item x="210"/>
        <item x="535"/>
        <item x="145"/>
        <item x="401"/>
        <item x="523"/>
        <item x="403"/>
        <item x="179"/>
        <item x="350"/>
        <item x="169"/>
        <item x="512"/>
        <item x="439"/>
        <item x="310"/>
        <item x="256"/>
        <item x="235"/>
        <item x="376"/>
        <item x="363"/>
        <item x="396"/>
        <item x="24"/>
        <item x="254"/>
        <item x="15"/>
        <item x="149"/>
        <item x="26"/>
        <item x="465"/>
        <item x="458"/>
        <item x="520"/>
        <item x="490"/>
        <item x="352"/>
        <item x="118"/>
        <item x="7"/>
        <item x="93"/>
        <item x="221"/>
        <item x="214"/>
        <item x="356"/>
        <item x="521"/>
        <item x="345"/>
        <item x="386"/>
        <item x="448"/>
        <item x="441"/>
        <item x="429"/>
        <item x="502"/>
        <item x="21"/>
        <item x="182"/>
        <item x="365"/>
        <item x="141"/>
        <item x="48"/>
        <item x="500"/>
        <item x="299"/>
        <item x="226"/>
        <item x="338"/>
        <item x="85"/>
        <item x="481"/>
        <item x="411"/>
        <item x="488"/>
        <item x="297"/>
        <item x="29"/>
        <item x="167"/>
        <item x="97"/>
        <item x="70"/>
        <item x="447"/>
        <item x="238"/>
        <item x="109"/>
        <item x="380"/>
        <item x="325"/>
        <item x="466"/>
        <item x="389"/>
        <item x="165"/>
        <item x="404"/>
        <item x="71"/>
        <item x="277"/>
        <item x="77"/>
        <item x="291"/>
        <item x="446"/>
        <item x="455"/>
        <item x="289"/>
        <item x="237"/>
        <item x="295"/>
        <item x="362"/>
        <item x="349"/>
        <item x="528"/>
        <item x="39"/>
        <item x="174"/>
        <item x="508"/>
        <item x="258"/>
        <item x="135"/>
        <item x="168"/>
        <item x="493"/>
        <item x="187"/>
        <item x="268"/>
        <item x="483"/>
        <item x="78"/>
        <item x="304"/>
        <item x="474"/>
        <item x="6"/>
        <item x="301"/>
        <item x="284"/>
        <item x="79"/>
        <item x="186"/>
        <item x="276"/>
        <item x="433"/>
        <item x="499"/>
        <item x="216"/>
        <item x="323"/>
        <item x="55"/>
        <item x="278"/>
        <item x="193"/>
        <item x="316"/>
        <item x="13"/>
        <item x="279"/>
        <item x="40"/>
        <item x="314"/>
        <item x="191"/>
        <item x="146"/>
        <item x="416"/>
        <item x="207"/>
        <item x="227"/>
        <item x="259"/>
        <item x="105"/>
        <item x="249"/>
        <item x="516"/>
        <item x="136"/>
        <item x="36"/>
        <item x="312"/>
        <item x="34"/>
        <item x="319"/>
        <item x="503"/>
        <item x="331"/>
        <item x="240"/>
        <item x="421"/>
        <item x="192"/>
        <item x="311"/>
        <item x="267"/>
        <item x="117"/>
        <item x="496"/>
        <item x="134"/>
        <item x="390"/>
        <item x="449"/>
        <item x="76"/>
        <item x="160"/>
        <item x="360"/>
        <item x="385"/>
        <item x="460"/>
        <item x="166"/>
        <item x="234"/>
        <item x="245"/>
        <item x="95"/>
        <item x="50"/>
        <item x="407"/>
        <item x="322"/>
        <item x="265"/>
        <item x="464"/>
        <item x="479"/>
        <item x="487"/>
        <item x="451"/>
        <item x="115"/>
        <item x="159"/>
        <item x="225"/>
        <item x="111"/>
        <item x="308"/>
        <item x="122"/>
        <item x="114"/>
        <item x="59"/>
        <item x="382"/>
        <item x="129"/>
        <item x="188"/>
        <item x="485"/>
        <item x="107"/>
        <item x="158"/>
        <item x="530"/>
        <item x="30"/>
        <item x="125"/>
        <item x="313"/>
        <item x="430"/>
        <item x="435"/>
        <item t="default"/>
      </items>
    </pivotField>
    <pivotField numFmtId="14" showAll="0"/>
    <pivotField numFmtId="165" showAll="0"/>
    <pivotField numFmtId="1" showAll="0"/>
    <pivotField showAll="0">
      <items count="8">
        <item x="0"/>
        <item x="5"/>
        <item x="3"/>
        <item x="1"/>
        <item x="4"/>
        <item x="6"/>
        <item x="2"/>
        <item t="default"/>
      </items>
    </pivotField>
    <pivotField numFmtId="1" showAll="0"/>
    <pivotField numFmtId="1" showAll="0"/>
    <pivotField showAll="0"/>
    <pivotField numFmtId="1" showAll="0"/>
    <pivotField numFmtId="1" showAll="0"/>
    <pivotField axis="axisRow" showAll="0">
      <items count="8">
        <item x="4"/>
        <item x="1"/>
        <item x="6"/>
        <item x="5"/>
        <item x="3"/>
        <item x="2"/>
        <item x="0"/>
        <item t="default"/>
      </items>
    </pivotField>
    <pivotField axis="axisCol" showAll="0">
      <items count="5">
        <item x="2"/>
        <item x="3"/>
        <item x="1"/>
        <item x="0"/>
        <item t="default"/>
      </items>
    </pivotField>
    <pivotField showAll="0"/>
    <pivotField numFmtId="1" showAll="0">
      <items count="102">
        <item x="13"/>
        <item x="6"/>
        <item x="99"/>
        <item x="20"/>
        <item x="69"/>
        <item x="78"/>
        <item x="65"/>
        <item x="34"/>
        <item x="39"/>
        <item x="87"/>
        <item x="95"/>
        <item x="17"/>
        <item x="32"/>
        <item x="44"/>
        <item x="31"/>
        <item x="48"/>
        <item x="88"/>
        <item x="71"/>
        <item x="57"/>
        <item x="96"/>
        <item x="66"/>
        <item x="68"/>
        <item x="46"/>
        <item x="73"/>
        <item x="50"/>
        <item x="14"/>
        <item x="8"/>
        <item x="21"/>
        <item x="72"/>
        <item x="94"/>
        <item x="55"/>
        <item x="97"/>
        <item x="7"/>
        <item x="36"/>
        <item x="91"/>
        <item x="93"/>
        <item x="58"/>
        <item x="86"/>
        <item x="11"/>
        <item x="4"/>
        <item x="42"/>
        <item x="81"/>
        <item x="19"/>
        <item x="80"/>
        <item x="52"/>
        <item x="30"/>
        <item x="63"/>
        <item x="3"/>
        <item x="60"/>
        <item x="77"/>
        <item x="16"/>
        <item x="82"/>
        <item x="64"/>
        <item x="56"/>
        <item x="84"/>
        <item x="38"/>
        <item x="2"/>
        <item x="10"/>
        <item x="27"/>
        <item x="76"/>
        <item x="22"/>
        <item x="47"/>
        <item x="12"/>
        <item x="40"/>
        <item x="61"/>
        <item x="15"/>
        <item x="29"/>
        <item x="79"/>
        <item x="53"/>
        <item x="1"/>
        <item x="85"/>
        <item x="5"/>
        <item x="35"/>
        <item x="59"/>
        <item x="98"/>
        <item x="100"/>
        <item x="24"/>
        <item x="70"/>
        <item x="18"/>
        <item x="37"/>
        <item x="54"/>
        <item x="74"/>
        <item x="45"/>
        <item x="75"/>
        <item x="0"/>
        <item x="26"/>
        <item x="89"/>
        <item x="62"/>
        <item x="51"/>
        <item x="83"/>
        <item x="9"/>
        <item x="23"/>
        <item x="92"/>
        <item x="67"/>
        <item x="43"/>
        <item x="49"/>
        <item x="41"/>
        <item x="28"/>
        <item x="25"/>
        <item x="33"/>
        <item x="90"/>
        <item t="default"/>
      </items>
    </pivotField>
    <pivotField numFmtId="164" showAll="0"/>
    <pivotField showAll="0"/>
    <pivotField showAll="0"/>
    <pivotField numFmtId="1" showAll="0">
      <items count="925">
        <item x="820"/>
        <item x="647"/>
        <item x="269"/>
        <item x="416"/>
        <item x="448"/>
        <item x="701"/>
        <item x="5"/>
        <item x="919"/>
        <item x="73"/>
        <item x="680"/>
        <item x="640"/>
        <item x="290"/>
        <item x="407"/>
        <item x="395"/>
        <item x="423"/>
        <item x="272"/>
        <item x="409"/>
        <item x="332"/>
        <item x="422"/>
        <item x="205"/>
        <item x="150"/>
        <item x="609"/>
        <item x="565"/>
        <item x="435"/>
        <item x="206"/>
        <item x="180"/>
        <item x="125"/>
        <item x="509"/>
        <item x="203"/>
        <item x="323"/>
        <item x="342"/>
        <item x="314"/>
        <item x="718"/>
        <item x="761"/>
        <item x="858"/>
        <item x="432"/>
        <item x="592"/>
        <item x="141"/>
        <item x="459"/>
        <item x="11"/>
        <item x="175"/>
        <item x="174"/>
        <item x="528"/>
        <item x="786"/>
        <item x="705"/>
        <item x="394"/>
        <item x="229"/>
        <item x="207"/>
        <item x="883"/>
        <item x="86"/>
        <item x="532"/>
        <item x="451"/>
        <item x="374"/>
        <item x="878"/>
        <item x="833"/>
        <item x="700"/>
        <item x="526"/>
        <item x="22"/>
        <item x="292"/>
        <item x="246"/>
        <item x="494"/>
        <item x="679"/>
        <item x="601"/>
        <item x="367"/>
        <item x="399"/>
        <item x="337"/>
        <item x="8"/>
        <item x="677"/>
        <item x="401"/>
        <item x="68"/>
        <item x="66"/>
        <item x="468"/>
        <item x="260"/>
        <item x="517"/>
        <item x="729"/>
        <item x="277"/>
        <item x="502"/>
        <item x="650"/>
        <item x="866"/>
        <item x="627"/>
        <item x="612"/>
        <item x="462"/>
        <item x="415"/>
        <item x="660"/>
        <item x="67"/>
        <item x="489"/>
        <item x="238"/>
        <item x="775"/>
        <item x="678"/>
        <item x="768"/>
        <item x="51"/>
        <item x="181"/>
        <item x="893"/>
        <item x="157"/>
        <item x="607"/>
        <item x="46"/>
        <item x="482"/>
        <item x="241"/>
        <item x="156"/>
        <item x="127"/>
        <item x="153"/>
        <item x="550"/>
        <item x="280"/>
        <item x="515"/>
        <item x="805"/>
        <item x="554"/>
        <item x="512"/>
        <item x="450"/>
        <item x="479"/>
        <item x="88"/>
        <item x="698"/>
        <item x="389"/>
        <item x="90"/>
        <item x="44"/>
        <item x="320"/>
        <item x="340"/>
        <item x="308"/>
        <item x="800"/>
        <item x="122"/>
        <item x="321"/>
        <item x="431"/>
        <item x="785"/>
        <item x="15"/>
        <item x="222"/>
        <item x="94"/>
        <item x="10"/>
        <item x="559"/>
        <item x="588"/>
        <item x="553"/>
        <item x="210"/>
        <item x="237"/>
        <item x="441"/>
        <item x="434"/>
        <item x="755"/>
        <item x="235"/>
        <item x="117"/>
        <item x="474"/>
        <item x="160"/>
        <item x="587"/>
        <item x="257"/>
        <item x="318"/>
        <item x="457"/>
        <item x="492"/>
        <item x="6"/>
        <item x="491"/>
        <item x="499"/>
        <item x="728"/>
        <item x="906"/>
        <item x="692"/>
        <item x="356"/>
        <item x="816"/>
        <item x="31"/>
        <item x="719"/>
        <item x="58"/>
        <item x="309"/>
        <item x="822"/>
        <item x="651"/>
        <item x="37"/>
        <item x="889"/>
        <item x="764"/>
        <item x="516"/>
        <item x="655"/>
        <item x="819"/>
        <item x="633"/>
        <item x="696"/>
        <item x="577"/>
        <item x="726"/>
        <item x="518"/>
        <item x="147"/>
        <item x="463"/>
        <item x="618"/>
        <item x="335"/>
        <item x="848"/>
        <item x="212"/>
        <item x="75"/>
        <item x="165"/>
        <item x="115"/>
        <item x="709"/>
        <item x="739"/>
        <item x="211"/>
        <item x="3"/>
        <item x="868"/>
        <item x="467"/>
        <item x="376"/>
        <item x="61"/>
        <item x="225"/>
        <item x="495"/>
        <item x="784"/>
        <item x="254"/>
        <item x="799"/>
        <item x="259"/>
        <item x="725"/>
        <item x="888"/>
        <item x="403"/>
        <item x="567"/>
        <item x="281"/>
        <item x="908"/>
        <item x="142"/>
        <item x="546"/>
        <item x="188"/>
        <item x="14"/>
        <item x="464"/>
        <item x="184"/>
        <item x="200"/>
        <item x="751"/>
        <item x="541"/>
        <item x="600"/>
        <item x="311"/>
        <item x="319"/>
        <item x="544"/>
        <item x="63"/>
        <item x="265"/>
        <item x="295"/>
        <item x="896"/>
        <item x="746"/>
        <item x="192"/>
        <item x="620"/>
        <item x="62"/>
        <item x="17"/>
        <item x="596"/>
        <item x="132"/>
        <item x="839"/>
        <item x="285"/>
        <item x="414"/>
        <item x="591"/>
        <item x="684"/>
        <item x="689"/>
        <item x="406"/>
        <item x="796"/>
        <item x="804"/>
        <item x="91"/>
        <item x="687"/>
        <item x="824"/>
        <item x="625"/>
        <item x="897"/>
        <item x="575"/>
        <item x="628"/>
        <item x="676"/>
        <item x="387"/>
        <item x="498"/>
        <item x="446"/>
        <item x="576"/>
        <item x="49"/>
        <item x="381"/>
        <item x="769"/>
        <item x="703"/>
        <item x="593"/>
        <item x="433"/>
        <item x="548"/>
        <item x="674"/>
        <item x="616"/>
        <item x="78"/>
        <item x="864"/>
        <item x="551"/>
        <item x="801"/>
        <item x="358"/>
        <item x="776"/>
        <item x="857"/>
        <item x="120"/>
        <item x="444"/>
        <item x="844"/>
        <item x="606"/>
        <item x="594"/>
        <item x="733"/>
        <item x="388"/>
        <item x="777"/>
        <item x="187"/>
        <item x="555"/>
        <item x="24"/>
        <item x="566"/>
        <item x="712"/>
        <item x="828"/>
        <item x="317"/>
        <item x="158"/>
        <item x="313"/>
        <item x="339"/>
        <item x="438"/>
        <item x="392"/>
        <item x="244"/>
        <item x="652"/>
        <item x="297"/>
        <item x="378"/>
        <item x="177"/>
        <item x="386"/>
        <item x="779"/>
        <item x="558"/>
        <item x="811"/>
        <item x="228"/>
        <item x="657"/>
        <item x="439"/>
        <item x="621"/>
        <item x="867"/>
        <item x="590"/>
        <item x="312"/>
        <item x="440"/>
        <item x="74"/>
        <item x="329"/>
        <item x="266"/>
        <item x="429"/>
        <item x="580"/>
        <item x="110"/>
        <item x="542"/>
        <item x="853"/>
        <item x="860"/>
        <item x="879"/>
        <item x="331"/>
        <item x="293"/>
        <item x="282"/>
        <item x="12"/>
        <item x="735"/>
        <item x="326"/>
        <item x="595"/>
        <item x="136"/>
        <item x="40"/>
        <item x="408"/>
        <item x="48"/>
        <item x="634"/>
        <item x="791"/>
        <item x="236"/>
        <item x="220"/>
        <item x="179"/>
        <item x="497"/>
        <item x="345"/>
        <item x="681"/>
        <item x="648"/>
        <item x="907"/>
        <item x="905"/>
        <item x="862"/>
        <item x="26"/>
        <item x="81"/>
        <item x="535"/>
        <item x="798"/>
        <item x="186"/>
        <item x="2"/>
        <item x="827"/>
        <item x="699"/>
        <item x="597"/>
        <item x="900"/>
        <item x="413"/>
        <item x="65"/>
        <item x="578"/>
        <item x="50"/>
        <item x="129"/>
        <item x="330"/>
        <item x="418"/>
        <item x="224"/>
        <item x="56"/>
        <item x="102"/>
        <item x="752"/>
        <item x="500"/>
        <item x="797"/>
        <item x="870"/>
        <item x="626"/>
        <item x="720"/>
        <item x="398"/>
        <item x="802"/>
        <item x="4"/>
        <item x="370"/>
        <item x="649"/>
        <item x="279"/>
        <item x="821"/>
        <item x="133"/>
        <item x="641"/>
        <item x="25"/>
        <item x="193"/>
        <item x="569"/>
        <item x="871"/>
        <item x="373"/>
        <item x="274"/>
        <item x="530"/>
        <item x="646"/>
        <item x="793"/>
        <item x="64"/>
        <item x="305"/>
        <item x="713"/>
        <item x="404"/>
        <item x="194"/>
        <item x="166"/>
        <item x="103"/>
        <item x="197"/>
        <item x="818"/>
        <item x="283"/>
        <item x="223"/>
        <item x="899"/>
        <item x="922"/>
        <item x="671"/>
        <item x="581"/>
        <item x="152"/>
        <item x="708"/>
        <item x="714"/>
        <item x="334"/>
        <item x="145"/>
        <item x="355"/>
        <item x="505"/>
        <item x="472"/>
        <item x="724"/>
        <item x="744"/>
        <item x="351"/>
        <item x="146"/>
        <item x="911"/>
        <item x="465"/>
        <item x="851"/>
        <item x="470"/>
        <item x="456"/>
        <item x="226"/>
        <item x="521"/>
        <item x="727"/>
        <item x="352"/>
        <item x="471"/>
        <item x="372"/>
        <item x="854"/>
        <item x="402"/>
        <item x="658"/>
        <item x="885"/>
        <item x="672"/>
        <item x="740"/>
        <item x="823"/>
        <item x="377"/>
        <item x="124"/>
        <item x="661"/>
        <item x="82"/>
        <item x="547"/>
        <item x="232"/>
        <item x="863"/>
        <item x="562"/>
        <item x="149"/>
        <item x="261"/>
        <item x="234"/>
        <item x="789"/>
        <item x="665"/>
        <item x="199"/>
        <item x="656"/>
        <item x="610"/>
        <item x="901"/>
        <item x="1"/>
        <item x="255"/>
        <item x="36"/>
        <item x="845"/>
        <item x="787"/>
        <item x="189"/>
        <item x="877"/>
        <item x="694"/>
        <item x="855"/>
        <item x="881"/>
        <item x="856"/>
        <item x="704"/>
        <item x="369"/>
        <item x="673"/>
        <item x="173"/>
        <item x="123"/>
        <item x="353"/>
        <item x="503"/>
        <item x="393"/>
        <item x="306"/>
        <item x="85"/>
        <item x="230"/>
        <item x="169"/>
        <item x="196"/>
        <item x="478"/>
        <item x="23"/>
        <item x="536"/>
        <item x="39"/>
        <item x="302"/>
        <item x="490"/>
        <item x="890"/>
        <item x="461"/>
        <item x="348"/>
        <item x="579"/>
        <item x="750"/>
        <item x="382"/>
        <item x="915"/>
        <item x="667"/>
        <item x="424"/>
        <item x="154"/>
        <item x="850"/>
        <item x="872"/>
        <item x="106"/>
        <item x="757"/>
        <item x="738"/>
        <item x="693"/>
        <item x="832"/>
        <item x="239"/>
        <item x="903"/>
        <item x="572"/>
        <item x="248"/>
        <item x="215"/>
        <item x="614"/>
        <item x="666"/>
        <item x="636"/>
        <item x="419"/>
        <item x="216"/>
        <item x="275"/>
        <item x="185"/>
        <item x="198"/>
        <item x="34"/>
        <item x="806"/>
        <item x="586"/>
        <item x="291"/>
        <item x="163"/>
        <item x="582"/>
        <item x="643"/>
        <item x="139"/>
        <item x="758"/>
        <item x="322"/>
        <item x="537"/>
        <item x="262"/>
        <item x="894"/>
        <item x="263"/>
        <item x="436"/>
        <item x="561"/>
        <item x="425"/>
        <item x="38"/>
        <item x="137"/>
        <item x="895"/>
        <item x="428"/>
        <item x="773"/>
        <item x="209"/>
        <item x="485"/>
        <item x="107"/>
        <item x="734"/>
        <item x="794"/>
        <item x="349"/>
        <item x="396"/>
        <item x="116"/>
        <item x="27"/>
        <item x="501"/>
        <item x="765"/>
        <item x="35"/>
        <item x="221"/>
        <item x="513"/>
        <item x="347"/>
        <item x="126"/>
        <item x="762"/>
        <item x="568"/>
        <item x="481"/>
        <item x="560"/>
        <item x="604"/>
        <item x="258"/>
        <item x="178"/>
        <item x="84"/>
        <item x="686"/>
        <item x="303"/>
        <item x="916"/>
        <item x="108"/>
        <item x="7"/>
        <item x="98"/>
        <item x="483"/>
        <item x="605"/>
        <item x="0"/>
        <item x="529"/>
        <item x="843"/>
        <item x="245"/>
        <item x="364"/>
        <item x="921"/>
        <item x="213"/>
        <item x="836"/>
        <item x="447"/>
        <item x="96"/>
        <item x="100"/>
        <item x="201"/>
        <item x="826"/>
        <item x="195"/>
        <item x="617"/>
        <item x="243"/>
        <item x="77"/>
        <item x="695"/>
        <item x="599"/>
        <item x="362"/>
        <item x="736"/>
        <item x="707"/>
        <item x="570"/>
        <item x="639"/>
        <item x="400"/>
        <item x="270"/>
        <item x="268"/>
        <item x="171"/>
        <item x="803"/>
        <item x="688"/>
        <item x="359"/>
        <item x="742"/>
        <item x="771"/>
        <item x="286"/>
        <item x="138"/>
        <item x="183"/>
        <item x="706"/>
        <item x="645"/>
        <item x="760"/>
        <item x="912"/>
        <item x="837"/>
        <item x="449"/>
        <item x="72"/>
        <item x="721"/>
        <item x="874"/>
        <item x="327"/>
        <item x="520"/>
        <item x="574"/>
        <item x="299"/>
        <item x="838"/>
        <item x="741"/>
        <item x="583"/>
        <item x="458"/>
        <item x="114"/>
        <item x="831"/>
        <item x="251"/>
        <item x="635"/>
        <item x="923"/>
        <item x="460"/>
        <item x="523"/>
        <item x="316"/>
        <item x="556"/>
        <item x="506"/>
        <item x="105"/>
        <item x="93"/>
        <item x="898"/>
        <item x="914"/>
        <item x="164"/>
        <item x="715"/>
        <item x="745"/>
        <item x="383"/>
        <item x="135"/>
        <item x="527"/>
        <item x="325"/>
        <item x="589"/>
        <item x="227"/>
        <item x="252"/>
        <item x="585"/>
        <item x="814"/>
        <item x="514"/>
        <item x="869"/>
        <item x="101"/>
        <item x="182"/>
        <item x="780"/>
        <item x="564"/>
        <item x="603"/>
        <item x="662"/>
        <item x="882"/>
        <item x="508"/>
        <item x="300"/>
        <item x="52"/>
        <item x="454"/>
        <item x="859"/>
        <item x="737"/>
        <item x="391"/>
        <item x="730"/>
        <item x="507"/>
        <item x="32"/>
        <item x="42"/>
        <item x="28"/>
        <item x="829"/>
        <item x="92"/>
        <item x="770"/>
        <item x="475"/>
        <item x="410"/>
        <item x="563"/>
        <item x="57"/>
        <item x="807"/>
        <item x="522"/>
        <item x="493"/>
        <item x="267"/>
        <item x="118"/>
        <item x="637"/>
        <item x="611"/>
        <item x="812"/>
        <item x="631"/>
        <item x="861"/>
        <item x="452"/>
        <item x="80"/>
        <item x="365"/>
        <item x="682"/>
        <item x="717"/>
        <item x="363"/>
        <item x="278"/>
        <item x="130"/>
        <item x="143"/>
        <item x="817"/>
        <item x="886"/>
        <item x="121"/>
        <item x="128"/>
        <item x="842"/>
        <item x="20"/>
        <item x="813"/>
        <item x="690"/>
        <item x="759"/>
        <item x="45"/>
        <item x="778"/>
        <item x="112"/>
        <item x="55"/>
        <item x="638"/>
        <item x="716"/>
        <item x="790"/>
        <item x="144"/>
        <item x="83"/>
        <item x="202"/>
        <item x="788"/>
        <item x="552"/>
        <item x="301"/>
        <item x="722"/>
        <item x="109"/>
        <item x="477"/>
        <item x="624"/>
        <item x="756"/>
        <item x="743"/>
        <item x="504"/>
        <item x="918"/>
        <item x="233"/>
        <item x="711"/>
        <item x="95"/>
        <item x="663"/>
        <item x="747"/>
        <item x="466"/>
        <item x="405"/>
        <item x="421"/>
        <item x="753"/>
        <item x="13"/>
        <item x="473"/>
        <item x="390"/>
        <item x="772"/>
        <item x="622"/>
        <item x="249"/>
        <item x="774"/>
        <item x="217"/>
        <item x="328"/>
        <item x="543"/>
        <item x="702"/>
        <item x="841"/>
        <item x="338"/>
        <item x="763"/>
        <item x="455"/>
        <item x="781"/>
        <item x="276"/>
        <item x="9"/>
        <item x="247"/>
        <item x="691"/>
        <item x="809"/>
        <item x="782"/>
        <item x="849"/>
        <item x="214"/>
        <item x="476"/>
        <item x="104"/>
        <item x="71"/>
        <item x="664"/>
        <item x="134"/>
        <item x="29"/>
        <item x="87"/>
        <item x="191"/>
        <item x="70"/>
        <item x="155"/>
        <item x="161"/>
        <item x="368"/>
        <item x="910"/>
        <item x="538"/>
        <item x="453"/>
        <item x="510"/>
        <item x="250"/>
        <item x="357"/>
        <item x="384"/>
        <item x="140"/>
        <item x="524"/>
        <item x="41"/>
        <item x="917"/>
        <item x="208"/>
        <item x="346"/>
        <item x="336"/>
        <item x="913"/>
        <item x="47"/>
        <item x="668"/>
        <item x="69"/>
        <item x="488"/>
        <item x="539"/>
        <item x="808"/>
        <item x="99"/>
        <item x="16"/>
        <item x="710"/>
        <item x="525"/>
        <item x="445"/>
        <item x="354"/>
        <item x="887"/>
        <item x="602"/>
        <item x="380"/>
        <item x="835"/>
        <item x="304"/>
        <item x="30"/>
        <item x="288"/>
        <item x="519"/>
        <item x="19"/>
        <item x="549"/>
        <item x="557"/>
        <item x="307"/>
        <item x="669"/>
        <item x="426"/>
        <item x="420"/>
        <item x="371"/>
        <item x="148"/>
        <item x="33"/>
        <item x="767"/>
        <item x="810"/>
        <item x="615"/>
        <item x="875"/>
        <item x="846"/>
        <item x="119"/>
        <item x="573"/>
        <item x="659"/>
        <item x="670"/>
        <item x="315"/>
        <item x="385"/>
        <item x="242"/>
        <item x="231"/>
        <item x="654"/>
        <item x="748"/>
        <item x="865"/>
        <item x="350"/>
        <item x="511"/>
        <item x="333"/>
        <item x="815"/>
        <item x="131"/>
        <item x="253"/>
        <item x="412"/>
        <item x="884"/>
        <item x="443"/>
        <item x="486"/>
        <item x="685"/>
        <item x="190"/>
        <item x="598"/>
        <item x="731"/>
        <item x="873"/>
        <item x="176"/>
        <item x="298"/>
        <item x="341"/>
        <item x="168"/>
        <item x="531"/>
        <item x="79"/>
        <item x="754"/>
        <item x="783"/>
        <item x="264"/>
        <item x="792"/>
        <item x="540"/>
        <item x="170"/>
        <item x="909"/>
        <item x="830"/>
        <item x="545"/>
        <item x="43"/>
        <item x="619"/>
        <item x="795"/>
        <item x="840"/>
        <item x="294"/>
        <item x="375"/>
        <item x="629"/>
        <item x="296"/>
        <item x="487"/>
        <item x="891"/>
        <item x="361"/>
        <item x="310"/>
        <item x="324"/>
        <item x="427"/>
        <item x="902"/>
        <item x="749"/>
        <item x="379"/>
        <item x="271"/>
        <item x="825"/>
        <item x="60"/>
        <item x="21"/>
        <item x="289"/>
        <item x="366"/>
        <item x="766"/>
        <item x="273"/>
        <item x="76"/>
        <item x="256"/>
        <item x="97"/>
        <item x="89"/>
        <item x="167"/>
        <item x="442"/>
        <item x="904"/>
        <item x="533"/>
        <item x="623"/>
        <item x="642"/>
        <item x="18"/>
        <item x="54"/>
        <item x="653"/>
        <item x="53"/>
        <item x="480"/>
        <item x="218"/>
        <item x="113"/>
        <item x="852"/>
        <item x="287"/>
        <item x="59"/>
        <item x="920"/>
        <item x="240"/>
        <item x="892"/>
        <item x="484"/>
        <item x="632"/>
        <item x="411"/>
        <item x="159"/>
        <item x="360"/>
        <item x="219"/>
        <item x="697"/>
        <item x="630"/>
        <item x="876"/>
        <item x="417"/>
        <item x="723"/>
        <item x="880"/>
        <item x="613"/>
        <item x="162"/>
        <item x="204"/>
        <item x="437"/>
        <item x="608"/>
        <item x="111"/>
        <item x="284"/>
        <item x="344"/>
        <item x="534"/>
        <item x="343"/>
        <item x="675"/>
        <item x="469"/>
        <item x="644"/>
        <item x="151"/>
        <item x="430"/>
        <item x="683"/>
        <item x="847"/>
        <item x="397"/>
        <item x="584"/>
        <item x="172"/>
        <item x="496"/>
        <item x="834"/>
        <item x="732"/>
        <item x="571"/>
        <item t="default"/>
      </items>
    </pivotField>
    <pivotField showAll="0"/>
    <pivotField showAll="0">
      <items count="6">
        <item x="2"/>
        <item x="1"/>
        <item x="0"/>
        <item x="3"/>
        <item x="4"/>
        <item t="default"/>
      </items>
    </pivotField>
    <pivotField showAll="0"/>
    <pivotField numFmtId="1" showAll="0"/>
    <pivotField name="Subscription Tier" axis="axisPage" showAll="0" nonAutoSortDefault="1">
      <items count="4">
        <item x="0"/>
        <item x="1"/>
        <item x="2"/>
        <item t="default"/>
      </items>
    </pivotField>
    <pivotField numFmtId="164" showAll="0"/>
    <pivotField showAll="0"/>
    <pivotField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6">
        <item n="0-20" sd="0" x="0"/>
        <item n="21-40" sd="0" x="1"/>
        <item n="41-60" sd="0" x="2"/>
        <item n="61-80" sd="0" x="3"/>
        <item n="81-100" sd="0" x="4"/>
        <item t="default"/>
      </items>
    </pivotField>
    <pivotField showAll="0">
      <items count="6">
        <item x="0"/>
        <item x="1"/>
        <item x="2"/>
        <item x="3"/>
        <item x="4"/>
        <item t="default"/>
      </items>
    </pivotField>
  </pivotFields>
  <rowFields count="1">
    <field x="12"/>
  </rowFields>
  <rowItems count="8">
    <i>
      <x/>
    </i>
    <i>
      <x v="1"/>
    </i>
    <i>
      <x v="2"/>
    </i>
    <i>
      <x v="3"/>
    </i>
    <i>
      <x v="4"/>
    </i>
    <i>
      <x v="5"/>
    </i>
    <i>
      <x v="6"/>
    </i>
    <i t="grand">
      <x/>
    </i>
  </rowItems>
  <colFields count="1">
    <field x="13"/>
  </colFields>
  <colItems count="4">
    <i>
      <x/>
    </i>
    <i>
      <x v="1"/>
    </i>
    <i>
      <x v="2"/>
    </i>
    <i>
      <x v="3"/>
    </i>
  </colItems>
  <pageFields count="1">
    <pageField fld="24" hier="-1"/>
  </pageFields>
  <dataFields count="1">
    <dataField name="Count of User_ID" fld="0" subtotal="count" baseField="0" baseItem="0"/>
  </dataFields>
  <formats count="12">
    <format dxfId="216">
      <pivotArea type="all" dataOnly="0" outline="0" fieldPosition="0"/>
    </format>
    <format dxfId="215">
      <pivotArea outline="0" collapsedLevelsAreSubtotals="1" fieldPosition="0"/>
    </format>
    <format dxfId="214">
      <pivotArea field="24" type="button" dataOnly="0" labelOnly="1" outline="0" axis="axisPage" fieldPosition="0"/>
    </format>
    <format dxfId="213">
      <pivotArea dataOnly="0" labelOnly="1" grandRow="1" outline="0" fieldPosition="0"/>
    </format>
    <format dxfId="212">
      <pivotArea type="all" dataOnly="0" outline="0" fieldPosition="0"/>
    </format>
    <format dxfId="211">
      <pivotArea outline="0" collapsedLevelsAreSubtotals="1" fieldPosition="0"/>
    </format>
    <format dxfId="210">
      <pivotArea field="24" type="button" dataOnly="0" labelOnly="1" outline="0" axis="axisPage" fieldPosition="0"/>
    </format>
    <format dxfId="209">
      <pivotArea dataOnly="0" labelOnly="1" grandRow="1" outline="0" fieldPosition="0"/>
    </format>
    <format dxfId="208">
      <pivotArea type="all" dataOnly="0" outline="0" fieldPosition="0"/>
    </format>
    <format dxfId="207">
      <pivotArea outline="0" collapsedLevelsAreSubtotals="1" fieldPosition="0"/>
    </format>
    <format dxfId="206">
      <pivotArea field="24" type="button" dataOnly="0" labelOnly="1" outline="0" axis="axisPage" fieldPosition="0"/>
    </format>
    <format dxfId="205">
      <pivotArea field="24" type="button" dataOnly="0" labelOnly="1" outline="0" axis="axisPage" fieldPosition="0"/>
    </format>
  </format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A827637-0FB4-4CD9-AC1D-EDF7FAD749C7}" name="5. Payment Preferences &amp; Regional Trends 1.3" cacheId="0"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9" rowHeaderCaption="Country Name">
  <location ref="AJ30:AL37" firstHeaderRow="0" firstDataRow="1" firstDataCol="1"/>
  <pivotFields count="34">
    <pivotField dataField="1" numFmtId="1" showAll="0"/>
    <pivotField showAll="0"/>
    <pivotField numFmtId="14" showAll="0">
      <items count="538">
        <item x="91"/>
        <item x="302"/>
        <item x="102"/>
        <item x="424"/>
        <item x="54"/>
        <item x="127"/>
        <item x="51"/>
        <item x="274"/>
        <item x="137"/>
        <item x="53"/>
        <item x="201"/>
        <item x="417"/>
        <item x="218"/>
        <item x="228"/>
        <item x="374"/>
        <item x="524"/>
        <item x="484"/>
        <item x="514"/>
        <item x="470"/>
        <item x="513"/>
        <item x="333"/>
        <item x="463"/>
        <item x="368"/>
        <item x="222"/>
        <item x="176"/>
        <item x="119"/>
        <item x="255"/>
        <item x="270"/>
        <item x="281"/>
        <item x="251"/>
        <item x="344"/>
        <item x="497"/>
        <item x="3"/>
        <item x="200"/>
        <item x="58"/>
        <item x="504"/>
        <item x="86"/>
        <item x="147"/>
        <item x="116"/>
        <item x="224"/>
        <item x="359"/>
        <item x="478"/>
        <item x="440"/>
        <item x="16"/>
        <item x="242"/>
        <item x="471"/>
        <item x="100"/>
        <item x="507"/>
        <item x="65"/>
        <item x="128"/>
        <item x="233"/>
        <item x="131"/>
        <item x="217"/>
        <item x="152"/>
        <item x="372"/>
        <item x="62"/>
        <item x="397"/>
        <item x="393"/>
        <item x="204"/>
        <item x="364"/>
        <item x="139"/>
        <item x="112"/>
        <item x="253"/>
        <item x="475"/>
        <item x="518"/>
        <item x="151"/>
        <item x="378"/>
        <item x="264"/>
        <item x="123"/>
        <item x="269"/>
        <item x="353"/>
        <item x="453"/>
        <item x="45"/>
        <item x="47"/>
        <item x="12"/>
        <item x="10"/>
        <item x="361"/>
        <item x="108"/>
        <item x="1"/>
        <item x="42"/>
        <item x="408"/>
        <item x="428"/>
        <item x="334"/>
        <item x="367"/>
        <item x="459"/>
        <item x="275"/>
        <item x="64"/>
        <item x="410"/>
        <item x="90"/>
        <item x="505"/>
        <item x="241"/>
        <item x="154"/>
        <item x="336"/>
        <item x="306"/>
        <item x="232"/>
        <item x="211"/>
        <item x="413"/>
        <item x="44"/>
        <item x="491"/>
        <item x="494"/>
        <item x="80"/>
        <item x="427"/>
        <item x="124"/>
        <item x="132"/>
        <item x="400"/>
        <item x="324"/>
        <item x="177"/>
        <item x="480"/>
        <item x="130"/>
        <item x="172"/>
        <item x="0"/>
        <item x="190"/>
        <item x="315"/>
        <item x="366"/>
        <item x="392"/>
        <item x="282"/>
        <item x="181"/>
        <item x="194"/>
        <item x="318"/>
        <item x="266"/>
        <item x="369"/>
        <item x="461"/>
        <item x="230"/>
        <item x="532"/>
        <item x="257"/>
        <item x="178"/>
        <item x="17"/>
        <item x="469"/>
        <item x="351"/>
        <item x="4"/>
        <item x="14"/>
        <item x="173"/>
        <item x="148"/>
        <item x="175"/>
        <item x="405"/>
        <item x="339"/>
        <item x="509"/>
        <item x="8"/>
        <item x="156"/>
        <item x="25"/>
        <item x="98"/>
        <item x="519"/>
        <item x="31"/>
        <item x="391"/>
        <item x="60"/>
        <item x="506"/>
        <item x="220"/>
        <item x="434"/>
        <item x="454"/>
        <item x="19"/>
        <item x="164"/>
        <item x="402"/>
        <item x="373"/>
        <item x="273"/>
        <item x="294"/>
        <item x="199"/>
        <item x="20"/>
        <item x="41"/>
        <item x="476"/>
        <item x="244"/>
        <item x="510"/>
        <item x="94"/>
        <item x="468"/>
        <item x="229"/>
        <item x="49"/>
        <item x="239"/>
        <item x="395"/>
        <item x="68"/>
        <item x="2"/>
        <item x="88"/>
        <item x="250"/>
        <item x="236"/>
        <item x="101"/>
        <item x="436"/>
        <item x="247"/>
        <item x="260"/>
        <item x="189"/>
        <item x="515"/>
        <item x="183"/>
        <item x="37"/>
        <item x="75"/>
        <item x="398"/>
        <item x="482"/>
        <item x="335"/>
        <item x="330"/>
        <item x="511"/>
        <item x="296"/>
        <item x="208"/>
        <item x="213"/>
        <item x="399"/>
        <item x="46"/>
        <item x="206"/>
        <item x="288"/>
        <item x="133"/>
        <item x="69"/>
        <item x="457"/>
        <item x="197"/>
        <item x="409"/>
        <item x="337"/>
        <item x="84"/>
        <item x="486"/>
        <item x="383"/>
        <item x="35"/>
        <item x="442"/>
        <item x="5"/>
        <item x="381"/>
        <item x="293"/>
        <item x="18"/>
        <item x="467"/>
        <item x="23"/>
        <item x="425"/>
        <item x="162"/>
        <item x="423"/>
        <item x="332"/>
        <item x="271"/>
        <item x="106"/>
        <item x="346"/>
        <item x="113"/>
        <item x="477"/>
        <item x="437"/>
        <item x="422"/>
        <item x="57"/>
        <item x="67"/>
        <item x="223"/>
        <item x="153"/>
        <item x="140"/>
        <item x="87"/>
        <item x="82"/>
        <item x="231"/>
        <item x="73"/>
        <item x="501"/>
        <item x="305"/>
        <item x="89"/>
        <item x="431"/>
        <item x="340"/>
        <item x="143"/>
        <item x="456"/>
        <item x="472"/>
        <item x="341"/>
        <item x="298"/>
        <item x="529"/>
        <item x="326"/>
        <item x="212"/>
        <item x="195"/>
        <item x="347"/>
        <item x="462"/>
        <item x="196"/>
        <item x="22"/>
        <item x="388"/>
        <item x="534"/>
        <item x="120"/>
        <item x="536"/>
        <item x="66"/>
        <item x="32"/>
        <item x="517"/>
        <item x="285"/>
        <item x="9"/>
        <item x="492"/>
        <item x="170"/>
        <item x="72"/>
        <item x="327"/>
        <item x="96"/>
        <item x="184"/>
        <item x="329"/>
        <item x="371"/>
        <item x="320"/>
        <item x="342"/>
        <item x="377"/>
        <item x="452"/>
        <item x="527"/>
        <item x="81"/>
        <item x="56"/>
        <item x="418"/>
        <item x="406"/>
        <item x="262"/>
        <item x="522"/>
        <item x="209"/>
        <item x="263"/>
        <item x="61"/>
        <item x="307"/>
        <item x="74"/>
        <item x="357"/>
        <item x="286"/>
        <item x="205"/>
        <item x="261"/>
        <item x="443"/>
        <item x="414"/>
        <item x="203"/>
        <item x="33"/>
        <item x="126"/>
        <item x="248"/>
        <item x="142"/>
        <item x="280"/>
        <item x="394"/>
        <item x="287"/>
        <item x="243"/>
        <item x="110"/>
        <item x="317"/>
        <item x="303"/>
        <item x="161"/>
        <item x="489"/>
        <item x="215"/>
        <item x="27"/>
        <item x="144"/>
        <item x="121"/>
        <item x="246"/>
        <item x="321"/>
        <item x="163"/>
        <item x="525"/>
        <item x="104"/>
        <item x="415"/>
        <item x="92"/>
        <item x="419"/>
        <item x="38"/>
        <item x="438"/>
        <item x="309"/>
        <item x="150"/>
        <item x="473"/>
        <item x="171"/>
        <item x="155"/>
        <item x="348"/>
        <item x="198"/>
        <item x="185"/>
        <item x="387"/>
        <item x="83"/>
        <item x="426"/>
        <item x="11"/>
        <item x="103"/>
        <item x="375"/>
        <item x="354"/>
        <item x="495"/>
        <item x="219"/>
        <item x="498"/>
        <item x="432"/>
        <item x="531"/>
        <item x="252"/>
        <item x="63"/>
        <item x="99"/>
        <item x="355"/>
        <item x="328"/>
        <item x="358"/>
        <item x="202"/>
        <item x="180"/>
        <item x="157"/>
        <item x="28"/>
        <item x="379"/>
        <item x="444"/>
        <item x="445"/>
        <item x="138"/>
        <item x="533"/>
        <item x="52"/>
        <item x="450"/>
        <item x="412"/>
        <item x="43"/>
        <item x="420"/>
        <item x="272"/>
        <item x="370"/>
        <item x="526"/>
        <item x="290"/>
        <item x="292"/>
        <item x="283"/>
        <item x="300"/>
        <item x="343"/>
        <item x="384"/>
        <item x="210"/>
        <item x="535"/>
        <item x="145"/>
        <item x="401"/>
        <item x="523"/>
        <item x="403"/>
        <item x="179"/>
        <item x="350"/>
        <item x="169"/>
        <item x="512"/>
        <item x="439"/>
        <item x="310"/>
        <item x="256"/>
        <item x="235"/>
        <item x="376"/>
        <item x="363"/>
        <item x="396"/>
        <item x="24"/>
        <item x="254"/>
        <item x="15"/>
        <item x="149"/>
        <item x="26"/>
        <item x="465"/>
        <item x="458"/>
        <item x="520"/>
        <item x="490"/>
        <item x="352"/>
        <item x="118"/>
        <item x="7"/>
        <item x="93"/>
        <item x="221"/>
        <item x="214"/>
        <item x="356"/>
        <item x="521"/>
        <item x="345"/>
        <item x="386"/>
        <item x="448"/>
        <item x="441"/>
        <item x="429"/>
        <item x="502"/>
        <item x="21"/>
        <item x="182"/>
        <item x="365"/>
        <item x="141"/>
        <item x="48"/>
        <item x="500"/>
        <item x="299"/>
        <item x="226"/>
        <item x="338"/>
        <item x="85"/>
        <item x="481"/>
        <item x="411"/>
        <item x="488"/>
        <item x="297"/>
        <item x="29"/>
        <item x="167"/>
        <item x="97"/>
        <item x="70"/>
        <item x="447"/>
        <item x="238"/>
        <item x="109"/>
        <item x="380"/>
        <item x="325"/>
        <item x="466"/>
        <item x="389"/>
        <item x="165"/>
        <item x="404"/>
        <item x="71"/>
        <item x="277"/>
        <item x="77"/>
        <item x="291"/>
        <item x="446"/>
        <item x="455"/>
        <item x="289"/>
        <item x="237"/>
        <item x="295"/>
        <item x="362"/>
        <item x="349"/>
        <item x="528"/>
        <item x="39"/>
        <item x="174"/>
        <item x="508"/>
        <item x="258"/>
        <item x="135"/>
        <item x="168"/>
        <item x="493"/>
        <item x="187"/>
        <item x="268"/>
        <item x="483"/>
        <item x="78"/>
        <item x="304"/>
        <item x="474"/>
        <item x="6"/>
        <item x="301"/>
        <item x="284"/>
        <item x="79"/>
        <item x="186"/>
        <item x="276"/>
        <item x="433"/>
        <item x="499"/>
        <item x="216"/>
        <item x="323"/>
        <item x="55"/>
        <item x="278"/>
        <item x="193"/>
        <item x="316"/>
        <item x="13"/>
        <item x="279"/>
        <item x="40"/>
        <item x="314"/>
        <item x="191"/>
        <item x="146"/>
        <item x="416"/>
        <item x="207"/>
        <item x="227"/>
        <item x="259"/>
        <item x="105"/>
        <item x="249"/>
        <item x="516"/>
        <item x="136"/>
        <item x="36"/>
        <item x="312"/>
        <item x="34"/>
        <item x="319"/>
        <item x="503"/>
        <item x="331"/>
        <item x="240"/>
        <item x="421"/>
        <item x="192"/>
        <item x="311"/>
        <item x="267"/>
        <item x="117"/>
        <item x="496"/>
        <item x="134"/>
        <item x="390"/>
        <item x="449"/>
        <item x="76"/>
        <item x="160"/>
        <item x="360"/>
        <item x="385"/>
        <item x="460"/>
        <item x="166"/>
        <item x="234"/>
        <item x="245"/>
        <item x="95"/>
        <item x="50"/>
        <item x="407"/>
        <item x="322"/>
        <item x="265"/>
        <item x="464"/>
        <item x="479"/>
        <item x="487"/>
        <item x="451"/>
        <item x="115"/>
        <item x="159"/>
        <item x="225"/>
        <item x="111"/>
        <item x="308"/>
        <item x="122"/>
        <item x="114"/>
        <item x="59"/>
        <item x="382"/>
        <item x="129"/>
        <item x="188"/>
        <item x="485"/>
        <item x="107"/>
        <item x="158"/>
        <item x="530"/>
        <item x="30"/>
        <item x="125"/>
        <item x="313"/>
        <item x="430"/>
        <item x="435"/>
        <item t="default"/>
      </items>
    </pivotField>
    <pivotField numFmtId="14" showAll="0"/>
    <pivotField numFmtId="165" showAll="0"/>
    <pivotField dataField="1" numFmtId="1" showAll="0"/>
    <pivotField showAll="0">
      <items count="8">
        <item x="0"/>
        <item x="5"/>
        <item x="3"/>
        <item x="1"/>
        <item x="4"/>
        <item x="6"/>
        <item x="2"/>
        <item t="default"/>
      </items>
    </pivotField>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pivotField axis="axisRow" showAll="0">
      <items count="7">
        <item x="4"/>
        <item x="5"/>
        <item x="1"/>
        <item x="0"/>
        <item x="2"/>
        <item x="3"/>
        <item t="default"/>
      </items>
    </pivotField>
    <pivotField numFmtId="1" showAll="0">
      <items count="102">
        <item x="13"/>
        <item x="6"/>
        <item x="99"/>
        <item x="20"/>
        <item x="69"/>
        <item x="78"/>
        <item x="65"/>
        <item x="34"/>
        <item x="39"/>
        <item x="87"/>
        <item x="95"/>
        <item x="17"/>
        <item x="32"/>
        <item x="44"/>
        <item x="31"/>
        <item x="48"/>
        <item x="88"/>
        <item x="71"/>
        <item x="57"/>
        <item x="96"/>
        <item x="66"/>
        <item x="68"/>
        <item x="46"/>
        <item x="73"/>
        <item x="50"/>
        <item x="14"/>
        <item x="8"/>
        <item x="21"/>
        <item x="72"/>
        <item x="94"/>
        <item x="55"/>
        <item x="97"/>
        <item x="7"/>
        <item x="36"/>
        <item x="91"/>
        <item x="93"/>
        <item x="58"/>
        <item x="86"/>
        <item x="11"/>
        <item x="4"/>
        <item x="42"/>
        <item x="81"/>
        <item x="19"/>
        <item x="80"/>
        <item x="52"/>
        <item x="30"/>
        <item x="63"/>
        <item x="3"/>
        <item x="60"/>
        <item x="77"/>
        <item x="16"/>
        <item x="82"/>
        <item x="64"/>
        <item x="56"/>
        <item x="84"/>
        <item x="38"/>
        <item x="2"/>
        <item x="10"/>
        <item x="27"/>
        <item x="76"/>
        <item x="22"/>
        <item x="47"/>
        <item x="12"/>
        <item x="40"/>
        <item x="61"/>
        <item x="15"/>
        <item x="29"/>
        <item x="79"/>
        <item x="53"/>
        <item x="1"/>
        <item x="85"/>
        <item x="5"/>
        <item x="35"/>
        <item x="59"/>
        <item x="98"/>
        <item x="100"/>
        <item x="24"/>
        <item x="70"/>
        <item x="18"/>
        <item x="37"/>
        <item x="54"/>
        <item x="74"/>
        <item x="45"/>
        <item x="75"/>
        <item x="0"/>
        <item x="26"/>
        <item x="89"/>
        <item x="62"/>
        <item x="51"/>
        <item x="83"/>
        <item x="9"/>
        <item x="23"/>
        <item x="92"/>
        <item x="67"/>
        <item x="43"/>
        <item x="49"/>
        <item x="41"/>
        <item x="28"/>
        <item x="25"/>
        <item x="33"/>
        <item x="90"/>
        <item t="default"/>
      </items>
    </pivotField>
    <pivotField numFmtId="164" showAll="0"/>
    <pivotField showAll="0"/>
    <pivotField showAll="0"/>
    <pivotField numFmtId="1" showAll="0">
      <items count="925">
        <item x="820"/>
        <item x="647"/>
        <item x="269"/>
        <item x="416"/>
        <item x="448"/>
        <item x="701"/>
        <item x="5"/>
        <item x="919"/>
        <item x="73"/>
        <item x="680"/>
        <item x="640"/>
        <item x="290"/>
        <item x="407"/>
        <item x="395"/>
        <item x="423"/>
        <item x="272"/>
        <item x="409"/>
        <item x="332"/>
        <item x="422"/>
        <item x="205"/>
        <item x="150"/>
        <item x="609"/>
        <item x="565"/>
        <item x="435"/>
        <item x="206"/>
        <item x="180"/>
        <item x="125"/>
        <item x="509"/>
        <item x="203"/>
        <item x="323"/>
        <item x="342"/>
        <item x="314"/>
        <item x="718"/>
        <item x="761"/>
        <item x="858"/>
        <item x="432"/>
        <item x="592"/>
        <item x="141"/>
        <item x="459"/>
        <item x="11"/>
        <item x="175"/>
        <item x="174"/>
        <item x="528"/>
        <item x="786"/>
        <item x="705"/>
        <item x="394"/>
        <item x="229"/>
        <item x="207"/>
        <item x="883"/>
        <item x="86"/>
        <item x="532"/>
        <item x="451"/>
        <item x="374"/>
        <item x="878"/>
        <item x="833"/>
        <item x="700"/>
        <item x="526"/>
        <item x="22"/>
        <item x="292"/>
        <item x="246"/>
        <item x="494"/>
        <item x="679"/>
        <item x="601"/>
        <item x="367"/>
        <item x="399"/>
        <item x="337"/>
        <item x="8"/>
        <item x="677"/>
        <item x="401"/>
        <item x="68"/>
        <item x="66"/>
        <item x="468"/>
        <item x="260"/>
        <item x="517"/>
        <item x="729"/>
        <item x="277"/>
        <item x="502"/>
        <item x="650"/>
        <item x="866"/>
        <item x="627"/>
        <item x="612"/>
        <item x="462"/>
        <item x="415"/>
        <item x="660"/>
        <item x="67"/>
        <item x="489"/>
        <item x="238"/>
        <item x="775"/>
        <item x="678"/>
        <item x="768"/>
        <item x="51"/>
        <item x="181"/>
        <item x="893"/>
        <item x="157"/>
        <item x="607"/>
        <item x="46"/>
        <item x="482"/>
        <item x="241"/>
        <item x="156"/>
        <item x="127"/>
        <item x="153"/>
        <item x="550"/>
        <item x="280"/>
        <item x="515"/>
        <item x="805"/>
        <item x="554"/>
        <item x="512"/>
        <item x="450"/>
        <item x="479"/>
        <item x="88"/>
        <item x="698"/>
        <item x="389"/>
        <item x="90"/>
        <item x="44"/>
        <item x="320"/>
        <item x="340"/>
        <item x="308"/>
        <item x="800"/>
        <item x="122"/>
        <item x="321"/>
        <item x="431"/>
        <item x="785"/>
        <item x="15"/>
        <item x="222"/>
        <item x="94"/>
        <item x="10"/>
        <item x="559"/>
        <item x="588"/>
        <item x="553"/>
        <item x="210"/>
        <item x="237"/>
        <item x="441"/>
        <item x="434"/>
        <item x="755"/>
        <item x="235"/>
        <item x="117"/>
        <item x="474"/>
        <item x="160"/>
        <item x="587"/>
        <item x="257"/>
        <item x="318"/>
        <item x="457"/>
        <item x="492"/>
        <item x="6"/>
        <item x="491"/>
        <item x="499"/>
        <item x="728"/>
        <item x="906"/>
        <item x="692"/>
        <item x="356"/>
        <item x="816"/>
        <item x="31"/>
        <item x="719"/>
        <item x="58"/>
        <item x="309"/>
        <item x="822"/>
        <item x="651"/>
        <item x="37"/>
        <item x="889"/>
        <item x="764"/>
        <item x="516"/>
        <item x="655"/>
        <item x="819"/>
        <item x="633"/>
        <item x="696"/>
        <item x="577"/>
        <item x="726"/>
        <item x="518"/>
        <item x="147"/>
        <item x="463"/>
        <item x="618"/>
        <item x="335"/>
        <item x="848"/>
        <item x="212"/>
        <item x="75"/>
        <item x="165"/>
        <item x="115"/>
        <item x="709"/>
        <item x="739"/>
        <item x="211"/>
        <item x="3"/>
        <item x="868"/>
        <item x="467"/>
        <item x="376"/>
        <item x="61"/>
        <item x="225"/>
        <item x="495"/>
        <item x="784"/>
        <item x="254"/>
        <item x="799"/>
        <item x="259"/>
        <item x="725"/>
        <item x="888"/>
        <item x="403"/>
        <item x="567"/>
        <item x="281"/>
        <item x="908"/>
        <item x="142"/>
        <item x="546"/>
        <item x="188"/>
        <item x="14"/>
        <item x="464"/>
        <item x="184"/>
        <item x="200"/>
        <item x="751"/>
        <item x="541"/>
        <item x="600"/>
        <item x="311"/>
        <item x="319"/>
        <item x="544"/>
        <item x="63"/>
        <item x="265"/>
        <item x="295"/>
        <item x="896"/>
        <item x="746"/>
        <item x="192"/>
        <item x="620"/>
        <item x="62"/>
        <item x="17"/>
        <item x="596"/>
        <item x="132"/>
        <item x="839"/>
        <item x="285"/>
        <item x="414"/>
        <item x="591"/>
        <item x="684"/>
        <item x="689"/>
        <item x="406"/>
        <item x="796"/>
        <item x="804"/>
        <item x="91"/>
        <item x="687"/>
        <item x="824"/>
        <item x="625"/>
        <item x="897"/>
        <item x="575"/>
        <item x="628"/>
        <item x="676"/>
        <item x="387"/>
        <item x="498"/>
        <item x="446"/>
        <item x="576"/>
        <item x="49"/>
        <item x="381"/>
        <item x="769"/>
        <item x="703"/>
        <item x="593"/>
        <item x="433"/>
        <item x="548"/>
        <item x="674"/>
        <item x="616"/>
        <item x="78"/>
        <item x="864"/>
        <item x="551"/>
        <item x="801"/>
        <item x="358"/>
        <item x="776"/>
        <item x="857"/>
        <item x="120"/>
        <item x="444"/>
        <item x="844"/>
        <item x="606"/>
        <item x="594"/>
        <item x="733"/>
        <item x="388"/>
        <item x="777"/>
        <item x="187"/>
        <item x="555"/>
        <item x="24"/>
        <item x="566"/>
        <item x="712"/>
        <item x="828"/>
        <item x="317"/>
        <item x="158"/>
        <item x="313"/>
        <item x="339"/>
        <item x="438"/>
        <item x="392"/>
        <item x="244"/>
        <item x="652"/>
        <item x="297"/>
        <item x="378"/>
        <item x="177"/>
        <item x="386"/>
        <item x="779"/>
        <item x="558"/>
        <item x="811"/>
        <item x="228"/>
        <item x="657"/>
        <item x="439"/>
        <item x="621"/>
        <item x="867"/>
        <item x="590"/>
        <item x="312"/>
        <item x="440"/>
        <item x="74"/>
        <item x="329"/>
        <item x="266"/>
        <item x="429"/>
        <item x="580"/>
        <item x="110"/>
        <item x="542"/>
        <item x="853"/>
        <item x="860"/>
        <item x="879"/>
        <item x="331"/>
        <item x="293"/>
        <item x="282"/>
        <item x="12"/>
        <item x="735"/>
        <item x="326"/>
        <item x="595"/>
        <item x="136"/>
        <item x="40"/>
        <item x="408"/>
        <item x="48"/>
        <item x="634"/>
        <item x="791"/>
        <item x="236"/>
        <item x="220"/>
        <item x="179"/>
        <item x="497"/>
        <item x="345"/>
        <item x="681"/>
        <item x="648"/>
        <item x="907"/>
        <item x="905"/>
        <item x="862"/>
        <item x="26"/>
        <item x="81"/>
        <item x="535"/>
        <item x="798"/>
        <item x="186"/>
        <item x="2"/>
        <item x="827"/>
        <item x="699"/>
        <item x="597"/>
        <item x="900"/>
        <item x="413"/>
        <item x="65"/>
        <item x="578"/>
        <item x="50"/>
        <item x="129"/>
        <item x="330"/>
        <item x="418"/>
        <item x="224"/>
        <item x="56"/>
        <item x="102"/>
        <item x="752"/>
        <item x="500"/>
        <item x="797"/>
        <item x="870"/>
        <item x="626"/>
        <item x="720"/>
        <item x="398"/>
        <item x="802"/>
        <item x="4"/>
        <item x="370"/>
        <item x="649"/>
        <item x="279"/>
        <item x="821"/>
        <item x="133"/>
        <item x="641"/>
        <item x="25"/>
        <item x="193"/>
        <item x="569"/>
        <item x="871"/>
        <item x="373"/>
        <item x="274"/>
        <item x="530"/>
        <item x="646"/>
        <item x="793"/>
        <item x="64"/>
        <item x="305"/>
        <item x="713"/>
        <item x="404"/>
        <item x="194"/>
        <item x="166"/>
        <item x="103"/>
        <item x="197"/>
        <item x="818"/>
        <item x="283"/>
        <item x="223"/>
        <item x="899"/>
        <item x="922"/>
        <item x="671"/>
        <item x="581"/>
        <item x="152"/>
        <item x="708"/>
        <item x="714"/>
        <item x="334"/>
        <item x="145"/>
        <item x="355"/>
        <item x="505"/>
        <item x="472"/>
        <item x="724"/>
        <item x="744"/>
        <item x="351"/>
        <item x="146"/>
        <item x="911"/>
        <item x="465"/>
        <item x="851"/>
        <item x="470"/>
        <item x="456"/>
        <item x="226"/>
        <item x="521"/>
        <item x="727"/>
        <item x="352"/>
        <item x="471"/>
        <item x="372"/>
        <item x="854"/>
        <item x="402"/>
        <item x="658"/>
        <item x="885"/>
        <item x="672"/>
        <item x="740"/>
        <item x="823"/>
        <item x="377"/>
        <item x="124"/>
        <item x="661"/>
        <item x="82"/>
        <item x="547"/>
        <item x="232"/>
        <item x="863"/>
        <item x="562"/>
        <item x="149"/>
        <item x="261"/>
        <item x="234"/>
        <item x="789"/>
        <item x="665"/>
        <item x="199"/>
        <item x="656"/>
        <item x="610"/>
        <item x="901"/>
        <item x="1"/>
        <item x="255"/>
        <item x="36"/>
        <item x="845"/>
        <item x="787"/>
        <item x="189"/>
        <item x="877"/>
        <item x="694"/>
        <item x="855"/>
        <item x="881"/>
        <item x="856"/>
        <item x="704"/>
        <item x="369"/>
        <item x="673"/>
        <item x="173"/>
        <item x="123"/>
        <item x="353"/>
        <item x="503"/>
        <item x="393"/>
        <item x="306"/>
        <item x="85"/>
        <item x="230"/>
        <item x="169"/>
        <item x="196"/>
        <item x="478"/>
        <item x="23"/>
        <item x="536"/>
        <item x="39"/>
        <item x="302"/>
        <item x="490"/>
        <item x="890"/>
        <item x="461"/>
        <item x="348"/>
        <item x="579"/>
        <item x="750"/>
        <item x="382"/>
        <item x="915"/>
        <item x="667"/>
        <item x="424"/>
        <item x="154"/>
        <item x="850"/>
        <item x="872"/>
        <item x="106"/>
        <item x="757"/>
        <item x="738"/>
        <item x="693"/>
        <item x="832"/>
        <item x="239"/>
        <item x="903"/>
        <item x="572"/>
        <item x="248"/>
        <item x="215"/>
        <item x="614"/>
        <item x="666"/>
        <item x="636"/>
        <item x="419"/>
        <item x="216"/>
        <item x="275"/>
        <item x="185"/>
        <item x="198"/>
        <item x="34"/>
        <item x="806"/>
        <item x="586"/>
        <item x="291"/>
        <item x="163"/>
        <item x="582"/>
        <item x="643"/>
        <item x="139"/>
        <item x="758"/>
        <item x="322"/>
        <item x="537"/>
        <item x="262"/>
        <item x="894"/>
        <item x="263"/>
        <item x="436"/>
        <item x="561"/>
        <item x="425"/>
        <item x="38"/>
        <item x="137"/>
        <item x="895"/>
        <item x="428"/>
        <item x="773"/>
        <item x="209"/>
        <item x="485"/>
        <item x="107"/>
        <item x="734"/>
        <item x="794"/>
        <item x="349"/>
        <item x="396"/>
        <item x="116"/>
        <item x="27"/>
        <item x="501"/>
        <item x="765"/>
        <item x="35"/>
        <item x="221"/>
        <item x="513"/>
        <item x="347"/>
        <item x="126"/>
        <item x="762"/>
        <item x="568"/>
        <item x="481"/>
        <item x="560"/>
        <item x="604"/>
        <item x="258"/>
        <item x="178"/>
        <item x="84"/>
        <item x="686"/>
        <item x="303"/>
        <item x="916"/>
        <item x="108"/>
        <item x="7"/>
        <item x="98"/>
        <item x="483"/>
        <item x="605"/>
        <item x="0"/>
        <item x="529"/>
        <item x="843"/>
        <item x="245"/>
        <item x="364"/>
        <item x="921"/>
        <item x="213"/>
        <item x="836"/>
        <item x="447"/>
        <item x="96"/>
        <item x="100"/>
        <item x="201"/>
        <item x="826"/>
        <item x="195"/>
        <item x="617"/>
        <item x="243"/>
        <item x="77"/>
        <item x="695"/>
        <item x="599"/>
        <item x="362"/>
        <item x="736"/>
        <item x="707"/>
        <item x="570"/>
        <item x="639"/>
        <item x="400"/>
        <item x="270"/>
        <item x="268"/>
        <item x="171"/>
        <item x="803"/>
        <item x="688"/>
        <item x="359"/>
        <item x="742"/>
        <item x="771"/>
        <item x="286"/>
        <item x="138"/>
        <item x="183"/>
        <item x="706"/>
        <item x="645"/>
        <item x="760"/>
        <item x="912"/>
        <item x="837"/>
        <item x="449"/>
        <item x="72"/>
        <item x="721"/>
        <item x="874"/>
        <item x="327"/>
        <item x="520"/>
        <item x="574"/>
        <item x="299"/>
        <item x="838"/>
        <item x="741"/>
        <item x="583"/>
        <item x="458"/>
        <item x="114"/>
        <item x="831"/>
        <item x="251"/>
        <item x="635"/>
        <item x="923"/>
        <item x="460"/>
        <item x="523"/>
        <item x="316"/>
        <item x="556"/>
        <item x="506"/>
        <item x="105"/>
        <item x="93"/>
        <item x="898"/>
        <item x="914"/>
        <item x="164"/>
        <item x="715"/>
        <item x="745"/>
        <item x="383"/>
        <item x="135"/>
        <item x="527"/>
        <item x="325"/>
        <item x="589"/>
        <item x="227"/>
        <item x="252"/>
        <item x="585"/>
        <item x="814"/>
        <item x="514"/>
        <item x="869"/>
        <item x="101"/>
        <item x="182"/>
        <item x="780"/>
        <item x="564"/>
        <item x="603"/>
        <item x="662"/>
        <item x="882"/>
        <item x="508"/>
        <item x="300"/>
        <item x="52"/>
        <item x="454"/>
        <item x="859"/>
        <item x="737"/>
        <item x="391"/>
        <item x="730"/>
        <item x="507"/>
        <item x="32"/>
        <item x="42"/>
        <item x="28"/>
        <item x="829"/>
        <item x="92"/>
        <item x="770"/>
        <item x="475"/>
        <item x="410"/>
        <item x="563"/>
        <item x="57"/>
        <item x="807"/>
        <item x="522"/>
        <item x="493"/>
        <item x="267"/>
        <item x="118"/>
        <item x="637"/>
        <item x="611"/>
        <item x="812"/>
        <item x="631"/>
        <item x="861"/>
        <item x="452"/>
        <item x="80"/>
        <item x="365"/>
        <item x="682"/>
        <item x="717"/>
        <item x="363"/>
        <item x="278"/>
        <item x="130"/>
        <item x="143"/>
        <item x="817"/>
        <item x="886"/>
        <item x="121"/>
        <item x="128"/>
        <item x="842"/>
        <item x="20"/>
        <item x="813"/>
        <item x="690"/>
        <item x="759"/>
        <item x="45"/>
        <item x="778"/>
        <item x="112"/>
        <item x="55"/>
        <item x="638"/>
        <item x="716"/>
        <item x="790"/>
        <item x="144"/>
        <item x="83"/>
        <item x="202"/>
        <item x="788"/>
        <item x="552"/>
        <item x="301"/>
        <item x="722"/>
        <item x="109"/>
        <item x="477"/>
        <item x="624"/>
        <item x="756"/>
        <item x="743"/>
        <item x="504"/>
        <item x="918"/>
        <item x="233"/>
        <item x="711"/>
        <item x="95"/>
        <item x="663"/>
        <item x="747"/>
        <item x="466"/>
        <item x="405"/>
        <item x="421"/>
        <item x="753"/>
        <item x="13"/>
        <item x="473"/>
        <item x="390"/>
        <item x="772"/>
        <item x="622"/>
        <item x="249"/>
        <item x="774"/>
        <item x="217"/>
        <item x="328"/>
        <item x="543"/>
        <item x="702"/>
        <item x="841"/>
        <item x="338"/>
        <item x="763"/>
        <item x="455"/>
        <item x="781"/>
        <item x="276"/>
        <item x="9"/>
        <item x="247"/>
        <item x="691"/>
        <item x="809"/>
        <item x="782"/>
        <item x="849"/>
        <item x="214"/>
        <item x="476"/>
        <item x="104"/>
        <item x="71"/>
        <item x="664"/>
        <item x="134"/>
        <item x="29"/>
        <item x="87"/>
        <item x="191"/>
        <item x="70"/>
        <item x="155"/>
        <item x="161"/>
        <item x="368"/>
        <item x="910"/>
        <item x="538"/>
        <item x="453"/>
        <item x="510"/>
        <item x="250"/>
        <item x="357"/>
        <item x="384"/>
        <item x="140"/>
        <item x="524"/>
        <item x="41"/>
        <item x="917"/>
        <item x="208"/>
        <item x="346"/>
        <item x="336"/>
        <item x="913"/>
        <item x="47"/>
        <item x="668"/>
        <item x="69"/>
        <item x="488"/>
        <item x="539"/>
        <item x="808"/>
        <item x="99"/>
        <item x="16"/>
        <item x="710"/>
        <item x="525"/>
        <item x="445"/>
        <item x="354"/>
        <item x="887"/>
        <item x="602"/>
        <item x="380"/>
        <item x="835"/>
        <item x="304"/>
        <item x="30"/>
        <item x="288"/>
        <item x="519"/>
        <item x="19"/>
        <item x="549"/>
        <item x="557"/>
        <item x="307"/>
        <item x="669"/>
        <item x="426"/>
        <item x="420"/>
        <item x="371"/>
        <item x="148"/>
        <item x="33"/>
        <item x="767"/>
        <item x="810"/>
        <item x="615"/>
        <item x="875"/>
        <item x="846"/>
        <item x="119"/>
        <item x="573"/>
        <item x="659"/>
        <item x="670"/>
        <item x="315"/>
        <item x="385"/>
        <item x="242"/>
        <item x="231"/>
        <item x="654"/>
        <item x="748"/>
        <item x="865"/>
        <item x="350"/>
        <item x="511"/>
        <item x="333"/>
        <item x="815"/>
        <item x="131"/>
        <item x="253"/>
        <item x="412"/>
        <item x="884"/>
        <item x="443"/>
        <item x="486"/>
        <item x="685"/>
        <item x="190"/>
        <item x="598"/>
        <item x="731"/>
        <item x="873"/>
        <item x="176"/>
        <item x="298"/>
        <item x="341"/>
        <item x="168"/>
        <item x="531"/>
        <item x="79"/>
        <item x="754"/>
        <item x="783"/>
        <item x="264"/>
        <item x="792"/>
        <item x="540"/>
        <item x="170"/>
        <item x="909"/>
        <item x="830"/>
        <item x="545"/>
        <item x="43"/>
        <item x="619"/>
        <item x="795"/>
        <item x="840"/>
        <item x="294"/>
        <item x="375"/>
        <item x="629"/>
        <item x="296"/>
        <item x="487"/>
        <item x="891"/>
        <item x="361"/>
        <item x="310"/>
        <item x="324"/>
        <item x="427"/>
        <item x="902"/>
        <item x="749"/>
        <item x="379"/>
        <item x="271"/>
        <item x="825"/>
        <item x="60"/>
        <item x="21"/>
        <item x="289"/>
        <item x="366"/>
        <item x="766"/>
        <item x="273"/>
        <item x="76"/>
        <item x="256"/>
        <item x="97"/>
        <item x="89"/>
        <item x="167"/>
        <item x="442"/>
        <item x="904"/>
        <item x="533"/>
        <item x="623"/>
        <item x="642"/>
        <item x="18"/>
        <item x="54"/>
        <item x="653"/>
        <item x="53"/>
        <item x="480"/>
        <item x="218"/>
        <item x="113"/>
        <item x="852"/>
        <item x="287"/>
        <item x="59"/>
        <item x="920"/>
        <item x="240"/>
        <item x="892"/>
        <item x="484"/>
        <item x="632"/>
        <item x="411"/>
        <item x="159"/>
        <item x="360"/>
        <item x="219"/>
        <item x="697"/>
        <item x="630"/>
        <item x="876"/>
        <item x="417"/>
        <item x="723"/>
        <item x="880"/>
        <item x="613"/>
        <item x="162"/>
        <item x="204"/>
        <item x="437"/>
        <item x="608"/>
        <item x="111"/>
        <item x="284"/>
        <item x="344"/>
        <item x="534"/>
        <item x="343"/>
        <item x="675"/>
        <item x="469"/>
        <item x="644"/>
        <item x="151"/>
        <item x="430"/>
        <item x="683"/>
        <item x="847"/>
        <item x="397"/>
        <item x="584"/>
        <item x="172"/>
        <item x="496"/>
        <item x="834"/>
        <item x="732"/>
        <item x="571"/>
        <item t="default"/>
      </items>
    </pivotField>
    <pivotField showAll="0"/>
    <pivotField showAll="0">
      <items count="6">
        <item x="2"/>
        <item x="1"/>
        <item x="0"/>
        <item x="3"/>
        <item x="4"/>
        <item t="default"/>
      </items>
    </pivotField>
    <pivotField showAll="0"/>
    <pivotField numFmtId="1" showAll="0"/>
    <pivotField showAll="0" nonAutoSortDefault="1">
      <items count="4">
        <item x="0"/>
        <item x="1"/>
        <item x="2"/>
        <item t="default"/>
      </items>
    </pivotField>
    <pivotField numFmtId="164" showAll="0"/>
    <pivotField showAll="0"/>
    <pivotField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6">
        <item n="0-20" sd="0" x="0"/>
        <item n="21-40" sd="0" x="1"/>
        <item n="41-60" sd="0" x="2"/>
        <item n="61-80" sd="0" x="3"/>
        <item n="81-100" sd="0" x="4"/>
        <item t="default"/>
      </items>
    </pivotField>
    <pivotField showAll="0">
      <items count="6">
        <item x="0"/>
        <item x="1"/>
        <item x="2"/>
        <item x="3"/>
        <item x="4"/>
        <item t="default"/>
      </items>
    </pivotField>
  </pivotFields>
  <rowFields count="1">
    <field x="14"/>
  </rowFields>
  <rowItems count="7">
    <i>
      <x/>
    </i>
    <i>
      <x v="1"/>
    </i>
    <i>
      <x v="2"/>
    </i>
    <i>
      <x v="3"/>
    </i>
    <i>
      <x v="4"/>
    </i>
    <i>
      <x v="5"/>
    </i>
    <i t="grand">
      <x/>
    </i>
  </rowItems>
  <colFields count="1">
    <field x="-2"/>
  </colFields>
  <colItems count="2">
    <i>
      <x/>
    </i>
    <i i="1">
      <x v="1"/>
    </i>
  </colItems>
  <dataFields count="2">
    <dataField name="Users Count" fld="0" subtotal="count" baseField="0" baseItem="0"/>
    <dataField name="Avg Watch Hours" fld="5" subtotal="average" baseField="14" baseItem="0" numFmtId="1"/>
  </dataFields>
  <formats count="12">
    <format dxfId="228">
      <pivotArea type="all" dataOnly="0" outline="0" fieldPosition="0"/>
    </format>
    <format dxfId="227">
      <pivotArea outline="0" collapsedLevelsAreSubtotals="1" fieldPosition="0"/>
    </format>
    <format dxfId="226">
      <pivotArea field="24" type="button" dataOnly="0" labelOnly="1" outline="0"/>
    </format>
    <format dxfId="225">
      <pivotArea dataOnly="0" labelOnly="1" grandRow="1" outline="0" fieldPosition="0"/>
    </format>
    <format dxfId="224">
      <pivotArea type="all" dataOnly="0" outline="0" fieldPosition="0"/>
    </format>
    <format dxfId="223">
      <pivotArea outline="0" collapsedLevelsAreSubtotals="1" fieldPosition="0"/>
    </format>
    <format dxfId="222">
      <pivotArea field="24" type="button" dataOnly="0" labelOnly="1" outline="0"/>
    </format>
    <format dxfId="221">
      <pivotArea dataOnly="0" labelOnly="1" grandRow="1" outline="0" fieldPosition="0"/>
    </format>
    <format dxfId="220">
      <pivotArea type="all" dataOnly="0" outline="0" fieldPosition="0"/>
    </format>
    <format dxfId="219">
      <pivotArea outline="0" collapsedLevelsAreSubtotals="1" fieldPosition="0"/>
    </format>
    <format dxfId="218">
      <pivotArea field="24" type="button" dataOnly="0" labelOnly="1" outline="0"/>
    </format>
    <format dxfId="217">
      <pivotArea dataOnly="0" labelOnly="1" grandRow="1" outline="0" fieldPosition="0"/>
    </format>
  </formats>
  <chartFormats count="6">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A116914-DB45-4B53-9F58-61F19EA840B4}" name="4. Retention &amp; Loyalty:1.3"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1" rowHeaderCaption="Has Downloaded ">
  <location ref="AE5:AG8" firstHeaderRow="0" firstDataRow="1" firstDataCol="1"/>
  <pivotFields count="34">
    <pivotField dataField="1" numFmtId="1" showAll="0"/>
    <pivotField showAll="0"/>
    <pivotField numFmtId="14" showAll="0">
      <items count="538">
        <item x="91"/>
        <item x="302"/>
        <item x="102"/>
        <item x="424"/>
        <item x="54"/>
        <item x="127"/>
        <item x="51"/>
        <item x="274"/>
        <item x="137"/>
        <item x="53"/>
        <item x="201"/>
        <item x="417"/>
        <item x="218"/>
        <item x="228"/>
        <item x="374"/>
        <item x="524"/>
        <item x="484"/>
        <item x="514"/>
        <item x="470"/>
        <item x="513"/>
        <item x="333"/>
        <item x="463"/>
        <item x="368"/>
        <item x="222"/>
        <item x="176"/>
        <item x="119"/>
        <item x="255"/>
        <item x="270"/>
        <item x="281"/>
        <item x="251"/>
        <item x="344"/>
        <item x="497"/>
        <item x="3"/>
        <item x="200"/>
        <item x="58"/>
        <item x="504"/>
        <item x="86"/>
        <item x="147"/>
        <item x="116"/>
        <item x="224"/>
        <item x="359"/>
        <item x="478"/>
        <item x="440"/>
        <item x="16"/>
        <item x="242"/>
        <item x="471"/>
        <item x="100"/>
        <item x="507"/>
        <item x="65"/>
        <item x="128"/>
        <item x="233"/>
        <item x="131"/>
        <item x="217"/>
        <item x="152"/>
        <item x="372"/>
        <item x="62"/>
        <item x="397"/>
        <item x="393"/>
        <item x="204"/>
        <item x="364"/>
        <item x="139"/>
        <item x="112"/>
        <item x="253"/>
        <item x="475"/>
        <item x="518"/>
        <item x="151"/>
        <item x="378"/>
        <item x="264"/>
        <item x="123"/>
        <item x="269"/>
        <item x="353"/>
        <item x="453"/>
        <item x="45"/>
        <item x="47"/>
        <item x="12"/>
        <item x="10"/>
        <item x="361"/>
        <item x="108"/>
        <item x="1"/>
        <item x="42"/>
        <item x="408"/>
        <item x="428"/>
        <item x="334"/>
        <item x="367"/>
        <item x="459"/>
        <item x="275"/>
        <item x="64"/>
        <item x="410"/>
        <item x="90"/>
        <item x="505"/>
        <item x="241"/>
        <item x="154"/>
        <item x="336"/>
        <item x="306"/>
        <item x="232"/>
        <item x="211"/>
        <item x="413"/>
        <item x="44"/>
        <item x="491"/>
        <item x="494"/>
        <item x="80"/>
        <item x="427"/>
        <item x="124"/>
        <item x="132"/>
        <item x="400"/>
        <item x="324"/>
        <item x="177"/>
        <item x="480"/>
        <item x="130"/>
        <item x="172"/>
        <item x="0"/>
        <item x="190"/>
        <item x="315"/>
        <item x="366"/>
        <item x="392"/>
        <item x="282"/>
        <item x="181"/>
        <item x="194"/>
        <item x="318"/>
        <item x="266"/>
        <item x="369"/>
        <item x="461"/>
        <item x="230"/>
        <item x="532"/>
        <item x="257"/>
        <item x="178"/>
        <item x="17"/>
        <item x="469"/>
        <item x="351"/>
        <item x="4"/>
        <item x="14"/>
        <item x="173"/>
        <item x="148"/>
        <item x="175"/>
        <item x="405"/>
        <item x="339"/>
        <item x="509"/>
        <item x="8"/>
        <item x="156"/>
        <item x="25"/>
        <item x="98"/>
        <item x="519"/>
        <item x="31"/>
        <item x="391"/>
        <item x="60"/>
        <item x="506"/>
        <item x="220"/>
        <item x="434"/>
        <item x="454"/>
        <item x="19"/>
        <item x="164"/>
        <item x="402"/>
        <item x="373"/>
        <item x="273"/>
        <item x="294"/>
        <item x="199"/>
        <item x="20"/>
        <item x="41"/>
        <item x="476"/>
        <item x="244"/>
        <item x="510"/>
        <item x="94"/>
        <item x="468"/>
        <item x="229"/>
        <item x="49"/>
        <item x="239"/>
        <item x="395"/>
        <item x="68"/>
        <item x="2"/>
        <item x="88"/>
        <item x="250"/>
        <item x="236"/>
        <item x="101"/>
        <item x="436"/>
        <item x="247"/>
        <item x="260"/>
        <item x="189"/>
        <item x="515"/>
        <item x="183"/>
        <item x="37"/>
        <item x="75"/>
        <item x="398"/>
        <item x="482"/>
        <item x="335"/>
        <item x="330"/>
        <item x="511"/>
        <item x="296"/>
        <item x="208"/>
        <item x="213"/>
        <item x="399"/>
        <item x="46"/>
        <item x="206"/>
        <item x="288"/>
        <item x="133"/>
        <item x="69"/>
        <item x="457"/>
        <item x="197"/>
        <item x="409"/>
        <item x="337"/>
        <item x="84"/>
        <item x="486"/>
        <item x="383"/>
        <item x="35"/>
        <item x="442"/>
        <item x="5"/>
        <item x="381"/>
        <item x="293"/>
        <item x="18"/>
        <item x="467"/>
        <item x="23"/>
        <item x="425"/>
        <item x="162"/>
        <item x="423"/>
        <item x="332"/>
        <item x="271"/>
        <item x="106"/>
        <item x="346"/>
        <item x="113"/>
        <item x="477"/>
        <item x="437"/>
        <item x="422"/>
        <item x="57"/>
        <item x="67"/>
        <item x="223"/>
        <item x="153"/>
        <item x="140"/>
        <item x="87"/>
        <item x="82"/>
        <item x="231"/>
        <item x="73"/>
        <item x="501"/>
        <item x="305"/>
        <item x="89"/>
        <item x="431"/>
        <item x="340"/>
        <item x="143"/>
        <item x="456"/>
        <item x="472"/>
        <item x="341"/>
        <item x="298"/>
        <item x="529"/>
        <item x="326"/>
        <item x="212"/>
        <item x="195"/>
        <item x="347"/>
        <item x="462"/>
        <item x="196"/>
        <item x="22"/>
        <item x="388"/>
        <item x="534"/>
        <item x="120"/>
        <item x="536"/>
        <item x="66"/>
        <item x="32"/>
        <item x="517"/>
        <item x="285"/>
        <item x="9"/>
        <item x="492"/>
        <item x="170"/>
        <item x="72"/>
        <item x="327"/>
        <item x="96"/>
        <item x="184"/>
        <item x="329"/>
        <item x="371"/>
        <item x="320"/>
        <item x="342"/>
        <item x="377"/>
        <item x="452"/>
        <item x="527"/>
        <item x="81"/>
        <item x="56"/>
        <item x="418"/>
        <item x="406"/>
        <item x="262"/>
        <item x="522"/>
        <item x="209"/>
        <item x="263"/>
        <item x="61"/>
        <item x="307"/>
        <item x="74"/>
        <item x="357"/>
        <item x="286"/>
        <item x="205"/>
        <item x="261"/>
        <item x="443"/>
        <item x="414"/>
        <item x="203"/>
        <item x="33"/>
        <item x="126"/>
        <item x="248"/>
        <item x="142"/>
        <item x="280"/>
        <item x="394"/>
        <item x="287"/>
        <item x="243"/>
        <item x="110"/>
        <item x="317"/>
        <item x="303"/>
        <item x="161"/>
        <item x="489"/>
        <item x="215"/>
        <item x="27"/>
        <item x="144"/>
        <item x="121"/>
        <item x="246"/>
        <item x="321"/>
        <item x="163"/>
        <item x="525"/>
        <item x="104"/>
        <item x="415"/>
        <item x="92"/>
        <item x="419"/>
        <item x="38"/>
        <item x="438"/>
        <item x="309"/>
        <item x="150"/>
        <item x="473"/>
        <item x="171"/>
        <item x="155"/>
        <item x="348"/>
        <item x="198"/>
        <item x="185"/>
        <item x="387"/>
        <item x="83"/>
        <item x="426"/>
        <item x="11"/>
        <item x="103"/>
        <item x="375"/>
        <item x="354"/>
        <item x="495"/>
        <item x="219"/>
        <item x="498"/>
        <item x="432"/>
        <item x="531"/>
        <item x="252"/>
        <item x="63"/>
        <item x="99"/>
        <item x="355"/>
        <item x="328"/>
        <item x="358"/>
        <item x="202"/>
        <item x="180"/>
        <item x="157"/>
        <item x="28"/>
        <item x="379"/>
        <item x="444"/>
        <item x="445"/>
        <item x="138"/>
        <item x="533"/>
        <item x="52"/>
        <item x="450"/>
        <item x="412"/>
        <item x="43"/>
        <item x="420"/>
        <item x="272"/>
        <item x="370"/>
        <item x="526"/>
        <item x="290"/>
        <item x="292"/>
        <item x="283"/>
        <item x="300"/>
        <item x="343"/>
        <item x="384"/>
        <item x="210"/>
        <item x="535"/>
        <item x="145"/>
        <item x="401"/>
        <item x="523"/>
        <item x="403"/>
        <item x="179"/>
        <item x="350"/>
        <item x="169"/>
        <item x="512"/>
        <item x="439"/>
        <item x="310"/>
        <item x="256"/>
        <item x="235"/>
        <item x="376"/>
        <item x="363"/>
        <item x="396"/>
        <item x="24"/>
        <item x="254"/>
        <item x="15"/>
        <item x="149"/>
        <item x="26"/>
        <item x="465"/>
        <item x="458"/>
        <item x="520"/>
        <item x="490"/>
        <item x="352"/>
        <item x="118"/>
        <item x="7"/>
        <item x="93"/>
        <item x="221"/>
        <item x="214"/>
        <item x="356"/>
        <item x="521"/>
        <item x="345"/>
        <item x="386"/>
        <item x="448"/>
        <item x="441"/>
        <item x="429"/>
        <item x="502"/>
        <item x="21"/>
        <item x="182"/>
        <item x="365"/>
        <item x="141"/>
        <item x="48"/>
        <item x="500"/>
        <item x="299"/>
        <item x="226"/>
        <item x="338"/>
        <item x="85"/>
        <item x="481"/>
        <item x="411"/>
        <item x="488"/>
        <item x="297"/>
        <item x="29"/>
        <item x="167"/>
        <item x="97"/>
        <item x="70"/>
        <item x="447"/>
        <item x="238"/>
        <item x="109"/>
        <item x="380"/>
        <item x="325"/>
        <item x="466"/>
        <item x="389"/>
        <item x="165"/>
        <item x="404"/>
        <item x="71"/>
        <item x="277"/>
        <item x="77"/>
        <item x="291"/>
        <item x="446"/>
        <item x="455"/>
        <item x="289"/>
        <item x="237"/>
        <item x="295"/>
        <item x="362"/>
        <item x="349"/>
        <item x="528"/>
        <item x="39"/>
        <item x="174"/>
        <item x="508"/>
        <item x="258"/>
        <item x="135"/>
        <item x="168"/>
        <item x="493"/>
        <item x="187"/>
        <item x="268"/>
        <item x="483"/>
        <item x="78"/>
        <item x="304"/>
        <item x="474"/>
        <item x="6"/>
        <item x="301"/>
        <item x="284"/>
        <item x="79"/>
        <item x="186"/>
        <item x="276"/>
        <item x="433"/>
        <item x="499"/>
        <item x="216"/>
        <item x="323"/>
        <item x="55"/>
        <item x="278"/>
        <item x="193"/>
        <item x="316"/>
        <item x="13"/>
        <item x="279"/>
        <item x="40"/>
        <item x="314"/>
        <item x="191"/>
        <item x="146"/>
        <item x="416"/>
        <item x="207"/>
        <item x="227"/>
        <item x="259"/>
        <item x="105"/>
        <item x="249"/>
        <item x="516"/>
        <item x="136"/>
        <item x="36"/>
        <item x="312"/>
        <item x="34"/>
        <item x="319"/>
        <item x="503"/>
        <item x="331"/>
        <item x="240"/>
        <item x="421"/>
        <item x="192"/>
        <item x="311"/>
        <item x="267"/>
        <item x="117"/>
        <item x="496"/>
        <item x="134"/>
        <item x="390"/>
        <item x="449"/>
        <item x="76"/>
        <item x="160"/>
        <item x="360"/>
        <item x="385"/>
        <item x="460"/>
        <item x="166"/>
        <item x="234"/>
        <item x="245"/>
        <item x="95"/>
        <item x="50"/>
        <item x="407"/>
        <item x="322"/>
        <item x="265"/>
        <item x="464"/>
        <item x="479"/>
        <item x="487"/>
        <item x="451"/>
        <item x="115"/>
        <item x="159"/>
        <item x="225"/>
        <item x="111"/>
        <item x="308"/>
        <item x="122"/>
        <item x="114"/>
        <item x="59"/>
        <item x="382"/>
        <item x="129"/>
        <item x="188"/>
        <item x="485"/>
        <item x="107"/>
        <item x="158"/>
        <item x="530"/>
        <item x="30"/>
        <item x="125"/>
        <item x="313"/>
        <item x="430"/>
        <item x="435"/>
        <item t="default"/>
      </items>
    </pivotField>
    <pivotField numFmtId="14" showAll="0"/>
    <pivotField numFmtId="165" showAll="0"/>
    <pivotField dataField="1" numFmtId="1" showAll="0"/>
    <pivotField showAll="0">
      <items count="8">
        <item x="0"/>
        <item x="5"/>
        <item x="3"/>
        <item x="1"/>
        <item x="4"/>
        <item x="6"/>
        <item x="2"/>
        <item t="default"/>
      </items>
    </pivotField>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pivotField showAll="0"/>
    <pivotField numFmtId="1" showAll="0">
      <items count="102">
        <item x="13"/>
        <item x="6"/>
        <item x="99"/>
        <item x="20"/>
        <item x="69"/>
        <item x="78"/>
        <item x="65"/>
        <item x="34"/>
        <item x="39"/>
        <item x="87"/>
        <item x="95"/>
        <item x="17"/>
        <item x="32"/>
        <item x="44"/>
        <item x="31"/>
        <item x="48"/>
        <item x="88"/>
        <item x="71"/>
        <item x="57"/>
        <item x="96"/>
        <item x="66"/>
        <item x="68"/>
        <item x="46"/>
        <item x="73"/>
        <item x="50"/>
        <item x="14"/>
        <item x="8"/>
        <item x="21"/>
        <item x="72"/>
        <item x="94"/>
        <item x="55"/>
        <item x="97"/>
        <item x="7"/>
        <item x="36"/>
        <item x="91"/>
        <item x="93"/>
        <item x="58"/>
        <item x="86"/>
        <item x="11"/>
        <item x="4"/>
        <item x="42"/>
        <item x="81"/>
        <item x="19"/>
        <item x="80"/>
        <item x="52"/>
        <item x="30"/>
        <item x="63"/>
        <item x="3"/>
        <item x="60"/>
        <item x="77"/>
        <item x="16"/>
        <item x="82"/>
        <item x="64"/>
        <item x="56"/>
        <item x="84"/>
        <item x="38"/>
        <item x="2"/>
        <item x="10"/>
        <item x="27"/>
        <item x="76"/>
        <item x="22"/>
        <item x="47"/>
        <item x="12"/>
        <item x="40"/>
        <item x="61"/>
        <item x="15"/>
        <item x="29"/>
        <item x="79"/>
        <item x="53"/>
        <item x="1"/>
        <item x="85"/>
        <item x="5"/>
        <item x="35"/>
        <item x="59"/>
        <item x="98"/>
        <item x="100"/>
        <item x="24"/>
        <item x="70"/>
        <item x="18"/>
        <item x="37"/>
        <item x="54"/>
        <item x="74"/>
        <item x="45"/>
        <item x="75"/>
        <item x="0"/>
        <item x="26"/>
        <item x="89"/>
        <item x="62"/>
        <item x="51"/>
        <item x="83"/>
        <item x="9"/>
        <item x="23"/>
        <item x="92"/>
        <item x="67"/>
        <item x="43"/>
        <item x="49"/>
        <item x="41"/>
        <item x="28"/>
        <item x="25"/>
        <item x="33"/>
        <item x="90"/>
        <item t="default"/>
      </items>
    </pivotField>
    <pivotField numFmtId="164" showAll="0"/>
    <pivotField axis="axisRow" showAll="0" sortType="ascending">
      <items count="3">
        <item n="Not Downloaded" x="0"/>
        <item n="Downloaded" x="1"/>
        <item t="default"/>
      </items>
      <autoSortScope>
        <pivotArea dataOnly="0" outline="0" fieldPosition="0">
          <references count="1">
            <reference field="4294967294" count="1" selected="0">
              <x v="0"/>
            </reference>
          </references>
        </pivotArea>
      </autoSortScope>
    </pivotField>
    <pivotField showAll="0"/>
    <pivotField numFmtId="1" showAll="0">
      <items count="925">
        <item x="820"/>
        <item x="647"/>
        <item x="269"/>
        <item x="416"/>
        <item x="448"/>
        <item x="701"/>
        <item x="5"/>
        <item x="919"/>
        <item x="73"/>
        <item x="680"/>
        <item x="640"/>
        <item x="290"/>
        <item x="407"/>
        <item x="395"/>
        <item x="423"/>
        <item x="272"/>
        <item x="409"/>
        <item x="332"/>
        <item x="422"/>
        <item x="205"/>
        <item x="150"/>
        <item x="609"/>
        <item x="565"/>
        <item x="435"/>
        <item x="206"/>
        <item x="180"/>
        <item x="125"/>
        <item x="509"/>
        <item x="203"/>
        <item x="323"/>
        <item x="342"/>
        <item x="314"/>
        <item x="718"/>
        <item x="761"/>
        <item x="858"/>
        <item x="432"/>
        <item x="592"/>
        <item x="141"/>
        <item x="459"/>
        <item x="11"/>
        <item x="175"/>
        <item x="174"/>
        <item x="528"/>
        <item x="786"/>
        <item x="705"/>
        <item x="394"/>
        <item x="229"/>
        <item x="207"/>
        <item x="883"/>
        <item x="86"/>
        <item x="532"/>
        <item x="451"/>
        <item x="374"/>
        <item x="878"/>
        <item x="833"/>
        <item x="700"/>
        <item x="526"/>
        <item x="22"/>
        <item x="292"/>
        <item x="246"/>
        <item x="494"/>
        <item x="679"/>
        <item x="601"/>
        <item x="367"/>
        <item x="399"/>
        <item x="337"/>
        <item x="8"/>
        <item x="677"/>
        <item x="401"/>
        <item x="68"/>
        <item x="66"/>
        <item x="468"/>
        <item x="260"/>
        <item x="517"/>
        <item x="729"/>
        <item x="277"/>
        <item x="502"/>
        <item x="650"/>
        <item x="866"/>
        <item x="627"/>
        <item x="612"/>
        <item x="462"/>
        <item x="415"/>
        <item x="660"/>
        <item x="67"/>
        <item x="489"/>
        <item x="238"/>
        <item x="775"/>
        <item x="678"/>
        <item x="768"/>
        <item x="51"/>
        <item x="181"/>
        <item x="893"/>
        <item x="157"/>
        <item x="607"/>
        <item x="46"/>
        <item x="482"/>
        <item x="241"/>
        <item x="156"/>
        <item x="127"/>
        <item x="153"/>
        <item x="550"/>
        <item x="280"/>
        <item x="515"/>
        <item x="805"/>
        <item x="554"/>
        <item x="512"/>
        <item x="450"/>
        <item x="479"/>
        <item x="88"/>
        <item x="698"/>
        <item x="389"/>
        <item x="90"/>
        <item x="44"/>
        <item x="320"/>
        <item x="340"/>
        <item x="308"/>
        <item x="800"/>
        <item x="122"/>
        <item x="321"/>
        <item x="431"/>
        <item x="785"/>
        <item x="15"/>
        <item x="222"/>
        <item x="94"/>
        <item x="10"/>
        <item x="559"/>
        <item x="588"/>
        <item x="553"/>
        <item x="210"/>
        <item x="237"/>
        <item x="441"/>
        <item x="434"/>
        <item x="755"/>
        <item x="235"/>
        <item x="117"/>
        <item x="474"/>
        <item x="160"/>
        <item x="587"/>
        <item x="257"/>
        <item x="318"/>
        <item x="457"/>
        <item x="492"/>
        <item x="6"/>
        <item x="491"/>
        <item x="499"/>
        <item x="728"/>
        <item x="906"/>
        <item x="692"/>
        <item x="356"/>
        <item x="816"/>
        <item x="31"/>
        <item x="719"/>
        <item x="58"/>
        <item x="309"/>
        <item x="822"/>
        <item x="651"/>
        <item x="37"/>
        <item x="889"/>
        <item x="764"/>
        <item x="516"/>
        <item x="655"/>
        <item x="819"/>
        <item x="633"/>
        <item x="696"/>
        <item x="577"/>
        <item x="726"/>
        <item x="518"/>
        <item x="147"/>
        <item x="463"/>
        <item x="618"/>
        <item x="335"/>
        <item x="848"/>
        <item x="212"/>
        <item x="75"/>
        <item x="165"/>
        <item x="115"/>
        <item x="709"/>
        <item x="739"/>
        <item x="211"/>
        <item x="3"/>
        <item x="868"/>
        <item x="467"/>
        <item x="376"/>
        <item x="61"/>
        <item x="225"/>
        <item x="495"/>
        <item x="784"/>
        <item x="254"/>
        <item x="799"/>
        <item x="259"/>
        <item x="725"/>
        <item x="888"/>
        <item x="403"/>
        <item x="567"/>
        <item x="281"/>
        <item x="908"/>
        <item x="142"/>
        <item x="546"/>
        <item x="188"/>
        <item x="14"/>
        <item x="464"/>
        <item x="184"/>
        <item x="200"/>
        <item x="751"/>
        <item x="541"/>
        <item x="600"/>
        <item x="311"/>
        <item x="319"/>
        <item x="544"/>
        <item x="63"/>
        <item x="265"/>
        <item x="295"/>
        <item x="896"/>
        <item x="746"/>
        <item x="192"/>
        <item x="620"/>
        <item x="62"/>
        <item x="17"/>
        <item x="596"/>
        <item x="132"/>
        <item x="839"/>
        <item x="285"/>
        <item x="414"/>
        <item x="591"/>
        <item x="684"/>
        <item x="689"/>
        <item x="406"/>
        <item x="796"/>
        <item x="804"/>
        <item x="91"/>
        <item x="687"/>
        <item x="824"/>
        <item x="625"/>
        <item x="897"/>
        <item x="575"/>
        <item x="628"/>
        <item x="676"/>
        <item x="387"/>
        <item x="498"/>
        <item x="446"/>
        <item x="576"/>
        <item x="49"/>
        <item x="381"/>
        <item x="769"/>
        <item x="703"/>
        <item x="593"/>
        <item x="433"/>
        <item x="548"/>
        <item x="674"/>
        <item x="616"/>
        <item x="78"/>
        <item x="864"/>
        <item x="551"/>
        <item x="801"/>
        <item x="358"/>
        <item x="776"/>
        <item x="857"/>
        <item x="120"/>
        <item x="444"/>
        <item x="844"/>
        <item x="606"/>
        <item x="594"/>
        <item x="733"/>
        <item x="388"/>
        <item x="777"/>
        <item x="187"/>
        <item x="555"/>
        <item x="24"/>
        <item x="566"/>
        <item x="712"/>
        <item x="828"/>
        <item x="317"/>
        <item x="158"/>
        <item x="313"/>
        <item x="339"/>
        <item x="438"/>
        <item x="392"/>
        <item x="244"/>
        <item x="652"/>
        <item x="297"/>
        <item x="378"/>
        <item x="177"/>
        <item x="386"/>
        <item x="779"/>
        <item x="558"/>
        <item x="811"/>
        <item x="228"/>
        <item x="657"/>
        <item x="439"/>
        <item x="621"/>
        <item x="867"/>
        <item x="590"/>
        <item x="312"/>
        <item x="440"/>
        <item x="74"/>
        <item x="329"/>
        <item x="266"/>
        <item x="429"/>
        <item x="580"/>
        <item x="110"/>
        <item x="542"/>
        <item x="853"/>
        <item x="860"/>
        <item x="879"/>
        <item x="331"/>
        <item x="293"/>
        <item x="282"/>
        <item x="12"/>
        <item x="735"/>
        <item x="326"/>
        <item x="595"/>
        <item x="136"/>
        <item x="40"/>
        <item x="408"/>
        <item x="48"/>
        <item x="634"/>
        <item x="791"/>
        <item x="236"/>
        <item x="220"/>
        <item x="179"/>
        <item x="497"/>
        <item x="345"/>
        <item x="681"/>
        <item x="648"/>
        <item x="907"/>
        <item x="905"/>
        <item x="862"/>
        <item x="26"/>
        <item x="81"/>
        <item x="535"/>
        <item x="798"/>
        <item x="186"/>
        <item x="2"/>
        <item x="827"/>
        <item x="699"/>
        <item x="597"/>
        <item x="900"/>
        <item x="413"/>
        <item x="65"/>
        <item x="578"/>
        <item x="50"/>
        <item x="129"/>
        <item x="330"/>
        <item x="418"/>
        <item x="224"/>
        <item x="56"/>
        <item x="102"/>
        <item x="752"/>
        <item x="500"/>
        <item x="797"/>
        <item x="870"/>
        <item x="626"/>
        <item x="720"/>
        <item x="398"/>
        <item x="802"/>
        <item x="4"/>
        <item x="370"/>
        <item x="649"/>
        <item x="279"/>
        <item x="821"/>
        <item x="133"/>
        <item x="641"/>
        <item x="25"/>
        <item x="193"/>
        <item x="569"/>
        <item x="871"/>
        <item x="373"/>
        <item x="274"/>
        <item x="530"/>
        <item x="646"/>
        <item x="793"/>
        <item x="64"/>
        <item x="305"/>
        <item x="713"/>
        <item x="404"/>
        <item x="194"/>
        <item x="166"/>
        <item x="103"/>
        <item x="197"/>
        <item x="818"/>
        <item x="283"/>
        <item x="223"/>
        <item x="899"/>
        <item x="922"/>
        <item x="671"/>
        <item x="581"/>
        <item x="152"/>
        <item x="708"/>
        <item x="714"/>
        <item x="334"/>
        <item x="145"/>
        <item x="355"/>
        <item x="505"/>
        <item x="472"/>
        <item x="724"/>
        <item x="744"/>
        <item x="351"/>
        <item x="146"/>
        <item x="911"/>
        <item x="465"/>
        <item x="851"/>
        <item x="470"/>
        <item x="456"/>
        <item x="226"/>
        <item x="521"/>
        <item x="727"/>
        <item x="352"/>
        <item x="471"/>
        <item x="372"/>
        <item x="854"/>
        <item x="402"/>
        <item x="658"/>
        <item x="885"/>
        <item x="672"/>
        <item x="740"/>
        <item x="823"/>
        <item x="377"/>
        <item x="124"/>
        <item x="661"/>
        <item x="82"/>
        <item x="547"/>
        <item x="232"/>
        <item x="863"/>
        <item x="562"/>
        <item x="149"/>
        <item x="261"/>
        <item x="234"/>
        <item x="789"/>
        <item x="665"/>
        <item x="199"/>
        <item x="656"/>
        <item x="610"/>
        <item x="901"/>
        <item x="1"/>
        <item x="255"/>
        <item x="36"/>
        <item x="845"/>
        <item x="787"/>
        <item x="189"/>
        <item x="877"/>
        <item x="694"/>
        <item x="855"/>
        <item x="881"/>
        <item x="856"/>
        <item x="704"/>
        <item x="369"/>
        <item x="673"/>
        <item x="173"/>
        <item x="123"/>
        <item x="353"/>
        <item x="503"/>
        <item x="393"/>
        <item x="306"/>
        <item x="85"/>
        <item x="230"/>
        <item x="169"/>
        <item x="196"/>
        <item x="478"/>
        <item x="23"/>
        <item x="536"/>
        <item x="39"/>
        <item x="302"/>
        <item x="490"/>
        <item x="890"/>
        <item x="461"/>
        <item x="348"/>
        <item x="579"/>
        <item x="750"/>
        <item x="382"/>
        <item x="915"/>
        <item x="667"/>
        <item x="424"/>
        <item x="154"/>
        <item x="850"/>
        <item x="872"/>
        <item x="106"/>
        <item x="757"/>
        <item x="738"/>
        <item x="693"/>
        <item x="832"/>
        <item x="239"/>
        <item x="903"/>
        <item x="572"/>
        <item x="248"/>
        <item x="215"/>
        <item x="614"/>
        <item x="666"/>
        <item x="636"/>
        <item x="419"/>
        <item x="216"/>
        <item x="275"/>
        <item x="185"/>
        <item x="198"/>
        <item x="34"/>
        <item x="806"/>
        <item x="586"/>
        <item x="291"/>
        <item x="163"/>
        <item x="582"/>
        <item x="643"/>
        <item x="139"/>
        <item x="758"/>
        <item x="322"/>
        <item x="537"/>
        <item x="262"/>
        <item x="894"/>
        <item x="263"/>
        <item x="436"/>
        <item x="561"/>
        <item x="425"/>
        <item x="38"/>
        <item x="137"/>
        <item x="895"/>
        <item x="428"/>
        <item x="773"/>
        <item x="209"/>
        <item x="485"/>
        <item x="107"/>
        <item x="734"/>
        <item x="794"/>
        <item x="349"/>
        <item x="396"/>
        <item x="116"/>
        <item x="27"/>
        <item x="501"/>
        <item x="765"/>
        <item x="35"/>
        <item x="221"/>
        <item x="513"/>
        <item x="347"/>
        <item x="126"/>
        <item x="762"/>
        <item x="568"/>
        <item x="481"/>
        <item x="560"/>
        <item x="604"/>
        <item x="258"/>
        <item x="178"/>
        <item x="84"/>
        <item x="686"/>
        <item x="303"/>
        <item x="916"/>
        <item x="108"/>
        <item x="7"/>
        <item x="98"/>
        <item x="483"/>
        <item x="605"/>
        <item x="0"/>
        <item x="529"/>
        <item x="843"/>
        <item x="245"/>
        <item x="364"/>
        <item x="921"/>
        <item x="213"/>
        <item x="836"/>
        <item x="447"/>
        <item x="96"/>
        <item x="100"/>
        <item x="201"/>
        <item x="826"/>
        <item x="195"/>
        <item x="617"/>
        <item x="243"/>
        <item x="77"/>
        <item x="695"/>
        <item x="599"/>
        <item x="362"/>
        <item x="736"/>
        <item x="707"/>
        <item x="570"/>
        <item x="639"/>
        <item x="400"/>
        <item x="270"/>
        <item x="268"/>
        <item x="171"/>
        <item x="803"/>
        <item x="688"/>
        <item x="359"/>
        <item x="742"/>
        <item x="771"/>
        <item x="286"/>
        <item x="138"/>
        <item x="183"/>
        <item x="706"/>
        <item x="645"/>
        <item x="760"/>
        <item x="912"/>
        <item x="837"/>
        <item x="449"/>
        <item x="72"/>
        <item x="721"/>
        <item x="874"/>
        <item x="327"/>
        <item x="520"/>
        <item x="574"/>
        <item x="299"/>
        <item x="838"/>
        <item x="741"/>
        <item x="583"/>
        <item x="458"/>
        <item x="114"/>
        <item x="831"/>
        <item x="251"/>
        <item x="635"/>
        <item x="923"/>
        <item x="460"/>
        <item x="523"/>
        <item x="316"/>
        <item x="556"/>
        <item x="506"/>
        <item x="105"/>
        <item x="93"/>
        <item x="898"/>
        <item x="914"/>
        <item x="164"/>
        <item x="715"/>
        <item x="745"/>
        <item x="383"/>
        <item x="135"/>
        <item x="527"/>
        <item x="325"/>
        <item x="589"/>
        <item x="227"/>
        <item x="252"/>
        <item x="585"/>
        <item x="814"/>
        <item x="514"/>
        <item x="869"/>
        <item x="101"/>
        <item x="182"/>
        <item x="780"/>
        <item x="564"/>
        <item x="603"/>
        <item x="662"/>
        <item x="882"/>
        <item x="508"/>
        <item x="300"/>
        <item x="52"/>
        <item x="454"/>
        <item x="859"/>
        <item x="737"/>
        <item x="391"/>
        <item x="730"/>
        <item x="507"/>
        <item x="32"/>
        <item x="42"/>
        <item x="28"/>
        <item x="829"/>
        <item x="92"/>
        <item x="770"/>
        <item x="475"/>
        <item x="410"/>
        <item x="563"/>
        <item x="57"/>
        <item x="807"/>
        <item x="522"/>
        <item x="493"/>
        <item x="267"/>
        <item x="118"/>
        <item x="637"/>
        <item x="611"/>
        <item x="812"/>
        <item x="631"/>
        <item x="861"/>
        <item x="452"/>
        <item x="80"/>
        <item x="365"/>
        <item x="682"/>
        <item x="717"/>
        <item x="363"/>
        <item x="278"/>
        <item x="130"/>
        <item x="143"/>
        <item x="817"/>
        <item x="886"/>
        <item x="121"/>
        <item x="128"/>
        <item x="842"/>
        <item x="20"/>
        <item x="813"/>
        <item x="690"/>
        <item x="759"/>
        <item x="45"/>
        <item x="778"/>
        <item x="112"/>
        <item x="55"/>
        <item x="638"/>
        <item x="716"/>
        <item x="790"/>
        <item x="144"/>
        <item x="83"/>
        <item x="202"/>
        <item x="788"/>
        <item x="552"/>
        <item x="301"/>
        <item x="722"/>
        <item x="109"/>
        <item x="477"/>
        <item x="624"/>
        <item x="756"/>
        <item x="743"/>
        <item x="504"/>
        <item x="918"/>
        <item x="233"/>
        <item x="711"/>
        <item x="95"/>
        <item x="663"/>
        <item x="747"/>
        <item x="466"/>
        <item x="405"/>
        <item x="421"/>
        <item x="753"/>
        <item x="13"/>
        <item x="473"/>
        <item x="390"/>
        <item x="772"/>
        <item x="622"/>
        <item x="249"/>
        <item x="774"/>
        <item x="217"/>
        <item x="328"/>
        <item x="543"/>
        <item x="702"/>
        <item x="841"/>
        <item x="338"/>
        <item x="763"/>
        <item x="455"/>
        <item x="781"/>
        <item x="276"/>
        <item x="9"/>
        <item x="247"/>
        <item x="691"/>
        <item x="809"/>
        <item x="782"/>
        <item x="849"/>
        <item x="214"/>
        <item x="476"/>
        <item x="104"/>
        <item x="71"/>
        <item x="664"/>
        <item x="134"/>
        <item x="29"/>
        <item x="87"/>
        <item x="191"/>
        <item x="70"/>
        <item x="155"/>
        <item x="161"/>
        <item x="368"/>
        <item x="910"/>
        <item x="538"/>
        <item x="453"/>
        <item x="510"/>
        <item x="250"/>
        <item x="357"/>
        <item x="384"/>
        <item x="140"/>
        <item x="524"/>
        <item x="41"/>
        <item x="917"/>
        <item x="208"/>
        <item x="346"/>
        <item x="336"/>
        <item x="913"/>
        <item x="47"/>
        <item x="668"/>
        <item x="69"/>
        <item x="488"/>
        <item x="539"/>
        <item x="808"/>
        <item x="99"/>
        <item x="16"/>
        <item x="710"/>
        <item x="525"/>
        <item x="445"/>
        <item x="354"/>
        <item x="887"/>
        <item x="602"/>
        <item x="380"/>
        <item x="835"/>
        <item x="304"/>
        <item x="30"/>
        <item x="288"/>
        <item x="519"/>
        <item x="19"/>
        <item x="549"/>
        <item x="557"/>
        <item x="307"/>
        <item x="669"/>
        <item x="426"/>
        <item x="420"/>
        <item x="371"/>
        <item x="148"/>
        <item x="33"/>
        <item x="767"/>
        <item x="810"/>
        <item x="615"/>
        <item x="875"/>
        <item x="846"/>
        <item x="119"/>
        <item x="573"/>
        <item x="659"/>
        <item x="670"/>
        <item x="315"/>
        <item x="385"/>
        <item x="242"/>
        <item x="231"/>
        <item x="654"/>
        <item x="748"/>
        <item x="865"/>
        <item x="350"/>
        <item x="511"/>
        <item x="333"/>
        <item x="815"/>
        <item x="131"/>
        <item x="253"/>
        <item x="412"/>
        <item x="884"/>
        <item x="443"/>
        <item x="486"/>
        <item x="685"/>
        <item x="190"/>
        <item x="598"/>
        <item x="731"/>
        <item x="873"/>
        <item x="176"/>
        <item x="298"/>
        <item x="341"/>
        <item x="168"/>
        <item x="531"/>
        <item x="79"/>
        <item x="754"/>
        <item x="783"/>
        <item x="264"/>
        <item x="792"/>
        <item x="540"/>
        <item x="170"/>
        <item x="909"/>
        <item x="830"/>
        <item x="545"/>
        <item x="43"/>
        <item x="619"/>
        <item x="795"/>
        <item x="840"/>
        <item x="294"/>
        <item x="375"/>
        <item x="629"/>
        <item x="296"/>
        <item x="487"/>
        <item x="891"/>
        <item x="361"/>
        <item x="310"/>
        <item x="324"/>
        <item x="427"/>
        <item x="902"/>
        <item x="749"/>
        <item x="379"/>
        <item x="271"/>
        <item x="825"/>
        <item x="60"/>
        <item x="21"/>
        <item x="289"/>
        <item x="366"/>
        <item x="766"/>
        <item x="273"/>
        <item x="76"/>
        <item x="256"/>
        <item x="97"/>
        <item x="89"/>
        <item x="167"/>
        <item x="442"/>
        <item x="904"/>
        <item x="533"/>
        <item x="623"/>
        <item x="642"/>
        <item x="18"/>
        <item x="54"/>
        <item x="653"/>
        <item x="53"/>
        <item x="480"/>
        <item x="218"/>
        <item x="113"/>
        <item x="852"/>
        <item x="287"/>
        <item x="59"/>
        <item x="920"/>
        <item x="240"/>
        <item x="892"/>
        <item x="484"/>
        <item x="632"/>
        <item x="411"/>
        <item x="159"/>
        <item x="360"/>
        <item x="219"/>
        <item x="697"/>
        <item x="630"/>
        <item x="876"/>
        <item x="417"/>
        <item x="723"/>
        <item x="880"/>
        <item x="613"/>
        <item x="162"/>
        <item x="204"/>
        <item x="437"/>
        <item x="608"/>
        <item x="111"/>
        <item x="284"/>
        <item x="344"/>
        <item x="534"/>
        <item x="343"/>
        <item x="675"/>
        <item x="469"/>
        <item x="644"/>
        <item x="151"/>
        <item x="430"/>
        <item x="683"/>
        <item x="847"/>
        <item x="397"/>
        <item x="584"/>
        <item x="172"/>
        <item x="496"/>
        <item x="834"/>
        <item x="732"/>
        <item x="571"/>
        <item t="default"/>
      </items>
    </pivotField>
    <pivotField showAll="0"/>
    <pivotField showAll="0">
      <items count="6">
        <item x="2"/>
        <item x="1"/>
        <item x="0"/>
        <item x="3"/>
        <item x="4"/>
        <item t="default"/>
      </items>
    </pivotField>
    <pivotField showAll="0"/>
    <pivotField numFmtId="1" showAll="0"/>
    <pivotField showAll="0" nonAutoSortDefault="1">
      <items count="4">
        <item x="0"/>
        <item x="1"/>
        <item x="2"/>
        <item t="default"/>
      </items>
    </pivotField>
    <pivotField numFmtId="164" showAll="0"/>
    <pivotField showAll="0"/>
    <pivotField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6">
        <item n="0-20" sd="0" x="0"/>
        <item n="21-40" sd="0" x="1"/>
        <item n="41-60" sd="0" x="2"/>
        <item n="61-80" sd="0" x="3"/>
        <item n="81-100" sd="0" x="4"/>
        <item t="default"/>
      </items>
    </pivotField>
    <pivotField showAll="0">
      <items count="6">
        <item x="0"/>
        <item x="1"/>
        <item x="2"/>
        <item x="3"/>
        <item x="4"/>
        <item t="default"/>
      </items>
    </pivotField>
  </pivotFields>
  <rowFields count="1">
    <field x="17"/>
  </rowFields>
  <rowItems count="3">
    <i>
      <x v="1"/>
    </i>
    <i>
      <x/>
    </i>
    <i t="grand">
      <x/>
    </i>
  </rowItems>
  <colFields count="1">
    <field x="-2"/>
  </colFields>
  <colItems count="2">
    <i>
      <x/>
    </i>
    <i i="1">
      <x v="1"/>
    </i>
  </colItems>
  <dataFields count="2">
    <dataField name="Count of User_ID" fld="0" subtotal="count" baseField="0" baseItem="0"/>
    <dataField name="Average of Watch_Hours" fld="5" subtotal="average" baseField="18" baseItem="0" numFmtId="1"/>
  </dataFields>
  <formats count="12">
    <format dxfId="240">
      <pivotArea type="all" dataOnly="0" outline="0" fieldPosition="0"/>
    </format>
    <format dxfId="239">
      <pivotArea outline="0" collapsedLevelsAreSubtotals="1" fieldPosition="0"/>
    </format>
    <format dxfId="238">
      <pivotArea field="24" type="button" dataOnly="0" labelOnly="1" outline="0"/>
    </format>
    <format dxfId="237">
      <pivotArea dataOnly="0" labelOnly="1" grandRow="1" outline="0" fieldPosition="0"/>
    </format>
    <format dxfId="236">
      <pivotArea type="all" dataOnly="0" outline="0" fieldPosition="0"/>
    </format>
    <format dxfId="235">
      <pivotArea outline="0" collapsedLevelsAreSubtotals="1" fieldPosition="0"/>
    </format>
    <format dxfId="234">
      <pivotArea field="24" type="button" dataOnly="0" labelOnly="1" outline="0"/>
    </format>
    <format dxfId="233">
      <pivotArea dataOnly="0" labelOnly="1" grandRow="1" outline="0" fieldPosition="0"/>
    </format>
    <format dxfId="232">
      <pivotArea type="all" dataOnly="0" outline="0" fieldPosition="0"/>
    </format>
    <format dxfId="231">
      <pivotArea outline="0" collapsedLevelsAreSubtotals="1" fieldPosition="0"/>
    </format>
    <format dxfId="230">
      <pivotArea field="24" type="button" dataOnly="0" labelOnly="1" outline="0"/>
    </format>
    <format dxfId="229">
      <pivotArea dataOnly="0" labelOnly="1" grandRow="1" outline="0" fieldPosition="0"/>
    </format>
  </formats>
  <chartFormats count="6">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7" count="1" selected="0">
            <x v="1"/>
          </reference>
        </references>
      </pivotArea>
    </chartFormat>
    <chartFormat chart="9" format="10">
      <pivotArea type="data" outline="0" fieldPosition="0">
        <references count="2">
          <reference field="4294967294" count="1" selected="0">
            <x v="0"/>
          </reference>
          <reference field="17" count="1" selected="0">
            <x v="0"/>
          </reference>
        </references>
      </pivotArea>
    </chartFormat>
    <chartFormat chart="9" format="11" series="1">
      <pivotArea type="data" outline="0" fieldPosition="0">
        <references count="1">
          <reference field="4294967294" count="1" selected="0">
            <x v="1"/>
          </reference>
        </references>
      </pivotArea>
    </chartFormat>
    <chartFormat chart="9" format="12">
      <pivotArea type="data" outline="0" fieldPosition="0">
        <references count="2">
          <reference field="4294967294" count="1" selected="0">
            <x v="1"/>
          </reference>
          <reference field="17" count="1" selected="0">
            <x v="1"/>
          </reference>
        </references>
      </pivotArea>
    </chartFormat>
    <chartFormat chart="9" format="13">
      <pivotArea type="data" outline="0" fieldPosition="0">
        <references count="2">
          <reference field="4294967294" count="1" selected="0">
            <x v="1"/>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16E29C5-DA23-427B-B2C3-0EFE434E5AAE}" name="2. User Engagement Metrics: 1.2"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8" rowHeaderCaption="RC Count">
  <location ref="L24:M30" firstHeaderRow="1" firstDataRow="1" firstDataCol="1"/>
  <pivotFields count="34">
    <pivotField numFmtId="1" showAll="0"/>
    <pivotField showAll="0"/>
    <pivotField numFmtId="14" showAll="0">
      <items count="538">
        <item x="91"/>
        <item x="302"/>
        <item x="102"/>
        <item x="424"/>
        <item x="54"/>
        <item x="127"/>
        <item x="51"/>
        <item x="274"/>
        <item x="137"/>
        <item x="53"/>
        <item x="201"/>
        <item x="417"/>
        <item x="218"/>
        <item x="228"/>
        <item x="374"/>
        <item x="524"/>
        <item x="484"/>
        <item x="514"/>
        <item x="470"/>
        <item x="513"/>
        <item x="333"/>
        <item x="463"/>
        <item x="368"/>
        <item x="222"/>
        <item x="176"/>
        <item x="119"/>
        <item x="255"/>
        <item x="270"/>
        <item x="281"/>
        <item x="251"/>
        <item x="344"/>
        <item x="497"/>
        <item x="3"/>
        <item x="200"/>
        <item x="58"/>
        <item x="504"/>
        <item x="86"/>
        <item x="147"/>
        <item x="116"/>
        <item x="224"/>
        <item x="359"/>
        <item x="478"/>
        <item x="440"/>
        <item x="16"/>
        <item x="242"/>
        <item x="471"/>
        <item x="100"/>
        <item x="507"/>
        <item x="65"/>
        <item x="128"/>
        <item x="233"/>
        <item x="131"/>
        <item x="217"/>
        <item x="152"/>
        <item x="372"/>
        <item x="62"/>
        <item x="397"/>
        <item x="393"/>
        <item x="204"/>
        <item x="364"/>
        <item x="139"/>
        <item x="112"/>
        <item x="253"/>
        <item x="475"/>
        <item x="518"/>
        <item x="151"/>
        <item x="378"/>
        <item x="264"/>
        <item x="123"/>
        <item x="269"/>
        <item x="353"/>
        <item x="453"/>
        <item x="45"/>
        <item x="47"/>
        <item x="12"/>
        <item x="10"/>
        <item x="361"/>
        <item x="108"/>
        <item x="1"/>
        <item x="42"/>
        <item x="408"/>
        <item x="428"/>
        <item x="334"/>
        <item x="367"/>
        <item x="459"/>
        <item x="275"/>
        <item x="64"/>
        <item x="410"/>
        <item x="90"/>
        <item x="505"/>
        <item x="241"/>
        <item x="154"/>
        <item x="336"/>
        <item x="306"/>
        <item x="232"/>
        <item x="211"/>
        <item x="413"/>
        <item x="44"/>
        <item x="491"/>
        <item x="494"/>
        <item x="80"/>
        <item x="427"/>
        <item x="124"/>
        <item x="132"/>
        <item x="400"/>
        <item x="324"/>
        <item x="177"/>
        <item x="480"/>
        <item x="130"/>
        <item x="172"/>
        <item x="0"/>
        <item x="190"/>
        <item x="315"/>
        <item x="366"/>
        <item x="392"/>
        <item x="282"/>
        <item x="181"/>
        <item x="194"/>
        <item x="318"/>
        <item x="266"/>
        <item x="369"/>
        <item x="461"/>
        <item x="230"/>
        <item x="532"/>
        <item x="257"/>
        <item x="178"/>
        <item x="17"/>
        <item x="469"/>
        <item x="351"/>
        <item x="4"/>
        <item x="14"/>
        <item x="173"/>
        <item x="148"/>
        <item x="175"/>
        <item x="405"/>
        <item x="339"/>
        <item x="509"/>
        <item x="8"/>
        <item x="156"/>
        <item x="25"/>
        <item x="98"/>
        <item x="519"/>
        <item x="31"/>
        <item x="391"/>
        <item x="60"/>
        <item x="506"/>
        <item x="220"/>
        <item x="434"/>
        <item x="454"/>
        <item x="19"/>
        <item x="164"/>
        <item x="402"/>
        <item x="373"/>
        <item x="273"/>
        <item x="294"/>
        <item x="199"/>
        <item x="20"/>
        <item x="41"/>
        <item x="476"/>
        <item x="244"/>
        <item x="510"/>
        <item x="94"/>
        <item x="468"/>
        <item x="229"/>
        <item x="49"/>
        <item x="239"/>
        <item x="395"/>
        <item x="68"/>
        <item x="2"/>
        <item x="88"/>
        <item x="250"/>
        <item x="236"/>
        <item x="101"/>
        <item x="436"/>
        <item x="247"/>
        <item x="260"/>
        <item x="189"/>
        <item x="515"/>
        <item x="183"/>
        <item x="37"/>
        <item x="75"/>
        <item x="398"/>
        <item x="482"/>
        <item x="335"/>
        <item x="330"/>
        <item x="511"/>
        <item x="296"/>
        <item x="208"/>
        <item x="213"/>
        <item x="399"/>
        <item x="46"/>
        <item x="206"/>
        <item x="288"/>
        <item x="133"/>
        <item x="69"/>
        <item x="457"/>
        <item x="197"/>
        <item x="409"/>
        <item x="337"/>
        <item x="84"/>
        <item x="486"/>
        <item x="383"/>
        <item x="35"/>
        <item x="442"/>
        <item x="5"/>
        <item x="381"/>
        <item x="293"/>
        <item x="18"/>
        <item x="467"/>
        <item x="23"/>
        <item x="425"/>
        <item x="162"/>
        <item x="423"/>
        <item x="332"/>
        <item x="271"/>
        <item x="106"/>
        <item x="346"/>
        <item x="113"/>
        <item x="477"/>
        <item x="437"/>
        <item x="422"/>
        <item x="57"/>
        <item x="67"/>
        <item x="223"/>
        <item x="153"/>
        <item x="140"/>
        <item x="87"/>
        <item x="82"/>
        <item x="231"/>
        <item x="73"/>
        <item x="501"/>
        <item x="305"/>
        <item x="89"/>
        <item x="431"/>
        <item x="340"/>
        <item x="143"/>
        <item x="456"/>
        <item x="472"/>
        <item x="341"/>
        <item x="298"/>
        <item x="529"/>
        <item x="326"/>
        <item x="212"/>
        <item x="195"/>
        <item x="347"/>
        <item x="462"/>
        <item x="196"/>
        <item x="22"/>
        <item x="388"/>
        <item x="534"/>
        <item x="120"/>
        <item x="536"/>
        <item x="66"/>
        <item x="32"/>
        <item x="517"/>
        <item x="285"/>
        <item x="9"/>
        <item x="492"/>
        <item x="170"/>
        <item x="72"/>
        <item x="327"/>
        <item x="96"/>
        <item x="184"/>
        <item x="329"/>
        <item x="371"/>
        <item x="320"/>
        <item x="342"/>
        <item x="377"/>
        <item x="452"/>
        <item x="527"/>
        <item x="81"/>
        <item x="56"/>
        <item x="418"/>
        <item x="406"/>
        <item x="262"/>
        <item x="522"/>
        <item x="209"/>
        <item x="263"/>
        <item x="61"/>
        <item x="307"/>
        <item x="74"/>
        <item x="357"/>
        <item x="286"/>
        <item x="205"/>
        <item x="261"/>
        <item x="443"/>
        <item x="414"/>
        <item x="203"/>
        <item x="33"/>
        <item x="126"/>
        <item x="248"/>
        <item x="142"/>
        <item x="280"/>
        <item x="394"/>
        <item x="287"/>
        <item x="243"/>
        <item x="110"/>
        <item x="317"/>
        <item x="303"/>
        <item x="161"/>
        <item x="489"/>
        <item x="215"/>
        <item x="27"/>
        <item x="144"/>
        <item x="121"/>
        <item x="246"/>
        <item x="321"/>
        <item x="163"/>
        <item x="525"/>
        <item x="104"/>
        <item x="415"/>
        <item x="92"/>
        <item x="419"/>
        <item x="38"/>
        <item x="438"/>
        <item x="309"/>
        <item x="150"/>
        <item x="473"/>
        <item x="171"/>
        <item x="155"/>
        <item x="348"/>
        <item x="198"/>
        <item x="185"/>
        <item x="387"/>
        <item x="83"/>
        <item x="426"/>
        <item x="11"/>
        <item x="103"/>
        <item x="375"/>
        <item x="354"/>
        <item x="495"/>
        <item x="219"/>
        <item x="498"/>
        <item x="432"/>
        <item x="531"/>
        <item x="252"/>
        <item x="63"/>
        <item x="99"/>
        <item x="355"/>
        <item x="328"/>
        <item x="358"/>
        <item x="202"/>
        <item x="180"/>
        <item x="157"/>
        <item x="28"/>
        <item x="379"/>
        <item x="444"/>
        <item x="445"/>
        <item x="138"/>
        <item x="533"/>
        <item x="52"/>
        <item x="450"/>
        <item x="412"/>
        <item x="43"/>
        <item x="420"/>
        <item x="272"/>
        <item x="370"/>
        <item x="526"/>
        <item x="290"/>
        <item x="292"/>
        <item x="283"/>
        <item x="300"/>
        <item x="343"/>
        <item x="384"/>
        <item x="210"/>
        <item x="535"/>
        <item x="145"/>
        <item x="401"/>
        <item x="523"/>
        <item x="403"/>
        <item x="179"/>
        <item x="350"/>
        <item x="169"/>
        <item x="512"/>
        <item x="439"/>
        <item x="310"/>
        <item x="256"/>
        <item x="235"/>
        <item x="376"/>
        <item x="363"/>
        <item x="396"/>
        <item x="24"/>
        <item x="254"/>
        <item x="15"/>
        <item x="149"/>
        <item x="26"/>
        <item x="465"/>
        <item x="458"/>
        <item x="520"/>
        <item x="490"/>
        <item x="352"/>
        <item x="118"/>
        <item x="7"/>
        <item x="93"/>
        <item x="221"/>
        <item x="214"/>
        <item x="356"/>
        <item x="521"/>
        <item x="345"/>
        <item x="386"/>
        <item x="448"/>
        <item x="441"/>
        <item x="429"/>
        <item x="502"/>
        <item x="21"/>
        <item x="182"/>
        <item x="365"/>
        <item x="141"/>
        <item x="48"/>
        <item x="500"/>
        <item x="299"/>
        <item x="226"/>
        <item x="338"/>
        <item x="85"/>
        <item x="481"/>
        <item x="411"/>
        <item x="488"/>
        <item x="297"/>
        <item x="29"/>
        <item x="167"/>
        <item x="97"/>
        <item x="70"/>
        <item x="447"/>
        <item x="238"/>
        <item x="109"/>
        <item x="380"/>
        <item x="325"/>
        <item x="466"/>
        <item x="389"/>
        <item x="165"/>
        <item x="404"/>
        <item x="71"/>
        <item x="277"/>
        <item x="77"/>
        <item x="291"/>
        <item x="446"/>
        <item x="455"/>
        <item x="289"/>
        <item x="237"/>
        <item x="295"/>
        <item x="362"/>
        <item x="349"/>
        <item x="528"/>
        <item x="39"/>
        <item x="174"/>
        <item x="508"/>
        <item x="258"/>
        <item x="135"/>
        <item x="168"/>
        <item x="493"/>
        <item x="187"/>
        <item x="268"/>
        <item x="483"/>
        <item x="78"/>
        <item x="304"/>
        <item x="474"/>
        <item x="6"/>
        <item x="301"/>
        <item x="284"/>
        <item x="79"/>
        <item x="186"/>
        <item x="276"/>
        <item x="433"/>
        <item x="499"/>
        <item x="216"/>
        <item x="323"/>
        <item x="55"/>
        <item x="278"/>
        <item x="193"/>
        <item x="316"/>
        <item x="13"/>
        <item x="279"/>
        <item x="40"/>
        <item x="314"/>
        <item x="191"/>
        <item x="146"/>
        <item x="416"/>
        <item x="207"/>
        <item x="227"/>
        <item x="259"/>
        <item x="105"/>
        <item x="249"/>
        <item x="516"/>
        <item x="136"/>
        <item x="36"/>
        <item x="312"/>
        <item x="34"/>
        <item x="319"/>
        <item x="503"/>
        <item x="331"/>
        <item x="240"/>
        <item x="421"/>
        <item x="192"/>
        <item x="311"/>
        <item x="267"/>
        <item x="117"/>
        <item x="496"/>
        <item x="134"/>
        <item x="390"/>
        <item x="449"/>
        <item x="76"/>
        <item x="160"/>
        <item x="360"/>
        <item x="385"/>
        <item x="460"/>
        <item x="166"/>
        <item x="234"/>
        <item x="245"/>
        <item x="95"/>
        <item x="50"/>
        <item x="407"/>
        <item x="322"/>
        <item x="265"/>
        <item x="464"/>
        <item x="479"/>
        <item x="487"/>
        <item x="451"/>
        <item x="115"/>
        <item x="159"/>
        <item x="225"/>
        <item x="111"/>
        <item x="308"/>
        <item x="122"/>
        <item x="114"/>
        <item x="59"/>
        <item x="382"/>
        <item x="129"/>
        <item x="188"/>
        <item x="485"/>
        <item x="107"/>
        <item x="158"/>
        <item x="530"/>
        <item x="30"/>
        <item x="125"/>
        <item x="313"/>
        <item x="430"/>
        <item x="435"/>
        <item t="default"/>
      </items>
    </pivotField>
    <pivotField numFmtId="14" showAll="0"/>
    <pivotField numFmtId="165" showAll="0"/>
    <pivotField dataField="1" numFmtId="1" showAll="0"/>
    <pivotField showAll="0">
      <items count="8">
        <item x="0"/>
        <item x="5"/>
        <item x="3"/>
        <item x="1"/>
        <item x="4"/>
        <item x="6"/>
        <item x="2"/>
        <item t="default"/>
      </items>
    </pivotField>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pivotField showAll="0"/>
    <pivotField axis="axisRow" numFmtId="1" showAll="0">
      <items count="102">
        <item x="13"/>
        <item x="6"/>
        <item x="99"/>
        <item x="20"/>
        <item x="69"/>
        <item x="78"/>
        <item x="65"/>
        <item x="34"/>
        <item x="39"/>
        <item x="87"/>
        <item x="95"/>
        <item x="17"/>
        <item x="32"/>
        <item x="44"/>
        <item x="31"/>
        <item x="48"/>
        <item x="88"/>
        <item x="71"/>
        <item x="57"/>
        <item x="96"/>
        <item x="66"/>
        <item x="68"/>
        <item x="46"/>
        <item x="73"/>
        <item x="50"/>
        <item x="14"/>
        <item x="8"/>
        <item x="21"/>
        <item x="72"/>
        <item x="94"/>
        <item x="55"/>
        <item x="97"/>
        <item x="7"/>
        <item x="36"/>
        <item x="91"/>
        <item x="93"/>
        <item x="58"/>
        <item x="86"/>
        <item x="11"/>
        <item x="4"/>
        <item x="42"/>
        <item x="81"/>
        <item x="19"/>
        <item x="80"/>
        <item x="52"/>
        <item x="30"/>
        <item x="63"/>
        <item x="3"/>
        <item x="60"/>
        <item x="77"/>
        <item x="16"/>
        <item x="82"/>
        <item x="64"/>
        <item x="56"/>
        <item x="84"/>
        <item x="38"/>
        <item x="2"/>
        <item x="10"/>
        <item x="27"/>
        <item x="76"/>
        <item x="22"/>
        <item x="47"/>
        <item x="12"/>
        <item x="40"/>
        <item x="61"/>
        <item x="15"/>
        <item x="29"/>
        <item x="79"/>
        <item x="53"/>
        <item x="1"/>
        <item x="85"/>
        <item x="5"/>
        <item x="35"/>
        <item x="59"/>
        <item x="98"/>
        <item x="100"/>
        <item x="24"/>
        <item x="70"/>
        <item x="18"/>
        <item x="37"/>
        <item x="54"/>
        <item x="74"/>
        <item x="45"/>
        <item x="75"/>
        <item x="0"/>
        <item x="26"/>
        <item x="89"/>
        <item x="62"/>
        <item x="51"/>
        <item x="83"/>
        <item x="9"/>
        <item x="23"/>
        <item x="92"/>
        <item x="67"/>
        <item x="43"/>
        <item x="49"/>
        <item x="41"/>
        <item x="28"/>
        <item x="25"/>
        <item x="33"/>
        <item x="90"/>
        <item t="default"/>
      </items>
    </pivotField>
    <pivotField numFmtId="164" showAll="0"/>
    <pivotField showAll="0"/>
    <pivotField showAll="0"/>
    <pivotField numFmtId="1" showAll="0">
      <items count="925">
        <item x="820"/>
        <item x="647"/>
        <item x="269"/>
        <item x="416"/>
        <item x="448"/>
        <item x="701"/>
        <item x="5"/>
        <item x="919"/>
        <item x="73"/>
        <item x="680"/>
        <item x="640"/>
        <item x="290"/>
        <item x="407"/>
        <item x="395"/>
        <item x="423"/>
        <item x="272"/>
        <item x="409"/>
        <item x="332"/>
        <item x="422"/>
        <item x="205"/>
        <item x="150"/>
        <item x="609"/>
        <item x="565"/>
        <item x="435"/>
        <item x="206"/>
        <item x="180"/>
        <item x="125"/>
        <item x="509"/>
        <item x="203"/>
        <item x="323"/>
        <item x="342"/>
        <item x="314"/>
        <item x="718"/>
        <item x="761"/>
        <item x="858"/>
        <item x="432"/>
        <item x="592"/>
        <item x="141"/>
        <item x="459"/>
        <item x="11"/>
        <item x="175"/>
        <item x="174"/>
        <item x="528"/>
        <item x="786"/>
        <item x="705"/>
        <item x="394"/>
        <item x="229"/>
        <item x="207"/>
        <item x="883"/>
        <item x="86"/>
        <item x="532"/>
        <item x="451"/>
        <item x="374"/>
        <item x="878"/>
        <item x="833"/>
        <item x="700"/>
        <item x="526"/>
        <item x="22"/>
        <item x="292"/>
        <item x="246"/>
        <item x="494"/>
        <item x="679"/>
        <item x="601"/>
        <item x="367"/>
        <item x="399"/>
        <item x="337"/>
        <item x="8"/>
        <item x="677"/>
        <item x="401"/>
        <item x="68"/>
        <item x="66"/>
        <item x="468"/>
        <item x="260"/>
        <item x="517"/>
        <item x="729"/>
        <item x="277"/>
        <item x="502"/>
        <item x="650"/>
        <item x="866"/>
        <item x="627"/>
        <item x="612"/>
        <item x="462"/>
        <item x="415"/>
        <item x="660"/>
        <item x="67"/>
        <item x="489"/>
        <item x="238"/>
        <item x="775"/>
        <item x="678"/>
        <item x="768"/>
        <item x="51"/>
        <item x="181"/>
        <item x="893"/>
        <item x="157"/>
        <item x="607"/>
        <item x="46"/>
        <item x="482"/>
        <item x="241"/>
        <item x="156"/>
        <item x="127"/>
        <item x="153"/>
        <item x="550"/>
        <item x="280"/>
        <item x="515"/>
        <item x="805"/>
        <item x="554"/>
        <item x="512"/>
        <item x="450"/>
        <item x="479"/>
        <item x="88"/>
        <item x="698"/>
        <item x="389"/>
        <item x="90"/>
        <item x="44"/>
        <item x="320"/>
        <item x="340"/>
        <item x="308"/>
        <item x="800"/>
        <item x="122"/>
        <item x="321"/>
        <item x="431"/>
        <item x="785"/>
        <item x="15"/>
        <item x="222"/>
        <item x="94"/>
        <item x="10"/>
        <item x="559"/>
        <item x="588"/>
        <item x="553"/>
        <item x="210"/>
        <item x="237"/>
        <item x="441"/>
        <item x="434"/>
        <item x="755"/>
        <item x="235"/>
        <item x="117"/>
        <item x="474"/>
        <item x="160"/>
        <item x="587"/>
        <item x="257"/>
        <item x="318"/>
        <item x="457"/>
        <item x="492"/>
        <item x="6"/>
        <item x="491"/>
        <item x="499"/>
        <item x="728"/>
        <item x="906"/>
        <item x="692"/>
        <item x="356"/>
        <item x="816"/>
        <item x="31"/>
        <item x="719"/>
        <item x="58"/>
        <item x="309"/>
        <item x="822"/>
        <item x="651"/>
        <item x="37"/>
        <item x="889"/>
        <item x="764"/>
        <item x="516"/>
        <item x="655"/>
        <item x="819"/>
        <item x="633"/>
        <item x="696"/>
        <item x="577"/>
        <item x="726"/>
        <item x="518"/>
        <item x="147"/>
        <item x="463"/>
        <item x="618"/>
        <item x="335"/>
        <item x="848"/>
        <item x="212"/>
        <item x="75"/>
        <item x="165"/>
        <item x="115"/>
        <item x="709"/>
        <item x="739"/>
        <item x="211"/>
        <item x="3"/>
        <item x="868"/>
        <item x="467"/>
        <item x="376"/>
        <item x="61"/>
        <item x="225"/>
        <item x="495"/>
        <item x="784"/>
        <item x="254"/>
        <item x="799"/>
        <item x="259"/>
        <item x="725"/>
        <item x="888"/>
        <item x="403"/>
        <item x="567"/>
        <item x="281"/>
        <item x="908"/>
        <item x="142"/>
        <item x="546"/>
        <item x="188"/>
        <item x="14"/>
        <item x="464"/>
        <item x="184"/>
        <item x="200"/>
        <item x="751"/>
        <item x="541"/>
        <item x="600"/>
        <item x="311"/>
        <item x="319"/>
        <item x="544"/>
        <item x="63"/>
        <item x="265"/>
        <item x="295"/>
        <item x="896"/>
        <item x="746"/>
        <item x="192"/>
        <item x="620"/>
        <item x="62"/>
        <item x="17"/>
        <item x="596"/>
        <item x="132"/>
        <item x="839"/>
        <item x="285"/>
        <item x="414"/>
        <item x="591"/>
        <item x="684"/>
        <item x="689"/>
        <item x="406"/>
        <item x="796"/>
        <item x="804"/>
        <item x="91"/>
        <item x="687"/>
        <item x="824"/>
        <item x="625"/>
        <item x="897"/>
        <item x="575"/>
        <item x="628"/>
        <item x="676"/>
        <item x="387"/>
        <item x="498"/>
        <item x="446"/>
        <item x="576"/>
        <item x="49"/>
        <item x="381"/>
        <item x="769"/>
        <item x="703"/>
        <item x="593"/>
        <item x="433"/>
        <item x="548"/>
        <item x="674"/>
        <item x="616"/>
        <item x="78"/>
        <item x="864"/>
        <item x="551"/>
        <item x="801"/>
        <item x="358"/>
        <item x="776"/>
        <item x="857"/>
        <item x="120"/>
        <item x="444"/>
        <item x="844"/>
        <item x="606"/>
        <item x="594"/>
        <item x="733"/>
        <item x="388"/>
        <item x="777"/>
        <item x="187"/>
        <item x="555"/>
        <item x="24"/>
        <item x="566"/>
        <item x="712"/>
        <item x="828"/>
        <item x="317"/>
        <item x="158"/>
        <item x="313"/>
        <item x="339"/>
        <item x="438"/>
        <item x="392"/>
        <item x="244"/>
        <item x="652"/>
        <item x="297"/>
        <item x="378"/>
        <item x="177"/>
        <item x="386"/>
        <item x="779"/>
        <item x="558"/>
        <item x="811"/>
        <item x="228"/>
        <item x="657"/>
        <item x="439"/>
        <item x="621"/>
        <item x="867"/>
        <item x="590"/>
        <item x="312"/>
        <item x="440"/>
        <item x="74"/>
        <item x="329"/>
        <item x="266"/>
        <item x="429"/>
        <item x="580"/>
        <item x="110"/>
        <item x="542"/>
        <item x="853"/>
        <item x="860"/>
        <item x="879"/>
        <item x="331"/>
        <item x="293"/>
        <item x="282"/>
        <item x="12"/>
        <item x="735"/>
        <item x="326"/>
        <item x="595"/>
        <item x="136"/>
        <item x="40"/>
        <item x="408"/>
        <item x="48"/>
        <item x="634"/>
        <item x="791"/>
        <item x="236"/>
        <item x="220"/>
        <item x="179"/>
        <item x="497"/>
        <item x="345"/>
        <item x="681"/>
        <item x="648"/>
        <item x="907"/>
        <item x="905"/>
        <item x="862"/>
        <item x="26"/>
        <item x="81"/>
        <item x="535"/>
        <item x="798"/>
        <item x="186"/>
        <item x="2"/>
        <item x="827"/>
        <item x="699"/>
        <item x="597"/>
        <item x="900"/>
        <item x="413"/>
        <item x="65"/>
        <item x="578"/>
        <item x="50"/>
        <item x="129"/>
        <item x="330"/>
        <item x="418"/>
        <item x="224"/>
        <item x="56"/>
        <item x="102"/>
        <item x="752"/>
        <item x="500"/>
        <item x="797"/>
        <item x="870"/>
        <item x="626"/>
        <item x="720"/>
        <item x="398"/>
        <item x="802"/>
        <item x="4"/>
        <item x="370"/>
        <item x="649"/>
        <item x="279"/>
        <item x="821"/>
        <item x="133"/>
        <item x="641"/>
        <item x="25"/>
        <item x="193"/>
        <item x="569"/>
        <item x="871"/>
        <item x="373"/>
        <item x="274"/>
        <item x="530"/>
        <item x="646"/>
        <item x="793"/>
        <item x="64"/>
        <item x="305"/>
        <item x="713"/>
        <item x="404"/>
        <item x="194"/>
        <item x="166"/>
        <item x="103"/>
        <item x="197"/>
        <item x="818"/>
        <item x="283"/>
        <item x="223"/>
        <item x="899"/>
        <item x="922"/>
        <item x="671"/>
        <item x="581"/>
        <item x="152"/>
        <item x="708"/>
        <item x="714"/>
        <item x="334"/>
        <item x="145"/>
        <item x="355"/>
        <item x="505"/>
        <item x="472"/>
        <item x="724"/>
        <item x="744"/>
        <item x="351"/>
        <item x="146"/>
        <item x="911"/>
        <item x="465"/>
        <item x="851"/>
        <item x="470"/>
        <item x="456"/>
        <item x="226"/>
        <item x="521"/>
        <item x="727"/>
        <item x="352"/>
        <item x="471"/>
        <item x="372"/>
        <item x="854"/>
        <item x="402"/>
        <item x="658"/>
        <item x="885"/>
        <item x="672"/>
        <item x="740"/>
        <item x="823"/>
        <item x="377"/>
        <item x="124"/>
        <item x="661"/>
        <item x="82"/>
        <item x="547"/>
        <item x="232"/>
        <item x="863"/>
        <item x="562"/>
        <item x="149"/>
        <item x="261"/>
        <item x="234"/>
        <item x="789"/>
        <item x="665"/>
        <item x="199"/>
        <item x="656"/>
        <item x="610"/>
        <item x="901"/>
        <item x="1"/>
        <item x="255"/>
        <item x="36"/>
        <item x="845"/>
        <item x="787"/>
        <item x="189"/>
        <item x="877"/>
        <item x="694"/>
        <item x="855"/>
        <item x="881"/>
        <item x="856"/>
        <item x="704"/>
        <item x="369"/>
        <item x="673"/>
        <item x="173"/>
        <item x="123"/>
        <item x="353"/>
        <item x="503"/>
        <item x="393"/>
        <item x="306"/>
        <item x="85"/>
        <item x="230"/>
        <item x="169"/>
        <item x="196"/>
        <item x="478"/>
        <item x="23"/>
        <item x="536"/>
        <item x="39"/>
        <item x="302"/>
        <item x="490"/>
        <item x="890"/>
        <item x="461"/>
        <item x="348"/>
        <item x="579"/>
        <item x="750"/>
        <item x="382"/>
        <item x="915"/>
        <item x="667"/>
        <item x="424"/>
        <item x="154"/>
        <item x="850"/>
        <item x="872"/>
        <item x="106"/>
        <item x="757"/>
        <item x="738"/>
        <item x="693"/>
        <item x="832"/>
        <item x="239"/>
        <item x="903"/>
        <item x="572"/>
        <item x="248"/>
        <item x="215"/>
        <item x="614"/>
        <item x="666"/>
        <item x="636"/>
        <item x="419"/>
        <item x="216"/>
        <item x="275"/>
        <item x="185"/>
        <item x="198"/>
        <item x="34"/>
        <item x="806"/>
        <item x="586"/>
        <item x="291"/>
        <item x="163"/>
        <item x="582"/>
        <item x="643"/>
        <item x="139"/>
        <item x="758"/>
        <item x="322"/>
        <item x="537"/>
        <item x="262"/>
        <item x="894"/>
        <item x="263"/>
        <item x="436"/>
        <item x="561"/>
        <item x="425"/>
        <item x="38"/>
        <item x="137"/>
        <item x="895"/>
        <item x="428"/>
        <item x="773"/>
        <item x="209"/>
        <item x="485"/>
        <item x="107"/>
        <item x="734"/>
        <item x="794"/>
        <item x="349"/>
        <item x="396"/>
        <item x="116"/>
        <item x="27"/>
        <item x="501"/>
        <item x="765"/>
        <item x="35"/>
        <item x="221"/>
        <item x="513"/>
        <item x="347"/>
        <item x="126"/>
        <item x="762"/>
        <item x="568"/>
        <item x="481"/>
        <item x="560"/>
        <item x="604"/>
        <item x="258"/>
        <item x="178"/>
        <item x="84"/>
        <item x="686"/>
        <item x="303"/>
        <item x="916"/>
        <item x="108"/>
        <item x="7"/>
        <item x="98"/>
        <item x="483"/>
        <item x="605"/>
        <item x="0"/>
        <item x="529"/>
        <item x="843"/>
        <item x="245"/>
        <item x="364"/>
        <item x="921"/>
        <item x="213"/>
        <item x="836"/>
        <item x="447"/>
        <item x="96"/>
        <item x="100"/>
        <item x="201"/>
        <item x="826"/>
        <item x="195"/>
        <item x="617"/>
        <item x="243"/>
        <item x="77"/>
        <item x="695"/>
        <item x="599"/>
        <item x="362"/>
        <item x="736"/>
        <item x="707"/>
        <item x="570"/>
        <item x="639"/>
        <item x="400"/>
        <item x="270"/>
        <item x="268"/>
        <item x="171"/>
        <item x="803"/>
        <item x="688"/>
        <item x="359"/>
        <item x="742"/>
        <item x="771"/>
        <item x="286"/>
        <item x="138"/>
        <item x="183"/>
        <item x="706"/>
        <item x="645"/>
        <item x="760"/>
        <item x="912"/>
        <item x="837"/>
        <item x="449"/>
        <item x="72"/>
        <item x="721"/>
        <item x="874"/>
        <item x="327"/>
        <item x="520"/>
        <item x="574"/>
        <item x="299"/>
        <item x="838"/>
        <item x="741"/>
        <item x="583"/>
        <item x="458"/>
        <item x="114"/>
        <item x="831"/>
        <item x="251"/>
        <item x="635"/>
        <item x="923"/>
        <item x="460"/>
        <item x="523"/>
        <item x="316"/>
        <item x="556"/>
        <item x="506"/>
        <item x="105"/>
        <item x="93"/>
        <item x="898"/>
        <item x="914"/>
        <item x="164"/>
        <item x="715"/>
        <item x="745"/>
        <item x="383"/>
        <item x="135"/>
        <item x="527"/>
        <item x="325"/>
        <item x="589"/>
        <item x="227"/>
        <item x="252"/>
        <item x="585"/>
        <item x="814"/>
        <item x="514"/>
        <item x="869"/>
        <item x="101"/>
        <item x="182"/>
        <item x="780"/>
        <item x="564"/>
        <item x="603"/>
        <item x="662"/>
        <item x="882"/>
        <item x="508"/>
        <item x="300"/>
        <item x="52"/>
        <item x="454"/>
        <item x="859"/>
        <item x="737"/>
        <item x="391"/>
        <item x="730"/>
        <item x="507"/>
        <item x="32"/>
        <item x="42"/>
        <item x="28"/>
        <item x="829"/>
        <item x="92"/>
        <item x="770"/>
        <item x="475"/>
        <item x="410"/>
        <item x="563"/>
        <item x="57"/>
        <item x="807"/>
        <item x="522"/>
        <item x="493"/>
        <item x="267"/>
        <item x="118"/>
        <item x="637"/>
        <item x="611"/>
        <item x="812"/>
        <item x="631"/>
        <item x="861"/>
        <item x="452"/>
        <item x="80"/>
        <item x="365"/>
        <item x="682"/>
        <item x="717"/>
        <item x="363"/>
        <item x="278"/>
        <item x="130"/>
        <item x="143"/>
        <item x="817"/>
        <item x="886"/>
        <item x="121"/>
        <item x="128"/>
        <item x="842"/>
        <item x="20"/>
        <item x="813"/>
        <item x="690"/>
        <item x="759"/>
        <item x="45"/>
        <item x="778"/>
        <item x="112"/>
        <item x="55"/>
        <item x="638"/>
        <item x="716"/>
        <item x="790"/>
        <item x="144"/>
        <item x="83"/>
        <item x="202"/>
        <item x="788"/>
        <item x="552"/>
        <item x="301"/>
        <item x="722"/>
        <item x="109"/>
        <item x="477"/>
        <item x="624"/>
        <item x="756"/>
        <item x="743"/>
        <item x="504"/>
        <item x="918"/>
        <item x="233"/>
        <item x="711"/>
        <item x="95"/>
        <item x="663"/>
        <item x="747"/>
        <item x="466"/>
        <item x="405"/>
        <item x="421"/>
        <item x="753"/>
        <item x="13"/>
        <item x="473"/>
        <item x="390"/>
        <item x="772"/>
        <item x="622"/>
        <item x="249"/>
        <item x="774"/>
        <item x="217"/>
        <item x="328"/>
        <item x="543"/>
        <item x="702"/>
        <item x="841"/>
        <item x="338"/>
        <item x="763"/>
        <item x="455"/>
        <item x="781"/>
        <item x="276"/>
        <item x="9"/>
        <item x="247"/>
        <item x="691"/>
        <item x="809"/>
        <item x="782"/>
        <item x="849"/>
        <item x="214"/>
        <item x="476"/>
        <item x="104"/>
        <item x="71"/>
        <item x="664"/>
        <item x="134"/>
        <item x="29"/>
        <item x="87"/>
        <item x="191"/>
        <item x="70"/>
        <item x="155"/>
        <item x="161"/>
        <item x="368"/>
        <item x="910"/>
        <item x="538"/>
        <item x="453"/>
        <item x="510"/>
        <item x="250"/>
        <item x="357"/>
        <item x="384"/>
        <item x="140"/>
        <item x="524"/>
        <item x="41"/>
        <item x="917"/>
        <item x="208"/>
        <item x="346"/>
        <item x="336"/>
        <item x="913"/>
        <item x="47"/>
        <item x="668"/>
        <item x="69"/>
        <item x="488"/>
        <item x="539"/>
        <item x="808"/>
        <item x="99"/>
        <item x="16"/>
        <item x="710"/>
        <item x="525"/>
        <item x="445"/>
        <item x="354"/>
        <item x="887"/>
        <item x="602"/>
        <item x="380"/>
        <item x="835"/>
        <item x="304"/>
        <item x="30"/>
        <item x="288"/>
        <item x="519"/>
        <item x="19"/>
        <item x="549"/>
        <item x="557"/>
        <item x="307"/>
        <item x="669"/>
        <item x="426"/>
        <item x="420"/>
        <item x="371"/>
        <item x="148"/>
        <item x="33"/>
        <item x="767"/>
        <item x="810"/>
        <item x="615"/>
        <item x="875"/>
        <item x="846"/>
        <item x="119"/>
        <item x="573"/>
        <item x="659"/>
        <item x="670"/>
        <item x="315"/>
        <item x="385"/>
        <item x="242"/>
        <item x="231"/>
        <item x="654"/>
        <item x="748"/>
        <item x="865"/>
        <item x="350"/>
        <item x="511"/>
        <item x="333"/>
        <item x="815"/>
        <item x="131"/>
        <item x="253"/>
        <item x="412"/>
        <item x="884"/>
        <item x="443"/>
        <item x="486"/>
        <item x="685"/>
        <item x="190"/>
        <item x="598"/>
        <item x="731"/>
        <item x="873"/>
        <item x="176"/>
        <item x="298"/>
        <item x="341"/>
        <item x="168"/>
        <item x="531"/>
        <item x="79"/>
        <item x="754"/>
        <item x="783"/>
        <item x="264"/>
        <item x="792"/>
        <item x="540"/>
        <item x="170"/>
        <item x="909"/>
        <item x="830"/>
        <item x="545"/>
        <item x="43"/>
        <item x="619"/>
        <item x="795"/>
        <item x="840"/>
        <item x="294"/>
        <item x="375"/>
        <item x="629"/>
        <item x="296"/>
        <item x="487"/>
        <item x="891"/>
        <item x="361"/>
        <item x="310"/>
        <item x="324"/>
        <item x="427"/>
        <item x="902"/>
        <item x="749"/>
        <item x="379"/>
        <item x="271"/>
        <item x="825"/>
        <item x="60"/>
        <item x="21"/>
        <item x="289"/>
        <item x="366"/>
        <item x="766"/>
        <item x="273"/>
        <item x="76"/>
        <item x="256"/>
        <item x="97"/>
        <item x="89"/>
        <item x="167"/>
        <item x="442"/>
        <item x="904"/>
        <item x="533"/>
        <item x="623"/>
        <item x="642"/>
        <item x="18"/>
        <item x="54"/>
        <item x="653"/>
        <item x="53"/>
        <item x="480"/>
        <item x="218"/>
        <item x="113"/>
        <item x="852"/>
        <item x="287"/>
        <item x="59"/>
        <item x="920"/>
        <item x="240"/>
        <item x="892"/>
        <item x="484"/>
        <item x="632"/>
        <item x="411"/>
        <item x="159"/>
        <item x="360"/>
        <item x="219"/>
        <item x="697"/>
        <item x="630"/>
        <item x="876"/>
        <item x="417"/>
        <item x="723"/>
        <item x="880"/>
        <item x="613"/>
        <item x="162"/>
        <item x="204"/>
        <item x="437"/>
        <item x="608"/>
        <item x="111"/>
        <item x="284"/>
        <item x="344"/>
        <item x="534"/>
        <item x="343"/>
        <item x="675"/>
        <item x="469"/>
        <item x="644"/>
        <item x="151"/>
        <item x="430"/>
        <item x="683"/>
        <item x="847"/>
        <item x="397"/>
        <item x="584"/>
        <item x="172"/>
        <item x="496"/>
        <item x="834"/>
        <item x="732"/>
        <item x="571"/>
        <item t="default"/>
      </items>
    </pivotField>
    <pivotField showAll="0"/>
    <pivotField showAll="0">
      <items count="6">
        <item x="2"/>
        <item x="1"/>
        <item x="0"/>
        <item x="3"/>
        <item x="4"/>
        <item t="default"/>
      </items>
    </pivotField>
    <pivotField showAll="0"/>
    <pivotField numFmtId="1" showAll="0"/>
    <pivotField showAll="0" nonAutoSortDefault="1">
      <items count="4">
        <item x="0"/>
        <item x="1"/>
        <item x="2"/>
        <item t="default"/>
      </items>
    </pivotField>
    <pivotField numFmtId="164" showAll="0"/>
    <pivotField showAll="0"/>
    <pivotField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axis="axisRow" showAll="0">
      <items count="6">
        <item n="0-20" sd="0" x="0"/>
        <item n="21-40" sd="0" x="1"/>
        <item n="41-60" sd="0" x="2"/>
        <item n="61-80" sd="0" x="3"/>
        <item n="81-100" sd="0" x="4"/>
        <item t="default"/>
      </items>
    </pivotField>
    <pivotField showAll="0">
      <items count="6">
        <item x="0"/>
        <item x="1"/>
        <item x="2"/>
        <item x="3"/>
        <item x="4"/>
        <item t="default"/>
      </items>
    </pivotField>
  </pivotFields>
  <rowFields count="2">
    <field x="32"/>
    <field x="15"/>
  </rowFields>
  <rowItems count="6">
    <i>
      <x/>
    </i>
    <i>
      <x v="1"/>
    </i>
    <i>
      <x v="2"/>
    </i>
    <i>
      <x v="3"/>
    </i>
    <i>
      <x v="4"/>
    </i>
    <i t="grand">
      <x/>
    </i>
  </rowItems>
  <colItems count="1">
    <i/>
  </colItems>
  <dataFields count="1">
    <dataField name="Avg Watch Hours" fld="5" subtotal="average" baseField="15" baseItem="0" numFmtId="1"/>
  </dataFields>
  <formats count="12">
    <format dxfId="252">
      <pivotArea type="all" dataOnly="0" outline="0" fieldPosition="0"/>
    </format>
    <format dxfId="251">
      <pivotArea outline="0" collapsedLevelsAreSubtotals="1" fieldPosition="0"/>
    </format>
    <format dxfId="250">
      <pivotArea field="24" type="button" dataOnly="0" labelOnly="1" outline="0"/>
    </format>
    <format dxfId="249">
      <pivotArea dataOnly="0" labelOnly="1" grandRow="1" outline="0" fieldPosition="0"/>
    </format>
    <format dxfId="248">
      <pivotArea type="all" dataOnly="0" outline="0" fieldPosition="0"/>
    </format>
    <format dxfId="247">
      <pivotArea outline="0" collapsedLevelsAreSubtotals="1" fieldPosition="0"/>
    </format>
    <format dxfId="246">
      <pivotArea field="24" type="button" dataOnly="0" labelOnly="1" outline="0"/>
    </format>
    <format dxfId="245">
      <pivotArea dataOnly="0" labelOnly="1" grandRow="1" outline="0" fieldPosition="0"/>
    </format>
    <format dxfId="244">
      <pivotArea type="all" dataOnly="0" outline="0" fieldPosition="0"/>
    </format>
    <format dxfId="243">
      <pivotArea outline="0" collapsedLevelsAreSubtotals="1" fieldPosition="0"/>
    </format>
    <format dxfId="242">
      <pivotArea field="24" type="button" dataOnly="0" labelOnly="1" outline="0"/>
    </format>
    <format dxfId="241">
      <pivotArea dataOnly="0" labelOnly="1" grandRow="1" outline="0"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9B04679-33DA-4C35-B17C-E27924D35ABB}" name="2. User Engagement Metrics: 1.3"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0" rowHeaderCaption="Age Group">
  <location ref="L13:M19" firstHeaderRow="1" firstDataRow="1" firstDataCol="1"/>
  <pivotFields count="34">
    <pivotField numFmtId="1" showAll="0"/>
    <pivotField showAll="0"/>
    <pivotField numFmtId="14" showAll="0">
      <items count="538">
        <item x="91"/>
        <item x="302"/>
        <item x="102"/>
        <item x="424"/>
        <item x="54"/>
        <item x="127"/>
        <item x="51"/>
        <item x="274"/>
        <item x="137"/>
        <item x="53"/>
        <item x="201"/>
        <item x="417"/>
        <item x="218"/>
        <item x="228"/>
        <item x="374"/>
        <item x="524"/>
        <item x="484"/>
        <item x="514"/>
        <item x="470"/>
        <item x="513"/>
        <item x="333"/>
        <item x="463"/>
        <item x="368"/>
        <item x="222"/>
        <item x="176"/>
        <item x="119"/>
        <item x="255"/>
        <item x="270"/>
        <item x="281"/>
        <item x="251"/>
        <item x="344"/>
        <item x="497"/>
        <item x="3"/>
        <item x="200"/>
        <item x="58"/>
        <item x="504"/>
        <item x="86"/>
        <item x="147"/>
        <item x="116"/>
        <item x="224"/>
        <item x="359"/>
        <item x="478"/>
        <item x="440"/>
        <item x="16"/>
        <item x="242"/>
        <item x="471"/>
        <item x="100"/>
        <item x="507"/>
        <item x="65"/>
        <item x="128"/>
        <item x="233"/>
        <item x="131"/>
        <item x="217"/>
        <item x="152"/>
        <item x="372"/>
        <item x="62"/>
        <item x="397"/>
        <item x="393"/>
        <item x="204"/>
        <item x="364"/>
        <item x="139"/>
        <item x="112"/>
        <item x="253"/>
        <item x="475"/>
        <item x="518"/>
        <item x="151"/>
        <item x="378"/>
        <item x="264"/>
        <item x="123"/>
        <item x="269"/>
        <item x="353"/>
        <item x="453"/>
        <item x="45"/>
        <item x="47"/>
        <item x="12"/>
        <item x="10"/>
        <item x="361"/>
        <item x="108"/>
        <item x="1"/>
        <item x="42"/>
        <item x="408"/>
        <item x="428"/>
        <item x="334"/>
        <item x="367"/>
        <item x="459"/>
        <item x="275"/>
        <item x="64"/>
        <item x="410"/>
        <item x="90"/>
        <item x="505"/>
        <item x="241"/>
        <item x="154"/>
        <item x="336"/>
        <item x="306"/>
        <item x="232"/>
        <item x="211"/>
        <item x="413"/>
        <item x="44"/>
        <item x="491"/>
        <item x="494"/>
        <item x="80"/>
        <item x="427"/>
        <item x="124"/>
        <item x="132"/>
        <item x="400"/>
        <item x="324"/>
        <item x="177"/>
        <item x="480"/>
        <item x="130"/>
        <item x="172"/>
        <item x="0"/>
        <item x="190"/>
        <item x="315"/>
        <item x="366"/>
        <item x="392"/>
        <item x="282"/>
        <item x="181"/>
        <item x="194"/>
        <item x="318"/>
        <item x="266"/>
        <item x="369"/>
        <item x="461"/>
        <item x="230"/>
        <item x="532"/>
        <item x="257"/>
        <item x="178"/>
        <item x="17"/>
        <item x="469"/>
        <item x="351"/>
        <item x="4"/>
        <item x="14"/>
        <item x="173"/>
        <item x="148"/>
        <item x="175"/>
        <item x="405"/>
        <item x="339"/>
        <item x="509"/>
        <item x="8"/>
        <item x="156"/>
        <item x="25"/>
        <item x="98"/>
        <item x="519"/>
        <item x="31"/>
        <item x="391"/>
        <item x="60"/>
        <item x="506"/>
        <item x="220"/>
        <item x="434"/>
        <item x="454"/>
        <item x="19"/>
        <item x="164"/>
        <item x="402"/>
        <item x="373"/>
        <item x="273"/>
        <item x="294"/>
        <item x="199"/>
        <item x="20"/>
        <item x="41"/>
        <item x="476"/>
        <item x="244"/>
        <item x="510"/>
        <item x="94"/>
        <item x="468"/>
        <item x="229"/>
        <item x="49"/>
        <item x="239"/>
        <item x="395"/>
        <item x="68"/>
        <item x="2"/>
        <item x="88"/>
        <item x="250"/>
        <item x="236"/>
        <item x="101"/>
        <item x="436"/>
        <item x="247"/>
        <item x="260"/>
        <item x="189"/>
        <item x="515"/>
        <item x="183"/>
        <item x="37"/>
        <item x="75"/>
        <item x="398"/>
        <item x="482"/>
        <item x="335"/>
        <item x="330"/>
        <item x="511"/>
        <item x="296"/>
        <item x="208"/>
        <item x="213"/>
        <item x="399"/>
        <item x="46"/>
        <item x="206"/>
        <item x="288"/>
        <item x="133"/>
        <item x="69"/>
        <item x="457"/>
        <item x="197"/>
        <item x="409"/>
        <item x="337"/>
        <item x="84"/>
        <item x="486"/>
        <item x="383"/>
        <item x="35"/>
        <item x="442"/>
        <item x="5"/>
        <item x="381"/>
        <item x="293"/>
        <item x="18"/>
        <item x="467"/>
        <item x="23"/>
        <item x="425"/>
        <item x="162"/>
        <item x="423"/>
        <item x="332"/>
        <item x="271"/>
        <item x="106"/>
        <item x="346"/>
        <item x="113"/>
        <item x="477"/>
        <item x="437"/>
        <item x="422"/>
        <item x="57"/>
        <item x="67"/>
        <item x="223"/>
        <item x="153"/>
        <item x="140"/>
        <item x="87"/>
        <item x="82"/>
        <item x="231"/>
        <item x="73"/>
        <item x="501"/>
        <item x="305"/>
        <item x="89"/>
        <item x="431"/>
        <item x="340"/>
        <item x="143"/>
        <item x="456"/>
        <item x="472"/>
        <item x="341"/>
        <item x="298"/>
        <item x="529"/>
        <item x="326"/>
        <item x="212"/>
        <item x="195"/>
        <item x="347"/>
        <item x="462"/>
        <item x="196"/>
        <item x="22"/>
        <item x="388"/>
        <item x="534"/>
        <item x="120"/>
        <item x="536"/>
        <item x="66"/>
        <item x="32"/>
        <item x="517"/>
        <item x="285"/>
        <item x="9"/>
        <item x="492"/>
        <item x="170"/>
        <item x="72"/>
        <item x="327"/>
        <item x="96"/>
        <item x="184"/>
        <item x="329"/>
        <item x="371"/>
        <item x="320"/>
        <item x="342"/>
        <item x="377"/>
        <item x="452"/>
        <item x="527"/>
        <item x="81"/>
        <item x="56"/>
        <item x="418"/>
        <item x="406"/>
        <item x="262"/>
        <item x="522"/>
        <item x="209"/>
        <item x="263"/>
        <item x="61"/>
        <item x="307"/>
        <item x="74"/>
        <item x="357"/>
        <item x="286"/>
        <item x="205"/>
        <item x="261"/>
        <item x="443"/>
        <item x="414"/>
        <item x="203"/>
        <item x="33"/>
        <item x="126"/>
        <item x="248"/>
        <item x="142"/>
        <item x="280"/>
        <item x="394"/>
        <item x="287"/>
        <item x="243"/>
        <item x="110"/>
        <item x="317"/>
        <item x="303"/>
        <item x="161"/>
        <item x="489"/>
        <item x="215"/>
        <item x="27"/>
        <item x="144"/>
        <item x="121"/>
        <item x="246"/>
        <item x="321"/>
        <item x="163"/>
        <item x="525"/>
        <item x="104"/>
        <item x="415"/>
        <item x="92"/>
        <item x="419"/>
        <item x="38"/>
        <item x="438"/>
        <item x="309"/>
        <item x="150"/>
        <item x="473"/>
        <item x="171"/>
        <item x="155"/>
        <item x="348"/>
        <item x="198"/>
        <item x="185"/>
        <item x="387"/>
        <item x="83"/>
        <item x="426"/>
        <item x="11"/>
        <item x="103"/>
        <item x="375"/>
        <item x="354"/>
        <item x="495"/>
        <item x="219"/>
        <item x="498"/>
        <item x="432"/>
        <item x="531"/>
        <item x="252"/>
        <item x="63"/>
        <item x="99"/>
        <item x="355"/>
        <item x="328"/>
        <item x="358"/>
        <item x="202"/>
        <item x="180"/>
        <item x="157"/>
        <item x="28"/>
        <item x="379"/>
        <item x="444"/>
        <item x="445"/>
        <item x="138"/>
        <item x="533"/>
        <item x="52"/>
        <item x="450"/>
        <item x="412"/>
        <item x="43"/>
        <item x="420"/>
        <item x="272"/>
        <item x="370"/>
        <item x="526"/>
        <item x="290"/>
        <item x="292"/>
        <item x="283"/>
        <item x="300"/>
        <item x="343"/>
        <item x="384"/>
        <item x="210"/>
        <item x="535"/>
        <item x="145"/>
        <item x="401"/>
        <item x="523"/>
        <item x="403"/>
        <item x="179"/>
        <item x="350"/>
        <item x="169"/>
        <item x="512"/>
        <item x="439"/>
        <item x="310"/>
        <item x="256"/>
        <item x="235"/>
        <item x="376"/>
        <item x="363"/>
        <item x="396"/>
        <item x="24"/>
        <item x="254"/>
        <item x="15"/>
        <item x="149"/>
        <item x="26"/>
        <item x="465"/>
        <item x="458"/>
        <item x="520"/>
        <item x="490"/>
        <item x="352"/>
        <item x="118"/>
        <item x="7"/>
        <item x="93"/>
        <item x="221"/>
        <item x="214"/>
        <item x="356"/>
        <item x="521"/>
        <item x="345"/>
        <item x="386"/>
        <item x="448"/>
        <item x="441"/>
        <item x="429"/>
        <item x="502"/>
        <item x="21"/>
        <item x="182"/>
        <item x="365"/>
        <item x="141"/>
        <item x="48"/>
        <item x="500"/>
        <item x="299"/>
        <item x="226"/>
        <item x="338"/>
        <item x="85"/>
        <item x="481"/>
        <item x="411"/>
        <item x="488"/>
        <item x="297"/>
        <item x="29"/>
        <item x="167"/>
        <item x="97"/>
        <item x="70"/>
        <item x="447"/>
        <item x="238"/>
        <item x="109"/>
        <item x="380"/>
        <item x="325"/>
        <item x="466"/>
        <item x="389"/>
        <item x="165"/>
        <item x="404"/>
        <item x="71"/>
        <item x="277"/>
        <item x="77"/>
        <item x="291"/>
        <item x="446"/>
        <item x="455"/>
        <item x="289"/>
        <item x="237"/>
        <item x="295"/>
        <item x="362"/>
        <item x="349"/>
        <item x="528"/>
        <item x="39"/>
        <item x="174"/>
        <item x="508"/>
        <item x="258"/>
        <item x="135"/>
        <item x="168"/>
        <item x="493"/>
        <item x="187"/>
        <item x="268"/>
        <item x="483"/>
        <item x="78"/>
        <item x="304"/>
        <item x="474"/>
        <item x="6"/>
        <item x="301"/>
        <item x="284"/>
        <item x="79"/>
        <item x="186"/>
        <item x="276"/>
        <item x="433"/>
        <item x="499"/>
        <item x="216"/>
        <item x="323"/>
        <item x="55"/>
        <item x="278"/>
        <item x="193"/>
        <item x="316"/>
        <item x="13"/>
        <item x="279"/>
        <item x="40"/>
        <item x="314"/>
        <item x="191"/>
        <item x="146"/>
        <item x="416"/>
        <item x="207"/>
        <item x="227"/>
        <item x="259"/>
        <item x="105"/>
        <item x="249"/>
        <item x="516"/>
        <item x="136"/>
        <item x="36"/>
        <item x="312"/>
        <item x="34"/>
        <item x="319"/>
        <item x="503"/>
        <item x="331"/>
        <item x="240"/>
        <item x="421"/>
        <item x="192"/>
        <item x="311"/>
        <item x="267"/>
        <item x="117"/>
        <item x="496"/>
        <item x="134"/>
        <item x="390"/>
        <item x="449"/>
        <item x="76"/>
        <item x="160"/>
        <item x="360"/>
        <item x="385"/>
        <item x="460"/>
        <item x="166"/>
        <item x="234"/>
        <item x="245"/>
        <item x="95"/>
        <item x="50"/>
        <item x="407"/>
        <item x="322"/>
        <item x="265"/>
        <item x="464"/>
        <item x="479"/>
        <item x="487"/>
        <item x="451"/>
        <item x="115"/>
        <item x="159"/>
        <item x="225"/>
        <item x="111"/>
        <item x="308"/>
        <item x="122"/>
        <item x="114"/>
        <item x="59"/>
        <item x="382"/>
        <item x="129"/>
        <item x="188"/>
        <item x="485"/>
        <item x="107"/>
        <item x="158"/>
        <item x="530"/>
        <item x="30"/>
        <item x="125"/>
        <item x="313"/>
        <item x="430"/>
        <item x="435"/>
        <item t="default"/>
      </items>
    </pivotField>
    <pivotField numFmtId="14" showAll="0"/>
    <pivotField numFmtId="165" showAll="0"/>
    <pivotField dataField="1" numFmtId="1" showAll="0"/>
    <pivotField showAll="0">
      <items count="8">
        <item x="0"/>
        <item x="5"/>
        <item x="3"/>
        <item x="1"/>
        <item x="4"/>
        <item x="6"/>
        <item x="2"/>
        <item t="default"/>
      </items>
    </pivotField>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pivotField showAll="0"/>
    <pivotField numFmtId="1" showAll="0">
      <items count="102">
        <item x="13"/>
        <item x="6"/>
        <item x="99"/>
        <item x="20"/>
        <item x="69"/>
        <item x="78"/>
        <item x="65"/>
        <item x="34"/>
        <item x="39"/>
        <item x="87"/>
        <item x="95"/>
        <item x="17"/>
        <item x="32"/>
        <item x="44"/>
        <item x="31"/>
        <item x="48"/>
        <item x="88"/>
        <item x="71"/>
        <item x="57"/>
        <item x="96"/>
        <item x="66"/>
        <item x="68"/>
        <item x="46"/>
        <item x="73"/>
        <item x="50"/>
        <item x="14"/>
        <item x="8"/>
        <item x="21"/>
        <item x="72"/>
        <item x="94"/>
        <item x="55"/>
        <item x="97"/>
        <item x="7"/>
        <item x="36"/>
        <item x="91"/>
        <item x="93"/>
        <item x="58"/>
        <item x="86"/>
        <item x="11"/>
        <item x="4"/>
        <item x="42"/>
        <item x="81"/>
        <item x="19"/>
        <item x="80"/>
        <item x="52"/>
        <item x="30"/>
        <item x="63"/>
        <item x="3"/>
        <item x="60"/>
        <item x="77"/>
        <item x="16"/>
        <item x="82"/>
        <item x="64"/>
        <item x="56"/>
        <item x="84"/>
        <item x="38"/>
        <item x="2"/>
        <item x="10"/>
        <item x="27"/>
        <item x="76"/>
        <item x="22"/>
        <item x="47"/>
        <item x="12"/>
        <item x="40"/>
        <item x="61"/>
        <item x="15"/>
        <item x="29"/>
        <item x="79"/>
        <item x="53"/>
        <item x="1"/>
        <item x="85"/>
        <item x="5"/>
        <item x="35"/>
        <item x="59"/>
        <item x="98"/>
        <item x="100"/>
        <item x="24"/>
        <item x="70"/>
        <item x="18"/>
        <item x="37"/>
        <item x="54"/>
        <item x="74"/>
        <item x="45"/>
        <item x="75"/>
        <item x="0"/>
        <item x="26"/>
        <item x="89"/>
        <item x="62"/>
        <item x="51"/>
        <item x="83"/>
        <item x="9"/>
        <item x="23"/>
        <item x="92"/>
        <item x="67"/>
        <item x="43"/>
        <item x="49"/>
        <item x="41"/>
        <item x="28"/>
        <item x="25"/>
        <item x="33"/>
        <item x="90"/>
        <item t="default"/>
      </items>
    </pivotField>
    <pivotField numFmtId="164" showAll="0"/>
    <pivotField showAll="0"/>
    <pivotField showAll="0"/>
    <pivotField numFmtId="1" showAll="0">
      <items count="925">
        <item x="820"/>
        <item x="647"/>
        <item x="269"/>
        <item x="416"/>
        <item x="448"/>
        <item x="701"/>
        <item x="5"/>
        <item x="919"/>
        <item x="73"/>
        <item x="680"/>
        <item x="640"/>
        <item x="290"/>
        <item x="407"/>
        <item x="395"/>
        <item x="423"/>
        <item x="272"/>
        <item x="409"/>
        <item x="332"/>
        <item x="422"/>
        <item x="205"/>
        <item x="150"/>
        <item x="609"/>
        <item x="565"/>
        <item x="435"/>
        <item x="206"/>
        <item x="180"/>
        <item x="125"/>
        <item x="509"/>
        <item x="203"/>
        <item x="323"/>
        <item x="342"/>
        <item x="314"/>
        <item x="718"/>
        <item x="761"/>
        <item x="858"/>
        <item x="432"/>
        <item x="592"/>
        <item x="141"/>
        <item x="459"/>
        <item x="11"/>
        <item x="175"/>
        <item x="174"/>
        <item x="528"/>
        <item x="786"/>
        <item x="705"/>
        <item x="394"/>
        <item x="229"/>
        <item x="207"/>
        <item x="883"/>
        <item x="86"/>
        <item x="532"/>
        <item x="451"/>
        <item x="374"/>
        <item x="878"/>
        <item x="833"/>
        <item x="700"/>
        <item x="526"/>
        <item x="22"/>
        <item x="292"/>
        <item x="246"/>
        <item x="494"/>
        <item x="679"/>
        <item x="601"/>
        <item x="367"/>
        <item x="399"/>
        <item x="337"/>
        <item x="8"/>
        <item x="677"/>
        <item x="401"/>
        <item x="68"/>
        <item x="66"/>
        <item x="468"/>
        <item x="260"/>
        <item x="517"/>
        <item x="729"/>
        <item x="277"/>
        <item x="502"/>
        <item x="650"/>
        <item x="866"/>
        <item x="627"/>
        <item x="612"/>
        <item x="462"/>
        <item x="415"/>
        <item x="660"/>
        <item x="67"/>
        <item x="489"/>
        <item x="238"/>
        <item x="775"/>
        <item x="678"/>
        <item x="768"/>
        <item x="51"/>
        <item x="181"/>
        <item x="893"/>
        <item x="157"/>
        <item x="607"/>
        <item x="46"/>
        <item x="482"/>
        <item x="241"/>
        <item x="156"/>
        <item x="127"/>
        <item x="153"/>
        <item x="550"/>
        <item x="280"/>
        <item x="515"/>
        <item x="805"/>
        <item x="554"/>
        <item x="512"/>
        <item x="450"/>
        <item x="479"/>
        <item x="88"/>
        <item x="698"/>
        <item x="389"/>
        <item x="90"/>
        <item x="44"/>
        <item x="320"/>
        <item x="340"/>
        <item x="308"/>
        <item x="800"/>
        <item x="122"/>
        <item x="321"/>
        <item x="431"/>
        <item x="785"/>
        <item x="15"/>
        <item x="222"/>
        <item x="94"/>
        <item x="10"/>
        <item x="559"/>
        <item x="588"/>
        <item x="553"/>
        <item x="210"/>
        <item x="237"/>
        <item x="441"/>
        <item x="434"/>
        <item x="755"/>
        <item x="235"/>
        <item x="117"/>
        <item x="474"/>
        <item x="160"/>
        <item x="587"/>
        <item x="257"/>
        <item x="318"/>
        <item x="457"/>
        <item x="492"/>
        <item x="6"/>
        <item x="491"/>
        <item x="499"/>
        <item x="728"/>
        <item x="906"/>
        <item x="692"/>
        <item x="356"/>
        <item x="816"/>
        <item x="31"/>
        <item x="719"/>
        <item x="58"/>
        <item x="309"/>
        <item x="822"/>
        <item x="651"/>
        <item x="37"/>
        <item x="889"/>
        <item x="764"/>
        <item x="516"/>
        <item x="655"/>
        <item x="819"/>
        <item x="633"/>
        <item x="696"/>
        <item x="577"/>
        <item x="726"/>
        <item x="518"/>
        <item x="147"/>
        <item x="463"/>
        <item x="618"/>
        <item x="335"/>
        <item x="848"/>
        <item x="212"/>
        <item x="75"/>
        <item x="165"/>
        <item x="115"/>
        <item x="709"/>
        <item x="739"/>
        <item x="211"/>
        <item x="3"/>
        <item x="868"/>
        <item x="467"/>
        <item x="376"/>
        <item x="61"/>
        <item x="225"/>
        <item x="495"/>
        <item x="784"/>
        <item x="254"/>
        <item x="799"/>
        <item x="259"/>
        <item x="725"/>
        <item x="888"/>
        <item x="403"/>
        <item x="567"/>
        <item x="281"/>
        <item x="908"/>
        <item x="142"/>
        <item x="546"/>
        <item x="188"/>
        <item x="14"/>
        <item x="464"/>
        <item x="184"/>
        <item x="200"/>
        <item x="751"/>
        <item x="541"/>
        <item x="600"/>
        <item x="311"/>
        <item x="319"/>
        <item x="544"/>
        <item x="63"/>
        <item x="265"/>
        <item x="295"/>
        <item x="896"/>
        <item x="746"/>
        <item x="192"/>
        <item x="620"/>
        <item x="62"/>
        <item x="17"/>
        <item x="596"/>
        <item x="132"/>
        <item x="839"/>
        <item x="285"/>
        <item x="414"/>
        <item x="591"/>
        <item x="684"/>
        <item x="689"/>
        <item x="406"/>
        <item x="796"/>
        <item x="804"/>
        <item x="91"/>
        <item x="687"/>
        <item x="824"/>
        <item x="625"/>
        <item x="897"/>
        <item x="575"/>
        <item x="628"/>
        <item x="676"/>
        <item x="387"/>
        <item x="498"/>
        <item x="446"/>
        <item x="576"/>
        <item x="49"/>
        <item x="381"/>
        <item x="769"/>
        <item x="703"/>
        <item x="593"/>
        <item x="433"/>
        <item x="548"/>
        <item x="674"/>
        <item x="616"/>
        <item x="78"/>
        <item x="864"/>
        <item x="551"/>
        <item x="801"/>
        <item x="358"/>
        <item x="776"/>
        <item x="857"/>
        <item x="120"/>
        <item x="444"/>
        <item x="844"/>
        <item x="606"/>
        <item x="594"/>
        <item x="733"/>
        <item x="388"/>
        <item x="777"/>
        <item x="187"/>
        <item x="555"/>
        <item x="24"/>
        <item x="566"/>
        <item x="712"/>
        <item x="828"/>
        <item x="317"/>
        <item x="158"/>
        <item x="313"/>
        <item x="339"/>
        <item x="438"/>
        <item x="392"/>
        <item x="244"/>
        <item x="652"/>
        <item x="297"/>
        <item x="378"/>
        <item x="177"/>
        <item x="386"/>
        <item x="779"/>
        <item x="558"/>
        <item x="811"/>
        <item x="228"/>
        <item x="657"/>
        <item x="439"/>
        <item x="621"/>
        <item x="867"/>
        <item x="590"/>
        <item x="312"/>
        <item x="440"/>
        <item x="74"/>
        <item x="329"/>
        <item x="266"/>
        <item x="429"/>
        <item x="580"/>
        <item x="110"/>
        <item x="542"/>
        <item x="853"/>
        <item x="860"/>
        <item x="879"/>
        <item x="331"/>
        <item x="293"/>
        <item x="282"/>
        <item x="12"/>
        <item x="735"/>
        <item x="326"/>
        <item x="595"/>
        <item x="136"/>
        <item x="40"/>
        <item x="408"/>
        <item x="48"/>
        <item x="634"/>
        <item x="791"/>
        <item x="236"/>
        <item x="220"/>
        <item x="179"/>
        <item x="497"/>
        <item x="345"/>
        <item x="681"/>
        <item x="648"/>
        <item x="907"/>
        <item x="905"/>
        <item x="862"/>
        <item x="26"/>
        <item x="81"/>
        <item x="535"/>
        <item x="798"/>
        <item x="186"/>
        <item x="2"/>
        <item x="827"/>
        <item x="699"/>
        <item x="597"/>
        <item x="900"/>
        <item x="413"/>
        <item x="65"/>
        <item x="578"/>
        <item x="50"/>
        <item x="129"/>
        <item x="330"/>
        <item x="418"/>
        <item x="224"/>
        <item x="56"/>
        <item x="102"/>
        <item x="752"/>
        <item x="500"/>
        <item x="797"/>
        <item x="870"/>
        <item x="626"/>
        <item x="720"/>
        <item x="398"/>
        <item x="802"/>
        <item x="4"/>
        <item x="370"/>
        <item x="649"/>
        <item x="279"/>
        <item x="821"/>
        <item x="133"/>
        <item x="641"/>
        <item x="25"/>
        <item x="193"/>
        <item x="569"/>
        <item x="871"/>
        <item x="373"/>
        <item x="274"/>
        <item x="530"/>
        <item x="646"/>
        <item x="793"/>
        <item x="64"/>
        <item x="305"/>
        <item x="713"/>
        <item x="404"/>
        <item x="194"/>
        <item x="166"/>
        <item x="103"/>
        <item x="197"/>
        <item x="818"/>
        <item x="283"/>
        <item x="223"/>
        <item x="899"/>
        <item x="922"/>
        <item x="671"/>
        <item x="581"/>
        <item x="152"/>
        <item x="708"/>
        <item x="714"/>
        <item x="334"/>
        <item x="145"/>
        <item x="355"/>
        <item x="505"/>
        <item x="472"/>
        <item x="724"/>
        <item x="744"/>
        <item x="351"/>
        <item x="146"/>
        <item x="911"/>
        <item x="465"/>
        <item x="851"/>
        <item x="470"/>
        <item x="456"/>
        <item x="226"/>
        <item x="521"/>
        <item x="727"/>
        <item x="352"/>
        <item x="471"/>
        <item x="372"/>
        <item x="854"/>
        <item x="402"/>
        <item x="658"/>
        <item x="885"/>
        <item x="672"/>
        <item x="740"/>
        <item x="823"/>
        <item x="377"/>
        <item x="124"/>
        <item x="661"/>
        <item x="82"/>
        <item x="547"/>
        <item x="232"/>
        <item x="863"/>
        <item x="562"/>
        <item x="149"/>
        <item x="261"/>
        <item x="234"/>
        <item x="789"/>
        <item x="665"/>
        <item x="199"/>
        <item x="656"/>
        <item x="610"/>
        <item x="901"/>
        <item x="1"/>
        <item x="255"/>
        <item x="36"/>
        <item x="845"/>
        <item x="787"/>
        <item x="189"/>
        <item x="877"/>
        <item x="694"/>
        <item x="855"/>
        <item x="881"/>
        <item x="856"/>
        <item x="704"/>
        <item x="369"/>
        <item x="673"/>
        <item x="173"/>
        <item x="123"/>
        <item x="353"/>
        <item x="503"/>
        <item x="393"/>
        <item x="306"/>
        <item x="85"/>
        <item x="230"/>
        <item x="169"/>
        <item x="196"/>
        <item x="478"/>
        <item x="23"/>
        <item x="536"/>
        <item x="39"/>
        <item x="302"/>
        <item x="490"/>
        <item x="890"/>
        <item x="461"/>
        <item x="348"/>
        <item x="579"/>
        <item x="750"/>
        <item x="382"/>
        <item x="915"/>
        <item x="667"/>
        <item x="424"/>
        <item x="154"/>
        <item x="850"/>
        <item x="872"/>
        <item x="106"/>
        <item x="757"/>
        <item x="738"/>
        <item x="693"/>
        <item x="832"/>
        <item x="239"/>
        <item x="903"/>
        <item x="572"/>
        <item x="248"/>
        <item x="215"/>
        <item x="614"/>
        <item x="666"/>
        <item x="636"/>
        <item x="419"/>
        <item x="216"/>
        <item x="275"/>
        <item x="185"/>
        <item x="198"/>
        <item x="34"/>
        <item x="806"/>
        <item x="586"/>
        <item x="291"/>
        <item x="163"/>
        <item x="582"/>
        <item x="643"/>
        <item x="139"/>
        <item x="758"/>
        <item x="322"/>
        <item x="537"/>
        <item x="262"/>
        <item x="894"/>
        <item x="263"/>
        <item x="436"/>
        <item x="561"/>
        <item x="425"/>
        <item x="38"/>
        <item x="137"/>
        <item x="895"/>
        <item x="428"/>
        <item x="773"/>
        <item x="209"/>
        <item x="485"/>
        <item x="107"/>
        <item x="734"/>
        <item x="794"/>
        <item x="349"/>
        <item x="396"/>
        <item x="116"/>
        <item x="27"/>
        <item x="501"/>
        <item x="765"/>
        <item x="35"/>
        <item x="221"/>
        <item x="513"/>
        <item x="347"/>
        <item x="126"/>
        <item x="762"/>
        <item x="568"/>
        <item x="481"/>
        <item x="560"/>
        <item x="604"/>
        <item x="258"/>
        <item x="178"/>
        <item x="84"/>
        <item x="686"/>
        <item x="303"/>
        <item x="916"/>
        <item x="108"/>
        <item x="7"/>
        <item x="98"/>
        <item x="483"/>
        <item x="605"/>
        <item x="0"/>
        <item x="529"/>
        <item x="843"/>
        <item x="245"/>
        <item x="364"/>
        <item x="921"/>
        <item x="213"/>
        <item x="836"/>
        <item x="447"/>
        <item x="96"/>
        <item x="100"/>
        <item x="201"/>
        <item x="826"/>
        <item x="195"/>
        <item x="617"/>
        <item x="243"/>
        <item x="77"/>
        <item x="695"/>
        <item x="599"/>
        <item x="362"/>
        <item x="736"/>
        <item x="707"/>
        <item x="570"/>
        <item x="639"/>
        <item x="400"/>
        <item x="270"/>
        <item x="268"/>
        <item x="171"/>
        <item x="803"/>
        <item x="688"/>
        <item x="359"/>
        <item x="742"/>
        <item x="771"/>
        <item x="286"/>
        <item x="138"/>
        <item x="183"/>
        <item x="706"/>
        <item x="645"/>
        <item x="760"/>
        <item x="912"/>
        <item x="837"/>
        <item x="449"/>
        <item x="72"/>
        <item x="721"/>
        <item x="874"/>
        <item x="327"/>
        <item x="520"/>
        <item x="574"/>
        <item x="299"/>
        <item x="838"/>
        <item x="741"/>
        <item x="583"/>
        <item x="458"/>
        <item x="114"/>
        <item x="831"/>
        <item x="251"/>
        <item x="635"/>
        <item x="923"/>
        <item x="460"/>
        <item x="523"/>
        <item x="316"/>
        <item x="556"/>
        <item x="506"/>
        <item x="105"/>
        <item x="93"/>
        <item x="898"/>
        <item x="914"/>
        <item x="164"/>
        <item x="715"/>
        <item x="745"/>
        <item x="383"/>
        <item x="135"/>
        <item x="527"/>
        <item x="325"/>
        <item x="589"/>
        <item x="227"/>
        <item x="252"/>
        <item x="585"/>
        <item x="814"/>
        <item x="514"/>
        <item x="869"/>
        <item x="101"/>
        <item x="182"/>
        <item x="780"/>
        <item x="564"/>
        <item x="603"/>
        <item x="662"/>
        <item x="882"/>
        <item x="508"/>
        <item x="300"/>
        <item x="52"/>
        <item x="454"/>
        <item x="859"/>
        <item x="737"/>
        <item x="391"/>
        <item x="730"/>
        <item x="507"/>
        <item x="32"/>
        <item x="42"/>
        <item x="28"/>
        <item x="829"/>
        <item x="92"/>
        <item x="770"/>
        <item x="475"/>
        <item x="410"/>
        <item x="563"/>
        <item x="57"/>
        <item x="807"/>
        <item x="522"/>
        <item x="493"/>
        <item x="267"/>
        <item x="118"/>
        <item x="637"/>
        <item x="611"/>
        <item x="812"/>
        <item x="631"/>
        <item x="861"/>
        <item x="452"/>
        <item x="80"/>
        <item x="365"/>
        <item x="682"/>
        <item x="717"/>
        <item x="363"/>
        <item x="278"/>
        <item x="130"/>
        <item x="143"/>
        <item x="817"/>
        <item x="886"/>
        <item x="121"/>
        <item x="128"/>
        <item x="842"/>
        <item x="20"/>
        <item x="813"/>
        <item x="690"/>
        <item x="759"/>
        <item x="45"/>
        <item x="778"/>
        <item x="112"/>
        <item x="55"/>
        <item x="638"/>
        <item x="716"/>
        <item x="790"/>
        <item x="144"/>
        <item x="83"/>
        <item x="202"/>
        <item x="788"/>
        <item x="552"/>
        <item x="301"/>
        <item x="722"/>
        <item x="109"/>
        <item x="477"/>
        <item x="624"/>
        <item x="756"/>
        <item x="743"/>
        <item x="504"/>
        <item x="918"/>
        <item x="233"/>
        <item x="711"/>
        <item x="95"/>
        <item x="663"/>
        <item x="747"/>
        <item x="466"/>
        <item x="405"/>
        <item x="421"/>
        <item x="753"/>
        <item x="13"/>
        <item x="473"/>
        <item x="390"/>
        <item x="772"/>
        <item x="622"/>
        <item x="249"/>
        <item x="774"/>
        <item x="217"/>
        <item x="328"/>
        <item x="543"/>
        <item x="702"/>
        <item x="841"/>
        <item x="338"/>
        <item x="763"/>
        <item x="455"/>
        <item x="781"/>
        <item x="276"/>
        <item x="9"/>
        <item x="247"/>
        <item x="691"/>
        <item x="809"/>
        <item x="782"/>
        <item x="849"/>
        <item x="214"/>
        <item x="476"/>
        <item x="104"/>
        <item x="71"/>
        <item x="664"/>
        <item x="134"/>
        <item x="29"/>
        <item x="87"/>
        <item x="191"/>
        <item x="70"/>
        <item x="155"/>
        <item x="161"/>
        <item x="368"/>
        <item x="910"/>
        <item x="538"/>
        <item x="453"/>
        <item x="510"/>
        <item x="250"/>
        <item x="357"/>
        <item x="384"/>
        <item x="140"/>
        <item x="524"/>
        <item x="41"/>
        <item x="917"/>
        <item x="208"/>
        <item x="346"/>
        <item x="336"/>
        <item x="913"/>
        <item x="47"/>
        <item x="668"/>
        <item x="69"/>
        <item x="488"/>
        <item x="539"/>
        <item x="808"/>
        <item x="99"/>
        <item x="16"/>
        <item x="710"/>
        <item x="525"/>
        <item x="445"/>
        <item x="354"/>
        <item x="887"/>
        <item x="602"/>
        <item x="380"/>
        <item x="835"/>
        <item x="304"/>
        <item x="30"/>
        <item x="288"/>
        <item x="519"/>
        <item x="19"/>
        <item x="549"/>
        <item x="557"/>
        <item x="307"/>
        <item x="669"/>
        <item x="426"/>
        <item x="420"/>
        <item x="371"/>
        <item x="148"/>
        <item x="33"/>
        <item x="767"/>
        <item x="810"/>
        <item x="615"/>
        <item x="875"/>
        <item x="846"/>
        <item x="119"/>
        <item x="573"/>
        <item x="659"/>
        <item x="670"/>
        <item x="315"/>
        <item x="385"/>
        <item x="242"/>
        <item x="231"/>
        <item x="654"/>
        <item x="748"/>
        <item x="865"/>
        <item x="350"/>
        <item x="511"/>
        <item x="333"/>
        <item x="815"/>
        <item x="131"/>
        <item x="253"/>
        <item x="412"/>
        <item x="884"/>
        <item x="443"/>
        <item x="486"/>
        <item x="685"/>
        <item x="190"/>
        <item x="598"/>
        <item x="731"/>
        <item x="873"/>
        <item x="176"/>
        <item x="298"/>
        <item x="341"/>
        <item x="168"/>
        <item x="531"/>
        <item x="79"/>
        <item x="754"/>
        <item x="783"/>
        <item x="264"/>
        <item x="792"/>
        <item x="540"/>
        <item x="170"/>
        <item x="909"/>
        <item x="830"/>
        <item x="545"/>
        <item x="43"/>
        <item x="619"/>
        <item x="795"/>
        <item x="840"/>
        <item x="294"/>
        <item x="375"/>
        <item x="629"/>
        <item x="296"/>
        <item x="487"/>
        <item x="891"/>
        <item x="361"/>
        <item x="310"/>
        <item x="324"/>
        <item x="427"/>
        <item x="902"/>
        <item x="749"/>
        <item x="379"/>
        <item x="271"/>
        <item x="825"/>
        <item x="60"/>
        <item x="21"/>
        <item x="289"/>
        <item x="366"/>
        <item x="766"/>
        <item x="273"/>
        <item x="76"/>
        <item x="256"/>
        <item x="97"/>
        <item x="89"/>
        <item x="167"/>
        <item x="442"/>
        <item x="904"/>
        <item x="533"/>
        <item x="623"/>
        <item x="642"/>
        <item x="18"/>
        <item x="54"/>
        <item x="653"/>
        <item x="53"/>
        <item x="480"/>
        <item x="218"/>
        <item x="113"/>
        <item x="852"/>
        <item x="287"/>
        <item x="59"/>
        <item x="920"/>
        <item x="240"/>
        <item x="892"/>
        <item x="484"/>
        <item x="632"/>
        <item x="411"/>
        <item x="159"/>
        <item x="360"/>
        <item x="219"/>
        <item x="697"/>
        <item x="630"/>
        <item x="876"/>
        <item x="417"/>
        <item x="723"/>
        <item x="880"/>
        <item x="613"/>
        <item x="162"/>
        <item x="204"/>
        <item x="437"/>
        <item x="608"/>
        <item x="111"/>
        <item x="284"/>
        <item x="344"/>
        <item x="534"/>
        <item x="343"/>
        <item x="675"/>
        <item x="469"/>
        <item x="644"/>
        <item x="151"/>
        <item x="430"/>
        <item x="683"/>
        <item x="847"/>
        <item x="397"/>
        <item x="584"/>
        <item x="172"/>
        <item x="496"/>
        <item x="834"/>
        <item x="732"/>
        <item x="571"/>
        <item t="default"/>
      </items>
    </pivotField>
    <pivotField showAll="0"/>
    <pivotField axis="axisRow" showAll="0">
      <items count="6">
        <item x="2"/>
        <item x="1"/>
        <item x="0"/>
        <item x="3"/>
        <item x="4"/>
        <item t="default"/>
      </items>
    </pivotField>
    <pivotField showAll="0"/>
    <pivotField numFmtId="1" showAll="0"/>
    <pivotField showAll="0" nonAutoSortDefault="1">
      <items count="4">
        <item x="0"/>
        <item x="1"/>
        <item x="2"/>
        <item t="default"/>
      </items>
    </pivotField>
    <pivotField numFmtId="164" showAll="0"/>
    <pivotField showAll="0"/>
    <pivotField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6">
        <item x="0"/>
        <item x="1"/>
        <item x="2"/>
        <item x="3"/>
        <item x="4"/>
        <item t="default"/>
      </items>
    </pivotField>
    <pivotField showAll="0">
      <items count="6">
        <item x="0"/>
        <item x="1"/>
        <item x="2"/>
        <item x="3"/>
        <item x="4"/>
        <item t="default"/>
      </items>
    </pivotField>
  </pivotFields>
  <rowFields count="1">
    <field x="21"/>
  </rowFields>
  <rowItems count="6">
    <i>
      <x/>
    </i>
    <i>
      <x v="1"/>
    </i>
    <i>
      <x v="2"/>
    </i>
    <i>
      <x v="3"/>
    </i>
    <i>
      <x v="4"/>
    </i>
    <i t="grand">
      <x/>
    </i>
  </rowItems>
  <colItems count="1">
    <i/>
  </colItems>
  <dataFields count="1">
    <dataField name="Watch Hours " fld="5" subtotal="average" baseField="21" baseItem="0" numFmtId="1"/>
  </dataFields>
  <formats count="16">
    <format dxfId="268">
      <pivotArea type="all" dataOnly="0" outline="0" fieldPosition="0"/>
    </format>
    <format dxfId="267">
      <pivotArea outline="0" collapsedLevelsAreSubtotals="1" fieldPosition="0"/>
    </format>
    <format dxfId="266">
      <pivotArea field="24" type="button" dataOnly="0" labelOnly="1" outline="0"/>
    </format>
    <format dxfId="265">
      <pivotArea dataOnly="0" labelOnly="1" grandRow="1" outline="0" fieldPosition="0"/>
    </format>
    <format dxfId="264">
      <pivotArea type="all" dataOnly="0" outline="0" fieldPosition="0"/>
    </format>
    <format dxfId="263">
      <pivotArea outline="0" collapsedLevelsAreSubtotals="1" fieldPosition="0"/>
    </format>
    <format dxfId="262">
      <pivotArea field="24" type="button" dataOnly="0" labelOnly="1" outline="0"/>
    </format>
    <format dxfId="261">
      <pivotArea dataOnly="0" labelOnly="1" grandRow="1" outline="0" fieldPosition="0"/>
    </format>
    <format dxfId="260">
      <pivotArea type="all" dataOnly="0" outline="0" fieldPosition="0"/>
    </format>
    <format dxfId="259">
      <pivotArea outline="0" collapsedLevelsAreSubtotals="1" fieldPosition="0"/>
    </format>
    <format dxfId="258">
      <pivotArea field="24" type="button" dataOnly="0" labelOnly="1" outline="0"/>
    </format>
    <format dxfId="257">
      <pivotArea dataOnly="0" labelOnly="1" grandRow="1" outline="0" fieldPosition="0"/>
    </format>
    <format dxfId="256">
      <pivotArea field="21" type="button" dataOnly="0" labelOnly="1" outline="0" axis="axisRow" fieldPosition="0"/>
    </format>
    <format dxfId="255">
      <pivotArea field="21" type="button" dataOnly="0" labelOnly="1" outline="0" axis="axisRow" fieldPosition="0"/>
    </format>
    <format dxfId="254">
      <pivotArea dataOnly="0" labelOnly="1" outline="0" fieldPosition="0">
        <references count="1">
          <reference field="4294967294" count="1">
            <x v="0"/>
          </reference>
        </references>
      </pivotArea>
    </format>
    <format dxfId="253">
      <pivotArea dataOnly="0" labelOnly="1" outline="0" fieldPosition="0">
        <references count="1">
          <reference field="4294967294" count="1">
            <x v="0"/>
          </reference>
        </references>
      </pivotArea>
    </format>
  </formats>
  <chartFormats count="7">
    <chartFormat chart="0"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1" count="1" selected="0">
            <x v="4"/>
          </reference>
        </references>
      </pivotArea>
    </chartFormat>
    <chartFormat chart="4" format="4">
      <pivotArea type="data" outline="0" fieldPosition="0">
        <references count="2">
          <reference field="4294967294" count="1" selected="0">
            <x v="0"/>
          </reference>
          <reference field="21" count="1" selected="0">
            <x v="3"/>
          </reference>
        </references>
      </pivotArea>
    </chartFormat>
    <chartFormat chart="4" format="5">
      <pivotArea type="data" outline="0" fieldPosition="0">
        <references count="2">
          <reference field="4294967294" count="1" selected="0">
            <x v="0"/>
          </reference>
          <reference field="21" count="1" selected="0">
            <x v="2"/>
          </reference>
        </references>
      </pivotArea>
    </chartFormat>
    <chartFormat chart="4" format="6">
      <pivotArea type="data" outline="0" fieldPosition="0">
        <references count="2">
          <reference field="4294967294" count="1" selected="0">
            <x v="0"/>
          </reference>
          <reference field="21" count="1" selected="0">
            <x v="1"/>
          </reference>
        </references>
      </pivotArea>
    </chartFormat>
    <chartFormat chart="4" format="7">
      <pivotArea type="data" outline="0" fieldPosition="0">
        <references count="2">
          <reference field="4294967294" count="1" selected="0">
            <x v="0"/>
          </reference>
          <reference field="2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5899C39-0BE5-4F71-B7DE-EFF051965488}" sourceName="Country">
  <pivotTables>
    <pivotTable tabId="3" name="1. Subscription &amp; Revenue Analysis: 1.0"/>
    <pivotTable tabId="3" name="1. Subscription &amp; Revenue Analysis: 1.1"/>
    <pivotTable tabId="3" name="2. User Engagement Metrics: 1.0"/>
    <pivotTable tabId="3" name="2. User Engagement Metrics: 1.2"/>
    <pivotTable tabId="3" name="2. User Engagement Metrics: 1.3"/>
    <pivotTable tabId="3" name="3. Demographic &amp; Behavioral Insights: 1.0"/>
    <pivotTable tabId="3" name="3. Demographic &amp; Behavioral Insights: 1.1"/>
    <pivotTable tabId="3" name="3. Demographic &amp; Behavioral Insights: 1.2"/>
    <pivotTable tabId="3" name="4. Retention &amp; Loyalty: 1.0"/>
    <pivotTable tabId="3" name="4. Retention &amp; Loyalty: 1.1"/>
    <pivotTable tabId="3" name="4. Retention &amp; Loyalty:1.3"/>
    <pivotTable tabId="3" name="4. Retention &amp; Loyalty:1.4"/>
    <pivotTable tabId="3" name="5. Payment Preferences &amp; Regional Trends 1.0"/>
    <pivotTable tabId="3" name="5. Payment Preferences &amp; Regional Trends 1.2"/>
    <pivotTable tabId="3" name="5. Payment Preferences &amp; Regional Trends 1.3"/>
  </pivotTables>
  <data>
    <tabular pivotCacheId="1513313177">
      <items count="7">
        <i x="4" s="1"/>
        <i x="1" s="1"/>
        <i x="6" s="1"/>
        <i x="5"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9D8C4F2A-3AD0-4AA6-BE47-B733D2EBC0E2}" sourceName="Age_Group">
  <pivotTables>
    <pivotTable tabId="3" name="1. Subscription &amp; Revenue Analysis: 1.0"/>
    <pivotTable tabId="3" name="1. Subscription &amp; Revenue Analysis: 1.1"/>
    <pivotTable tabId="3" name="2. User Engagement Metrics: 1.0"/>
    <pivotTable tabId="3" name="2. User Engagement Metrics: 1.2"/>
    <pivotTable tabId="3" name="2. User Engagement Metrics: 1.3"/>
    <pivotTable tabId="3" name="3. Demographic &amp; Behavioral Insights: 1.0"/>
    <pivotTable tabId="3" name="3. Demographic &amp; Behavioral Insights: 1.1"/>
    <pivotTable tabId="3" name="3. Demographic &amp; Behavioral Insights: 1.2"/>
    <pivotTable tabId="3" name="4. Retention &amp; Loyalty: 1.0"/>
    <pivotTable tabId="3" name="4. Retention &amp; Loyalty: 1.1"/>
    <pivotTable tabId="3" name="4. Retention &amp; Loyalty:1.3"/>
    <pivotTable tabId="3" name="4. Retention &amp; Loyalty:1.4"/>
    <pivotTable tabId="3" name="5. Payment Preferences &amp; Regional Trends 1.0"/>
    <pivotTable tabId="3" name="5. Payment Preferences &amp; Regional Trends 1.2"/>
    <pivotTable tabId="3" name="5. Payment Preferences &amp; Regional Trends 1.3"/>
  </pivotTables>
  <data>
    <tabular pivotCacheId="1513313177">
      <items count="5">
        <i x="2" s="1"/>
        <i x="1" s="1"/>
        <i x="0"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vorite_Genre" xr10:uid="{A19A4F90-8208-4942-936A-E8276AE1F889}" sourceName="Favorite_Genre">
  <pivotTables>
    <pivotTable tabId="3" name="1. Subscription &amp; Revenue Analysis: 1.0"/>
    <pivotTable tabId="3" name="1. Subscription &amp; Revenue Analysis: 1.1"/>
    <pivotTable tabId="3" name="2. User Engagement Metrics: 1.0"/>
    <pivotTable tabId="3" name="2. User Engagement Metrics: 1.2"/>
    <pivotTable tabId="3" name="2. User Engagement Metrics: 1.3"/>
    <pivotTable tabId="3" name="3. Demographic &amp; Behavioral Insights: 1.0"/>
    <pivotTable tabId="3" name="3. Demographic &amp; Behavioral Insights: 1.1"/>
    <pivotTable tabId="3" name="3. Demographic &amp; Behavioral Insights: 1.2"/>
    <pivotTable tabId="3" name="4. Retention &amp; Loyalty: 1.0"/>
    <pivotTable tabId="3" name="4. Retention &amp; Loyalty: 1.1"/>
    <pivotTable tabId="3" name="4. Retention &amp; Loyalty:1.3"/>
    <pivotTable tabId="3" name="4. Retention &amp; Loyalty:1.4"/>
    <pivotTable tabId="3" name="5. Payment Preferences &amp; Regional Trends 1.0"/>
    <pivotTable tabId="3" name="5. Payment Preferences &amp; Regional Trends 1.2"/>
    <pivotTable tabId="3" name="5. Payment Preferences &amp; Regional Trends 1.3"/>
  </pivotTables>
  <data>
    <tabular pivotCacheId="1513313177">
      <items count="7">
        <i x="0" s="1"/>
        <i x="5" s="1"/>
        <i x="3" s="1"/>
        <i x="1" s="1"/>
        <i x="4" s="1"/>
        <i x="6"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Tier" xr10:uid="{92D3F06B-B9C3-4188-A8C0-10407368D190}" sourceName="Price Tier ">
  <pivotTables>
    <pivotTable tabId="3" name="1. Subscription &amp; Revenue Analysis: 1.0"/>
    <pivotTable tabId="3" name="1. Subscription &amp; Revenue Analysis: 1.1"/>
    <pivotTable tabId="3" name="2. User Engagement Metrics: 1.0"/>
    <pivotTable tabId="3" name="2. User Engagement Metrics: 1.2"/>
    <pivotTable tabId="3" name="2. User Engagement Metrics: 1.3"/>
    <pivotTable tabId="3" name="3. Demographic &amp; Behavioral Insights: 1.0"/>
    <pivotTable tabId="3" name="3. Demographic &amp; Behavioral Insights: 1.1"/>
    <pivotTable tabId="3" name="3. Demographic &amp; Behavioral Insights: 1.2"/>
    <pivotTable tabId="3" name="4. Retention &amp; Loyalty: 1.0"/>
    <pivotTable tabId="3" name="4. Retention &amp; Loyalty: 1.1"/>
    <pivotTable tabId="3" name="4. Retention &amp; Loyalty:1.3"/>
    <pivotTable tabId="3" name="4. Retention &amp; Loyalty:1.4"/>
    <pivotTable tabId="3" name="5. Payment Preferences &amp; Regional Trends 1.0"/>
    <pivotTable tabId="3" name="5. Payment Preferences &amp; Regional Trends 1.2"/>
    <pivotTable tabId="3" name="5. Payment Preferences &amp; Regional Trends 1.3"/>
  </pivotTables>
  <data>
    <tabular pivotCacheId="151331317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3C0FCAE3-DD81-48C2-A3AE-8006EC0ED2E0}" cache="Slicer_Country" caption="Country" columnCount="4" style="SlicerStyleOther2" rowHeight="234950"/>
  <slicer name="Age_Group" xr10:uid="{40423075-EDF3-4B2F-BB40-B70FDCFC06C2}" cache="Slicer_Age_Group" caption="Age_Group" columnCount="5" style="SlicerStyleLight6" rowHeight="234950"/>
  <slicer name="Favorite_Genre" xr10:uid="{562FF8DC-B8BC-4875-B24D-FCB09B8D957A}" cache="Slicer_Favorite_Genre" caption="Favorite_Genre" columnCount="2" style="SlicerStyleLight5" rowHeight="234950"/>
  <slicer name="Price Tier " xr10:uid="{9D8CDD6E-D1B5-4174-88C1-7B774980D6D0}" cache="Slicer_Price_Tier" caption="Price Tier "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1ECA8D-8B72-46C9-A498-1DB59B23D918}" name="Table1" displayName="Table1" ref="A1:AC1001" totalsRowShown="0" headerRowDxfId="296">
  <autoFilter ref="A1:AC1001" xr:uid="{C81ECA8D-8B72-46C9-A498-1DB59B23D918}"/>
  <tableColumns count="29">
    <tableColumn id="1" xr3:uid="{E906E502-B452-42A5-A506-FE81B6F2A337}" name="User_ID" dataDxfId="295"/>
    <tableColumn id="2" xr3:uid="{6EA46064-4411-4CB3-8C37-0FED2B2051B0}" name="User_Name" dataDxfId="294"/>
    <tableColumn id="3" xr3:uid="{F848D114-7125-4390-8D4C-48CEFD920BBF}" name="Join_Date" dataDxfId="293"/>
    <tableColumn id="4" xr3:uid="{842AEEC1-976D-412B-AC5C-064657A845EE}" name="Last_Login" dataDxfId="292"/>
    <tableColumn id="5" xr3:uid="{301160A4-973A-4655-8F4D-C42A49C87F03}" name="Monthly_Price" dataDxfId="291"/>
    <tableColumn id="6" xr3:uid="{5AA77E77-8AD0-4016-A885-0B8350DF9776}" name="Watch_Hours" dataDxfId="290"/>
    <tableColumn id="7" xr3:uid="{57161921-1D25-45E6-BB41-30EAAAB31500}" name="Favorite_Genre" dataDxfId="289"/>
    <tableColumn id="8" xr3:uid="{186C1D24-5934-41A4-ABEB-BAD5586B9C66}" name="Active_Devices" dataDxfId="288"/>
    <tableColumn id="9" xr3:uid="{B96E9567-1597-4A5A-9627-324B519DB26B}" name="Profile_Count" dataDxfId="287"/>
    <tableColumn id="10" xr3:uid="{07DA56C8-9DC3-4C0F-BE0E-57BC772D94BD}" name="Parental_Controls" dataDxfId="286"/>
    <tableColumn id="11" xr3:uid="{BB51A6AC-50C7-481C-979C-81FC081E8F22}" name="Total_Movies_Watched" dataDxfId="285"/>
    <tableColumn id="12" xr3:uid="{3405882C-0E93-46AC-92F1-66D4A52B5BD2}" name="Total_Series_Watched" dataDxfId="284"/>
    <tableColumn id="13" xr3:uid="{25EFCEEE-DFEC-4539-9E1D-523B04E69232}" name="Country" dataDxfId="283"/>
    <tableColumn id="14" xr3:uid="{A546C7C5-581D-4BD9-AB53-75C70C04236F}" name="Payment_Method" dataDxfId="282"/>
    <tableColumn id="15" xr3:uid="{09B2E2D4-4BF0-48A1-8CDC-A6D78C138C06}" name="Language_Preference" dataDxfId="281"/>
    <tableColumn id="16" xr3:uid="{BF163DDE-D771-4B52-BAD4-3D812CC3DE0F}" name="Recommended_Content_Count" dataDxfId="280"/>
    <tableColumn id="17" xr3:uid="{EE7348CF-6684-4864-9B5A-ACA52F546D5B}" name="Average_Rating_Given" dataDxfId="279"/>
    <tableColumn id="18" xr3:uid="{58DB5124-C8FD-48E3-9A42-6107F01BB1D5}" name="Has_Downloaded_Content" dataDxfId="278"/>
    <tableColumn id="19" xr3:uid="{20F941B6-D2B4-40C1-9934-4DF12EB9AEBE}" name="Membership_Status" dataDxfId="277"/>
    <tableColumn id="20" xr3:uid="{B878A3C4-ADBD-41FF-BD1F-34CAB3D2EE91}" name="Loyalty_Points" dataDxfId="276"/>
    <tableColumn id="21" xr3:uid="{1BC487C1-5314-430E-BE6E-06BC8EEAB9DF}" name="First_Device_Used" dataDxfId="275"/>
    <tableColumn id="22" xr3:uid="{09D76AA1-68D8-45DD-9726-18A4A7E5CBAE}" name="Age_Group" dataDxfId="274"/>
    <tableColumn id="23" xr3:uid="{FCA6B8A6-8404-4EA7-B4F3-9564A621841E}" name="Primary_Watch_Time" dataDxfId="273"/>
    <tableColumn id="24" xr3:uid="{0B992C44-D6A1-4C67-B32A-3F77106C63E0}" name="Tenure Days" dataDxfId="272">
      <calculatedColumnFormula>D2-C2</calculatedColumnFormula>
    </tableColumn>
    <tableColumn id="25" xr3:uid="{F5C2E388-9BFF-4E9C-BF0D-BEB82AD56C08}" name="Price Tier ">
      <calculatedColumnFormula array="1">_xlfn.IFS(E2=7.99,"BASIC",E2=11.99,"STANDARD",E2=15.99,"PREMIUM")</calculatedColumnFormula>
    </tableColumn>
    <tableColumn id="26" xr3:uid="{9FD64595-60BB-44CE-B587-7484A5D9B020}" name="Watch HR per Week" dataDxfId="271">
      <calculatedColumnFormula>F2/(X2/7)</calculatedColumnFormula>
    </tableColumn>
    <tableColumn id="27" xr3:uid="{6A0F9C26-3296-48C7-B75E-724E58591FAA}" name="Frequency Bucket" dataDxfId="270">
      <calculatedColumnFormula array="1">_xlfn.IFS(
(F2/(X2/7)) &lt; 5, "Casual",
AND((F2/(X2/7)) &gt;= 5, (F2/(X2/7)) &lt; 15), "Regular",
(F2/(X2/7)) &gt;= 15, "Power"
)</calculatedColumnFormula>
    </tableColumn>
    <tableColumn id="28" xr3:uid="{3B4AEFB8-B21F-46C6-AB54-B246B0ED4178}" name="Per Day Watch Hr" dataDxfId="269">
      <calculatedColumnFormula>(F2/(K2+L2))</calculatedColumnFormula>
    </tableColumn>
    <tableColumn id="29" xr3:uid="{35E6D22B-4A27-4C62-8ACC-792A74414B0A}" name="BR/VW">
      <calculatedColumnFormula>IF(F2/(K2+L2) &lt; 0.15," Browsers","Viewers")</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Join_Date" xr10:uid="{14497BDB-C6EB-4316-BE2E-73227EF1644A}" sourceName="Join_Date">
  <pivotTables>
    <pivotTable tabId="3" name="1. Subscription &amp; Revenue Analysis: 1.0"/>
    <pivotTable tabId="3" name="1. Subscription &amp; Revenue Analysis: 1.1"/>
    <pivotTable tabId="3" name="2. User Engagement Metrics: 1.0"/>
    <pivotTable tabId="3" name="2. User Engagement Metrics: 1.2"/>
    <pivotTable tabId="3" name="2. User Engagement Metrics: 1.3"/>
    <pivotTable tabId="3" name="3. Demographic &amp; Behavioral Insights: 1.0"/>
    <pivotTable tabId="3" name="3. Demographic &amp; Behavioral Insights: 1.1"/>
    <pivotTable tabId="3" name="3. Demographic &amp; Behavioral Insights: 1.2"/>
    <pivotTable tabId="3" name="4. Retention &amp; Loyalty: 1.0"/>
    <pivotTable tabId="3" name="4. Retention &amp; Loyalty: 1.1"/>
    <pivotTable tabId="3" name="4. Retention &amp; Loyalty:1.3"/>
    <pivotTable tabId="3" name="4. Retention &amp; Loyalty:1.4"/>
    <pivotTable tabId="3" name="5. Payment Preferences &amp; Regional Trends 1.0"/>
    <pivotTable tabId="3" name="5. Payment Preferences &amp; Regional Trends 1.2"/>
    <pivotTable tabId="3" name="5. Payment Preferences &amp; Regional Trends 1.3"/>
  </pivotTables>
  <state minimalRefreshVersion="6" lastRefreshVersion="6" pivotCacheId="1513313177"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Join_Date" xr10:uid="{EE83CE7E-A401-48B2-A352-D79A4CD9B1B1}" cache="NativeTimeline_Join_Date" caption="Join_Date" showHeader="0" showSelectionLabel="0" showTimeLevel="0" level="2" selectionLevel="2" scrollPosition="2022-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rinterSettings" Target="../printerSettings/printerSettings3.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FBE9E-6487-4E5B-88D4-D8D0B09623F6}">
  <dimension ref="A1:W1001"/>
  <sheetViews>
    <sheetView workbookViewId="0"/>
  </sheetViews>
  <sheetFormatPr defaultRowHeight="14.4" x14ac:dyDescent="0.3"/>
  <cols>
    <col min="1" max="1" width="7.5546875" bestFit="1" customWidth="1"/>
    <col min="2" max="2" width="10.6640625" bestFit="1" customWidth="1"/>
    <col min="3" max="4" width="10.5546875" bestFit="1" customWidth="1"/>
    <col min="5" max="5" width="12.77734375" bestFit="1" customWidth="1"/>
    <col min="6" max="6" width="12.109375" bestFit="1" customWidth="1"/>
    <col min="7" max="7" width="13.6640625" bestFit="1" customWidth="1"/>
    <col min="8" max="8" width="13.33203125" bestFit="1" customWidth="1"/>
    <col min="9" max="9" width="12.21875" bestFit="1" customWidth="1"/>
    <col min="10" max="10" width="15.77734375" bestFit="1" customWidth="1"/>
    <col min="11" max="11" width="20.6640625" bestFit="1" customWidth="1"/>
    <col min="12" max="12" width="19.5546875" bestFit="1" customWidth="1"/>
    <col min="13" max="13" width="8.33203125" bestFit="1" customWidth="1"/>
    <col min="14" max="14" width="15.6640625" bestFit="1" customWidth="1"/>
    <col min="15" max="15" width="18.77734375" bestFit="1" customWidth="1"/>
    <col min="16" max="16" width="27.109375" bestFit="1" customWidth="1"/>
    <col min="17" max="17" width="19.44140625" bestFit="1" customWidth="1"/>
    <col min="18" max="18" width="23.21875" bestFit="1" customWidth="1"/>
    <col min="19" max="19" width="17.33203125" bestFit="1" customWidth="1"/>
    <col min="20" max="20" width="12.88671875" bestFit="1" customWidth="1"/>
    <col min="21" max="21" width="16.109375" bestFit="1" customWidth="1"/>
    <col min="22" max="22" width="10" bestFit="1" customWidth="1"/>
    <col min="23" max="23" width="18.77734375" bestFit="1" customWidth="1"/>
  </cols>
  <sheetData>
    <row r="1" spans="1:23" x14ac:dyDescent="0.3">
      <c r="A1" s="9" t="s">
        <v>0</v>
      </c>
      <c r="B1" s="9" t="s">
        <v>1</v>
      </c>
      <c r="C1" s="2" t="s">
        <v>2</v>
      </c>
      <c r="D1" s="2"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2" t="s">
        <v>21</v>
      </c>
      <c r="W1" s="9" t="s">
        <v>22</v>
      </c>
    </row>
    <row r="2" spans="1:23" x14ac:dyDescent="0.3">
      <c r="A2" s="6">
        <v>2518</v>
      </c>
      <c r="B2" s="7" t="s">
        <v>23</v>
      </c>
      <c r="C2" t="s">
        <v>24</v>
      </c>
      <c r="D2" t="s">
        <v>25</v>
      </c>
      <c r="E2" s="8">
        <v>7.99</v>
      </c>
      <c r="F2" s="6">
        <v>49</v>
      </c>
      <c r="G2" s="7" t="s">
        <v>26</v>
      </c>
      <c r="H2" s="6">
        <v>3</v>
      </c>
      <c r="I2" s="6">
        <v>6</v>
      </c>
      <c r="J2" s="7" t="b">
        <v>1</v>
      </c>
      <c r="K2" s="6">
        <v>641</v>
      </c>
      <c r="L2" s="6">
        <v>117</v>
      </c>
      <c r="M2" s="7" t="s">
        <v>27</v>
      </c>
      <c r="N2" s="7" t="s">
        <v>28</v>
      </c>
      <c r="O2" s="7" t="s">
        <v>29</v>
      </c>
      <c r="P2" s="5">
        <v>84</v>
      </c>
      <c r="Q2" s="4">
        <v>3.3</v>
      </c>
      <c r="R2" s="7" t="b">
        <v>0</v>
      </c>
      <c r="S2" s="7" t="s">
        <v>30</v>
      </c>
      <c r="T2" s="5">
        <v>2878</v>
      </c>
      <c r="U2" s="7" t="s">
        <v>31</v>
      </c>
      <c r="V2" t="s">
        <v>32</v>
      </c>
      <c r="W2" s="7" t="s">
        <v>33</v>
      </c>
    </row>
    <row r="3" spans="1:23" x14ac:dyDescent="0.3">
      <c r="A3" s="6">
        <v>6430</v>
      </c>
      <c r="B3" s="7" t="s">
        <v>34</v>
      </c>
      <c r="C3" s="1">
        <v>44989</v>
      </c>
      <c r="D3" t="s">
        <v>35</v>
      </c>
      <c r="E3" s="8">
        <v>7.99</v>
      </c>
      <c r="F3" s="6">
        <v>161</v>
      </c>
      <c r="G3" s="7" t="s">
        <v>36</v>
      </c>
      <c r="H3" s="6">
        <v>1</v>
      </c>
      <c r="I3" s="6">
        <v>2</v>
      </c>
      <c r="J3" s="7" t="b">
        <v>1</v>
      </c>
      <c r="K3" s="6">
        <v>192</v>
      </c>
      <c r="L3" s="6">
        <v>65</v>
      </c>
      <c r="M3" s="7" t="s">
        <v>27</v>
      </c>
      <c r="N3" s="7" t="s">
        <v>28</v>
      </c>
      <c r="O3" s="7" t="s">
        <v>37</v>
      </c>
      <c r="P3" s="5">
        <v>69</v>
      </c>
      <c r="Q3" s="4">
        <v>4</v>
      </c>
      <c r="R3" s="7" t="b">
        <v>0</v>
      </c>
      <c r="S3" s="7" t="s">
        <v>30</v>
      </c>
      <c r="T3" s="5">
        <v>2291</v>
      </c>
      <c r="U3" s="7" t="s">
        <v>38</v>
      </c>
      <c r="V3" t="s">
        <v>39</v>
      </c>
      <c r="W3" s="7" t="s">
        <v>40</v>
      </c>
    </row>
    <row r="4" spans="1:23" x14ac:dyDescent="0.3">
      <c r="A4" s="6">
        <v>1798</v>
      </c>
      <c r="B4" s="7" t="s">
        <v>41</v>
      </c>
      <c r="C4" s="1">
        <v>44965</v>
      </c>
      <c r="D4" t="s">
        <v>42</v>
      </c>
      <c r="E4" s="8">
        <v>11.99</v>
      </c>
      <c r="F4" s="6">
        <v>87</v>
      </c>
      <c r="G4" s="7" t="s">
        <v>26</v>
      </c>
      <c r="H4" s="6">
        <v>2</v>
      </c>
      <c r="I4" s="6">
        <v>5</v>
      </c>
      <c r="J4" s="7" t="b">
        <v>0</v>
      </c>
      <c r="K4" s="6">
        <v>260</v>
      </c>
      <c r="L4" s="6">
        <v>127</v>
      </c>
      <c r="M4" s="7" t="s">
        <v>43</v>
      </c>
      <c r="N4" s="7" t="s">
        <v>44</v>
      </c>
      <c r="O4" s="7" t="s">
        <v>45</v>
      </c>
      <c r="P4" s="5">
        <v>56</v>
      </c>
      <c r="Q4" s="4">
        <v>3.1</v>
      </c>
      <c r="R4" s="7" t="b">
        <v>0</v>
      </c>
      <c r="S4" s="7" t="s">
        <v>30</v>
      </c>
      <c r="T4" s="5">
        <v>1692</v>
      </c>
      <c r="U4" s="7" t="s">
        <v>38</v>
      </c>
      <c r="V4" t="s">
        <v>32</v>
      </c>
      <c r="W4" s="7" t="s">
        <v>33</v>
      </c>
    </row>
    <row r="5" spans="1:23" x14ac:dyDescent="0.3">
      <c r="A5" s="6">
        <v>5255</v>
      </c>
      <c r="B5" s="7" t="s">
        <v>46</v>
      </c>
      <c r="C5" t="s">
        <v>47</v>
      </c>
      <c r="D5" s="1">
        <v>45334</v>
      </c>
      <c r="E5" s="8">
        <v>15.99</v>
      </c>
      <c r="F5" s="6">
        <v>321</v>
      </c>
      <c r="G5" s="7" t="s">
        <v>48</v>
      </c>
      <c r="H5" s="6">
        <v>1</v>
      </c>
      <c r="I5" s="6">
        <v>5</v>
      </c>
      <c r="J5" s="7" t="b">
        <v>0</v>
      </c>
      <c r="K5" s="6">
        <v>61</v>
      </c>
      <c r="L5" s="6">
        <v>192</v>
      </c>
      <c r="M5" s="7" t="s">
        <v>49</v>
      </c>
      <c r="N5" s="7" t="s">
        <v>44</v>
      </c>
      <c r="O5" s="7" t="s">
        <v>45</v>
      </c>
      <c r="P5" s="5">
        <v>47</v>
      </c>
      <c r="Q5" s="4">
        <v>4.5999999999999996</v>
      </c>
      <c r="R5" s="7" t="b">
        <v>0</v>
      </c>
      <c r="S5" s="7" t="s">
        <v>30</v>
      </c>
      <c r="T5" s="5">
        <v>952</v>
      </c>
      <c r="U5" s="7" t="s">
        <v>38</v>
      </c>
      <c r="V5" t="s">
        <v>39</v>
      </c>
      <c r="W5" s="7" t="s">
        <v>40</v>
      </c>
    </row>
    <row r="6" spans="1:23" x14ac:dyDescent="0.3">
      <c r="A6" s="6">
        <v>2854</v>
      </c>
      <c r="B6" s="7" t="s">
        <v>50</v>
      </c>
      <c r="C6" s="1">
        <v>45083</v>
      </c>
      <c r="D6" t="s">
        <v>35</v>
      </c>
      <c r="E6" s="8">
        <v>11.99</v>
      </c>
      <c r="F6" s="6">
        <v>386</v>
      </c>
      <c r="G6" s="7" t="s">
        <v>51</v>
      </c>
      <c r="H6" s="6">
        <v>1</v>
      </c>
      <c r="I6" s="6">
        <v>4</v>
      </c>
      <c r="J6" s="7" t="b">
        <v>1</v>
      </c>
      <c r="K6" s="6">
        <v>230</v>
      </c>
      <c r="L6" s="6">
        <v>2</v>
      </c>
      <c r="M6" s="7" t="s">
        <v>27</v>
      </c>
      <c r="N6" s="7" t="s">
        <v>28</v>
      </c>
      <c r="O6" s="7" t="s">
        <v>45</v>
      </c>
      <c r="P6" s="5">
        <v>39</v>
      </c>
      <c r="Q6" s="4">
        <v>3.7</v>
      </c>
      <c r="R6" s="7" t="b">
        <v>0</v>
      </c>
      <c r="S6" s="7" t="s">
        <v>30</v>
      </c>
      <c r="T6" s="5">
        <v>1823</v>
      </c>
      <c r="U6" s="7" t="s">
        <v>38</v>
      </c>
      <c r="V6" t="s">
        <v>39</v>
      </c>
      <c r="W6" s="7" t="s">
        <v>33</v>
      </c>
    </row>
    <row r="7" spans="1:23" x14ac:dyDescent="0.3">
      <c r="A7" s="6">
        <v>6735</v>
      </c>
      <c r="B7" s="7" t="s">
        <v>52</v>
      </c>
      <c r="C7" t="s">
        <v>53</v>
      </c>
      <c r="D7" t="s">
        <v>54</v>
      </c>
      <c r="E7" s="8">
        <v>15.99</v>
      </c>
      <c r="F7" s="6">
        <v>408</v>
      </c>
      <c r="G7" s="7" t="s">
        <v>51</v>
      </c>
      <c r="H7" s="6">
        <v>2</v>
      </c>
      <c r="I7" s="6">
        <v>6</v>
      </c>
      <c r="J7" s="7" t="b">
        <v>1</v>
      </c>
      <c r="K7" s="6">
        <v>837</v>
      </c>
      <c r="L7" s="6">
        <v>105</v>
      </c>
      <c r="M7" s="7" t="s">
        <v>55</v>
      </c>
      <c r="N7" s="7" t="s">
        <v>56</v>
      </c>
      <c r="O7" s="7" t="s">
        <v>57</v>
      </c>
      <c r="P7" s="5">
        <v>71</v>
      </c>
      <c r="Q7" s="4">
        <v>4.3</v>
      </c>
      <c r="R7" s="7" t="b">
        <v>1</v>
      </c>
      <c r="S7" s="7" t="s">
        <v>30</v>
      </c>
      <c r="T7" s="5">
        <v>33</v>
      </c>
      <c r="U7" s="7" t="s">
        <v>58</v>
      </c>
      <c r="V7" t="s">
        <v>59</v>
      </c>
      <c r="W7" s="7" t="s">
        <v>60</v>
      </c>
    </row>
    <row r="8" spans="1:23" x14ac:dyDescent="0.3">
      <c r="A8" s="6">
        <v>2995</v>
      </c>
      <c r="B8" s="7" t="s">
        <v>61</v>
      </c>
      <c r="C8" t="s">
        <v>62</v>
      </c>
      <c r="D8" s="1">
        <v>45577</v>
      </c>
      <c r="E8" s="8">
        <v>7.99</v>
      </c>
      <c r="F8" s="6">
        <v>475</v>
      </c>
      <c r="G8" s="7" t="s">
        <v>63</v>
      </c>
      <c r="H8" s="6">
        <v>5</v>
      </c>
      <c r="I8" s="6">
        <v>4</v>
      </c>
      <c r="J8" s="7" t="b">
        <v>1</v>
      </c>
      <c r="K8" s="6">
        <v>510</v>
      </c>
      <c r="L8" s="6">
        <v>143</v>
      </c>
      <c r="M8" s="7" t="s">
        <v>27</v>
      </c>
      <c r="N8" s="7" t="s">
        <v>56</v>
      </c>
      <c r="O8" s="7" t="s">
        <v>64</v>
      </c>
      <c r="P8" s="5">
        <v>1</v>
      </c>
      <c r="Q8" s="4">
        <v>4.5</v>
      </c>
      <c r="R8" s="7" t="b">
        <v>0</v>
      </c>
      <c r="S8" s="7" t="s">
        <v>30</v>
      </c>
      <c r="T8" s="5">
        <v>755</v>
      </c>
      <c r="U8" s="7" t="s">
        <v>65</v>
      </c>
      <c r="V8" t="s">
        <v>32</v>
      </c>
      <c r="W8" s="7" t="s">
        <v>33</v>
      </c>
    </row>
    <row r="9" spans="1:23" x14ac:dyDescent="0.3">
      <c r="A9" s="6">
        <v>5120</v>
      </c>
      <c r="B9" s="7" t="s">
        <v>66</v>
      </c>
      <c r="C9" t="s">
        <v>67</v>
      </c>
      <c r="D9" t="s">
        <v>42</v>
      </c>
      <c r="E9" s="8">
        <v>15.99</v>
      </c>
      <c r="F9" s="6">
        <v>258</v>
      </c>
      <c r="G9" s="7" t="s">
        <v>26</v>
      </c>
      <c r="H9" s="6">
        <v>4</v>
      </c>
      <c r="I9" s="6">
        <v>1</v>
      </c>
      <c r="J9" s="7" t="b">
        <v>1</v>
      </c>
      <c r="K9" s="6">
        <v>907</v>
      </c>
      <c r="L9" s="6">
        <v>47</v>
      </c>
      <c r="M9" s="7" t="s">
        <v>68</v>
      </c>
      <c r="N9" s="7" t="s">
        <v>44</v>
      </c>
      <c r="O9" s="7" t="s">
        <v>29</v>
      </c>
      <c r="P9" s="5">
        <v>32</v>
      </c>
      <c r="Q9" s="4">
        <v>3.7</v>
      </c>
      <c r="R9" s="7" t="b">
        <v>1</v>
      </c>
      <c r="S9" s="7" t="s">
        <v>30</v>
      </c>
      <c r="T9" s="5">
        <v>2866</v>
      </c>
      <c r="U9" s="7" t="s">
        <v>31</v>
      </c>
      <c r="V9" t="s">
        <v>69</v>
      </c>
      <c r="W9" s="7" t="s">
        <v>33</v>
      </c>
    </row>
    <row r="10" spans="1:23" x14ac:dyDescent="0.3">
      <c r="A10" s="6">
        <v>6063</v>
      </c>
      <c r="B10" s="7" t="s">
        <v>70</v>
      </c>
      <c r="C10" t="s">
        <v>71</v>
      </c>
      <c r="D10" t="s">
        <v>72</v>
      </c>
      <c r="E10" s="8">
        <v>15.99</v>
      </c>
      <c r="F10" s="6">
        <v>183</v>
      </c>
      <c r="G10" s="7" t="s">
        <v>73</v>
      </c>
      <c r="H10" s="6">
        <v>5</v>
      </c>
      <c r="I10" s="6">
        <v>2</v>
      </c>
      <c r="J10" s="7" t="b">
        <v>1</v>
      </c>
      <c r="K10" s="6">
        <v>676</v>
      </c>
      <c r="L10" s="6">
        <v>61</v>
      </c>
      <c r="M10" s="7" t="s">
        <v>74</v>
      </c>
      <c r="N10" s="7" t="s">
        <v>75</v>
      </c>
      <c r="O10" s="7" t="s">
        <v>45</v>
      </c>
      <c r="P10" s="5">
        <v>26</v>
      </c>
      <c r="Q10" s="4">
        <v>3.3</v>
      </c>
      <c r="R10" s="7" t="b">
        <v>1</v>
      </c>
      <c r="S10" s="7" t="s">
        <v>30</v>
      </c>
      <c r="T10" s="5">
        <v>336</v>
      </c>
      <c r="U10" s="7" t="s">
        <v>76</v>
      </c>
      <c r="V10" t="s">
        <v>39</v>
      </c>
      <c r="W10" s="7" t="s">
        <v>33</v>
      </c>
    </row>
    <row r="11" spans="1:23" x14ac:dyDescent="0.3">
      <c r="A11" s="6">
        <v>6896</v>
      </c>
      <c r="B11" s="7" t="s">
        <v>77</v>
      </c>
      <c r="C11" s="1">
        <v>44969</v>
      </c>
      <c r="D11" t="s">
        <v>42</v>
      </c>
      <c r="E11" s="8">
        <v>7.99</v>
      </c>
      <c r="F11" s="6">
        <v>164</v>
      </c>
      <c r="G11" s="7" t="s">
        <v>51</v>
      </c>
      <c r="H11" s="6">
        <v>5</v>
      </c>
      <c r="I11" s="6">
        <v>4</v>
      </c>
      <c r="J11" s="7" t="b">
        <v>1</v>
      </c>
      <c r="K11" s="6">
        <v>406</v>
      </c>
      <c r="L11" s="6">
        <v>79</v>
      </c>
      <c r="M11" s="7" t="s">
        <v>27</v>
      </c>
      <c r="N11" s="7" t="s">
        <v>56</v>
      </c>
      <c r="O11" s="7" t="s">
        <v>78</v>
      </c>
      <c r="P11" s="5">
        <v>90</v>
      </c>
      <c r="Q11" s="4">
        <v>3.2</v>
      </c>
      <c r="R11" s="7" t="b">
        <v>0</v>
      </c>
      <c r="S11" s="7" t="s">
        <v>30</v>
      </c>
      <c r="T11" s="5">
        <v>3898</v>
      </c>
      <c r="U11" s="7" t="s">
        <v>65</v>
      </c>
      <c r="V11" t="s">
        <v>79</v>
      </c>
      <c r="W11" s="7" t="s">
        <v>33</v>
      </c>
    </row>
    <row r="12" spans="1:23" x14ac:dyDescent="0.3">
      <c r="A12" s="6">
        <v>8447</v>
      </c>
      <c r="B12" s="7" t="s">
        <v>80</v>
      </c>
      <c r="C12" t="s">
        <v>81</v>
      </c>
      <c r="D12" t="s">
        <v>82</v>
      </c>
      <c r="E12" s="8">
        <v>11.99</v>
      </c>
      <c r="F12" s="6">
        <v>411</v>
      </c>
      <c r="G12" s="7" t="s">
        <v>73</v>
      </c>
      <c r="H12" s="6">
        <v>5</v>
      </c>
      <c r="I12" s="6">
        <v>4</v>
      </c>
      <c r="J12" s="7" t="b">
        <v>1</v>
      </c>
      <c r="K12" s="6">
        <v>352</v>
      </c>
      <c r="L12" s="6">
        <v>78</v>
      </c>
      <c r="M12" s="7" t="s">
        <v>49</v>
      </c>
      <c r="N12" s="7" t="s">
        <v>56</v>
      </c>
      <c r="O12" s="7" t="s">
        <v>64</v>
      </c>
      <c r="P12" s="5">
        <v>47</v>
      </c>
      <c r="Q12" s="4">
        <v>3.7</v>
      </c>
      <c r="R12" s="7" t="b">
        <v>0</v>
      </c>
      <c r="S12" s="7" t="s">
        <v>30</v>
      </c>
      <c r="T12" s="5">
        <v>650</v>
      </c>
      <c r="U12" s="7" t="s">
        <v>76</v>
      </c>
      <c r="V12" t="s">
        <v>79</v>
      </c>
      <c r="W12" s="7" t="s">
        <v>33</v>
      </c>
    </row>
    <row r="13" spans="1:23" x14ac:dyDescent="0.3">
      <c r="A13" s="6">
        <v>1433</v>
      </c>
      <c r="B13" s="7" t="s">
        <v>83</v>
      </c>
      <c r="C13" s="1">
        <v>45325</v>
      </c>
      <c r="D13" t="s">
        <v>84</v>
      </c>
      <c r="E13" s="8">
        <v>15.99</v>
      </c>
      <c r="F13" s="6">
        <v>160</v>
      </c>
      <c r="G13" s="7" t="s">
        <v>36</v>
      </c>
      <c r="H13" s="6">
        <v>5</v>
      </c>
      <c r="I13" s="6">
        <v>6</v>
      </c>
      <c r="J13" s="7" t="b">
        <v>1</v>
      </c>
      <c r="K13" s="6">
        <v>391</v>
      </c>
      <c r="L13" s="6">
        <v>132</v>
      </c>
      <c r="M13" s="7" t="s">
        <v>43</v>
      </c>
      <c r="N13" s="7" t="s">
        <v>44</v>
      </c>
      <c r="O13" s="7" t="s">
        <v>37</v>
      </c>
      <c r="P13" s="5">
        <v>57</v>
      </c>
      <c r="Q13" s="4">
        <v>3</v>
      </c>
      <c r="R13" s="7" t="b">
        <v>0</v>
      </c>
      <c r="S13" s="7" t="s">
        <v>30</v>
      </c>
      <c r="T13" s="5">
        <v>185</v>
      </c>
      <c r="U13" s="7" t="s">
        <v>65</v>
      </c>
      <c r="V13" t="s">
        <v>32</v>
      </c>
      <c r="W13" s="7" t="s">
        <v>33</v>
      </c>
    </row>
    <row r="14" spans="1:23" x14ac:dyDescent="0.3">
      <c r="A14" s="6">
        <v>4511</v>
      </c>
      <c r="B14" s="7" t="s">
        <v>85</v>
      </c>
      <c r="C14" t="s">
        <v>86</v>
      </c>
      <c r="D14" t="s">
        <v>87</v>
      </c>
      <c r="E14" s="8">
        <v>7.99</v>
      </c>
      <c r="F14" s="6">
        <v>348</v>
      </c>
      <c r="G14" s="7" t="s">
        <v>36</v>
      </c>
      <c r="H14" s="6">
        <v>2</v>
      </c>
      <c r="I14" s="6">
        <v>5</v>
      </c>
      <c r="J14" s="7" t="b">
        <v>0</v>
      </c>
      <c r="K14" s="6">
        <v>501</v>
      </c>
      <c r="L14" s="6">
        <v>71</v>
      </c>
      <c r="M14" s="7" t="s">
        <v>74</v>
      </c>
      <c r="N14" s="7" t="s">
        <v>44</v>
      </c>
      <c r="O14" s="7" t="s">
        <v>78</v>
      </c>
      <c r="P14" s="5">
        <v>38</v>
      </c>
      <c r="Q14" s="4">
        <v>4.3</v>
      </c>
      <c r="R14" s="7" t="b">
        <v>0</v>
      </c>
      <c r="S14" s="7" t="s">
        <v>30</v>
      </c>
      <c r="T14" s="5">
        <v>1547</v>
      </c>
      <c r="U14" s="7" t="s">
        <v>31</v>
      </c>
      <c r="V14" t="s">
        <v>69</v>
      </c>
      <c r="W14" s="7" t="s">
        <v>33</v>
      </c>
    </row>
    <row r="15" spans="1:23" x14ac:dyDescent="0.3">
      <c r="A15" s="6">
        <v>9966</v>
      </c>
      <c r="B15" s="7" t="s">
        <v>88</v>
      </c>
      <c r="C15" t="s">
        <v>89</v>
      </c>
      <c r="D15" t="s">
        <v>90</v>
      </c>
      <c r="E15" s="8">
        <v>7.99</v>
      </c>
      <c r="F15" s="6">
        <v>451</v>
      </c>
      <c r="G15" s="7" t="s">
        <v>51</v>
      </c>
      <c r="H15" s="6">
        <v>3</v>
      </c>
      <c r="I15" s="6">
        <v>1</v>
      </c>
      <c r="J15" s="7" t="b">
        <v>0</v>
      </c>
      <c r="K15" s="6">
        <v>995</v>
      </c>
      <c r="L15" s="6">
        <v>164</v>
      </c>
      <c r="M15" s="7" t="s">
        <v>49</v>
      </c>
      <c r="N15" s="7" t="s">
        <v>75</v>
      </c>
      <c r="O15" s="7" t="s">
        <v>64</v>
      </c>
      <c r="P15" s="5">
        <v>62</v>
      </c>
      <c r="Q15" s="4">
        <v>3</v>
      </c>
      <c r="R15" s="7" t="b">
        <v>1</v>
      </c>
      <c r="S15" s="7" t="s">
        <v>30</v>
      </c>
      <c r="T15" s="5">
        <v>3788</v>
      </c>
      <c r="U15" s="7" t="s">
        <v>31</v>
      </c>
      <c r="V15" t="s">
        <v>59</v>
      </c>
      <c r="W15" s="7" t="s">
        <v>33</v>
      </c>
    </row>
    <row r="16" spans="1:23" x14ac:dyDescent="0.3">
      <c r="A16" s="6">
        <v>7093</v>
      </c>
      <c r="B16" s="7" t="s">
        <v>91</v>
      </c>
      <c r="C16" s="1">
        <v>45113</v>
      </c>
      <c r="D16" s="1">
        <v>45608</v>
      </c>
      <c r="E16" s="8">
        <v>7.99</v>
      </c>
      <c r="F16" s="6">
        <v>69</v>
      </c>
      <c r="G16" s="7" t="s">
        <v>51</v>
      </c>
      <c r="H16" s="6">
        <v>2</v>
      </c>
      <c r="I16" s="6">
        <v>5</v>
      </c>
      <c r="J16" s="7" t="b">
        <v>0</v>
      </c>
      <c r="K16" s="6">
        <v>222</v>
      </c>
      <c r="L16" s="6">
        <v>13</v>
      </c>
      <c r="M16" s="7" t="s">
        <v>92</v>
      </c>
      <c r="N16" s="7" t="s">
        <v>28</v>
      </c>
      <c r="O16" s="7" t="s">
        <v>37</v>
      </c>
      <c r="P16" s="5">
        <v>0</v>
      </c>
      <c r="Q16" s="4">
        <v>4.7</v>
      </c>
      <c r="R16" s="7" t="b">
        <v>1</v>
      </c>
      <c r="S16" s="7" t="s">
        <v>30</v>
      </c>
      <c r="T16" s="5">
        <v>1051</v>
      </c>
      <c r="U16" s="7" t="s">
        <v>38</v>
      </c>
      <c r="V16" t="s">
        <v>59</v>
      </c>
      <c r="W16" s="7" t="s">
        <v>93</v>
      </c>
    </row>
    <row r="17" spans="1:23" x14ac:dyDescent="0.3">
      <c r="A17" s="6">
        <v>4351</v>
      </c>
      <c r="B17" s="7" t="s">
        <v>94</v>
      </c>
      <c r="C17" t="s">
        <v>95</v>
      </c>
      <c r="D17" t="s">
        <v>90</v>
      </c>
      <c r="E17" s="8">
        <v>11.99</v>
      </c>
      <c r="F17" s="6">
        <v>166</v>
      </c>
      <c r="G17" s="7" t="s">
        <v>63</v>
      </c>
      <c r="H17" s="6">
        <v>1</v>
      </c>
      <c r="I17" s="6">
        <v>6</v>
      </c>
      <c r="J17" s="7" t="b">
        <v>1</v>
      </c>
      <c r="K17" s="6">
        <v>788</v>
      </c>
      <c r="L17" s="6">
        <v>31</v>
      </c>
      <c r="M17" s="7" t="s">
        <v>27</v>
      </c>
      <c r="N17" s="7" t="s">
        <v>28</v>
      </c>
      <c r="O17" s="7" t="s">
        <v>37</v>
      </c>
      <c r="P17" s="5">
        <v>25</v>
      </c>
      <c r="Q17" s="4">
        <v>4.3</v>
      </c>
      <c r="R17" s="7" t="b">
        <v>1</v>
      </c>
      <c r="S17" s="7" t="s">
        <v>30</v>
      </c>
      <c r="T17" s="5">
        <v>633</v>
      </c>
      <c r="U17" s="7" t="s">
        <v>58</v>
      </c>
      <c r="V17" t="s">
        <v>32</v>
      </c>
      <c r="W17" s="7" t="s">
        <v>93</v>
      </c>
    </row>
    <row r="18" spans="1:23" x14ac:dyDescent="0.3">
      <c r="A18" s="6">
        <v>6007</v>
      </c>
      <c r="B18" s="7" t="s">
        <v>96</v>
      </c>
      <c r="C18" t="s">
        <v>97</v>
      </c>
      <c r="D18" t="s">
        <v>72</v>
      </c>
      <c r="E18" s="8">
        <v>7.99</v>
      </c>
      <c r="F18" s="6">
        <v>449</v>
      </c>
      <c r="G18" s="7" t="s">
        <v>63</v>
      </c>
      <c r="H18" s="6">
        <v>2</v>
      </c>
      <c r="I18" s="6">
        <v>4</v>
      </c>
      <c r="J18" s="7" t="b">
        <v>1</v>
      </c>
      <c r="K18" s="6">
        <v>369</v>
      </c>
      <c r="L18" s="6">
        <v>25</v>
      </c>
      <c r="M18" s="7" t="s">
        <v>74</v>
      </c>
      <c r="N18" s="7" t="s">
        <v>44</v>
      </c>
      <c r="O18" s="7" t="s">
        <v>57</v>
      </c>
      <c r="P18" s="5">
        <v>65</v>
      </c>
      <c r="Q18" s="4">
        <v>4.5999999999999996</v>
      </c>
      <c r="R18" s="7" t="b">
        <v>0</v>
      </c>
      <c r="S18" s="7" t="s">
        <v>30</v>
      </c>
      <c r="T18" s="5">
        <v>4133</v>
      </c>
      <c r="U18" s="7" t="s">
        <v>31</v>
      </c>
      <c r="V18" t="s">
        <v>39</v>
      </c>
      <c r="W18" s="7" t="s">
        <v>40</v>
      </c>
    </row>
    <row r="19" spans="1:23" x14ac:dyDescent="0.3">
      <c r="A19" s="6">
        <v>9710</v>
      </c>
      <c r="B19" s="7" t="s">
        <v>98</v>
      </c>
      <c r="C19" s="1">
        <v>44963</v>
      </c>
      <c r="D19" t="s">
        <v>99</v>
      </c>
      <c r="E19" s="8">
        <v>7.99</v>
      </c>
      <c r="F19" s="6">
        <v>441</v>
      </c>
      <c r="G19" s="7" t="s">
        <v>100</v>
      </c>
      <c r="H19" s="6">
        <v>1</v>
      </c>
      <c r="I19" s="6">
        <v>5</v>
      </c>
      <c r="J19" s="7" t="b">
        <v>0</v>
      </c>
      <c r="K19" s="6">
        <v>228</v>
      </c>
      <c r="L19" s="6">
        <v>39</v>
      </c>
      <c r="M19" s="7" t="s">
        <v>74</v>
      </c>
      <c r="N19" s="7" t="s">
        <v>28</v>
      </c>
      <c r="O19" s="7" t="s">
        <v>45</v>
      </c>
      <c r="P19" s="5">
        <v>50</v>
      </c>
      <c r="Q19" s="4">
        <v>3.1</v>
      </c>
      <c r="R19" s="7" t="b">
        <v>1</v>
      </c>
      <c r="S19" s="7" t="s">
        <v>30</v>
      </c>
      <c r="T19" s="5">
        <v>1159</v>
      </c>
      <c r="U19" s="7" t="s">
        <v>38</v>
      </c>
      <c r="V19" t="s">
        <v>32</v>
      </c>
      <c r="W19" s="7" t="s">
        <v>60</v>
      </c>
    </row>
    <row r="20" spans="1:23" x14ac:dyDescent="0.3">
      <c r="A20" s="6">
        <v>9034</v>
      </c>
      <c r="B20" s="7" t="s">
        <v>101</v>
      </c>
      <c r="C20" t="s">
        <v>102</v>
      </c>
      <c r="D20" t="s">
        <v>103</v>
      </c>
      <c r="E20" s="8">
        <v>15.99</v>
      </c>
      <c r="F20" s="6">
        <v>224</v>
      </c>
      <c r="G20" s="7" t="s">
        <v>73</v>
      </c>
      <c r="H20" s="6">
        <v>1</v>
      </c>
      <c r="I20" s="6">
        <v>5</v>
      </c>
      <c r="J20" s="7" t="b">
        <v>1</v>
      </c>
      <c r="K20" s="6">
        <v>827</v>
      </c>
      <c r="L20" s="6">
        <v>138</v>
      </c>
      <c r="M20" s="7" t="s">
        <v>43</v>
      </c>
      <c r="N20" s="7" t="s">
        <v>44</v>
      </c>
      <c r="O20" s="7" t="s">
        <v>45</v>
      </c>
      <c r="P20" s="5">
        <v>11</v>
      </c>
      <c r="Q20" s="4">
        <v>4.5</v>
      </c>
      <c r="R20" s="7" t="b">
        <v>1</v>
      </c>
      <c r="S20" s="7" t="s">
        <v>30</v>
      </c>
      <c r="T20" s="5">
        <v>4673</v>
      </c>
      <c r="U20" s="7" t="s">
        <v>76</v>
      </c>
      <c r="V20" t="s">
        <v>59</v>
      </c>
      <c r="W20" s="7" t="s">
        <v>93</v>
      </c>
    </row>
    <row r="21" spans="1:23" x14ac:dyDescent="0.3">
      <c r="A21" s="6">
        <v>6197</v>
      </c>
      <c r="B21" s="7" t="s">
        <v>104</v>
      </c>
      <c r="C21" s="1">
        <v>44992</v>
      </c>
      <c r="D21" t="s">
        <v>105</v>
      </c>
      <c r="E21" s="8">
        <v>15.99</v>
      </c>
      <c r="F21" s="6">
        <v>44</v>
      </c>
      <c r="G21" s="7" t="s">
        <v>26</v>
      </c>
      <c r="H21" s="6">
        <v>2</v>
      </c>
      <c r="I21" s="6">
        <v>4</v>
      </c>
      <c r="J21" s="7" t="b">
        <v>0</v>
      </c>
      <c r="K21" s="6">
        <v>983</v>
      </c>
      <c r="L21" s="6">
        <v>145</v>
      </c>
      <c r="M21" s="7" t="s">
        <v>55</v>
      </c>
      <c r="N21" s="7" t="s">
        <v>28</v>
      </c>
      <c r="O21" s="7" t="s">
        <v>78</v>
      </c>
      <c r="P21" s="5">
        <v>78</v>
      </c>
      <c r="Q21" s="4">
        <v>3</v>
      </c>
      <c r="R21" s="7" t="b">
        <v>0</v>
      </c>
      <c r="S21" s="7" t="s">
        <v>30</v>
      </c>
      <c r="T21" s="5">
        <v>4200</v>
      </c>
      <c r="U21" s="7" t="s">
        <v>65</v>
      </c>
      <c r="V21" t="s">
        <v>69</v>
      </c>
      <c r="W21" s="7" t="s">
        <v>40</v>
      </c>
    </row>
    <row r="22" spans="1:23" x14ac:dyDescent="0.3">
      <c r="A22" s="6">
        <v>2820</v>
      </c>
      <c r="B22" s="7" t="s">
        <v>106</v>
      </c>
      <c r="C22" t="s">
        <v>107</v>
      </c>
      <c r="D22" s="1">
        <v>45303</v>
      </c>
      <c r="E22" s="8">
        <v>7.99</v>
      </c>
      <c r="F22" s="6">
        <v>202</v>
      </c>
      <c r="G22" s="7" t="s">
        <v>36</v>
      </c>
      <c r="H22" s="6">
        <v>1</v>
      </c>
      <c r="I22" s="6">
        <v>5</v>
      </c>
      <c r="J22" s="7" t="b">
        <v>1</v>
      </c>
      <c r="K22" s="6">
        <v>109</v>
      </c>
      <c r="L22" s="6">
        <v>41</v>
      </c>
      <c r="M22" s="7" t="s">
        <v>27</v>
      </c>
      <c r="N22" s="7" t="s">
        <v>75</v>
      </c>
      <c r="O22" s="7" t="s">
        <v>57</v>
      </c>
      <c r="P22" s="5">
        <v>42</v>
      </c>
      <c r="Q22" s="4">
        <v>4.5999999999999996</v>
      </c>
      <c r="R22" s="7" t="b">
        <v>0</v>
      </c>
      <c r="S22" s="7" t="s">
        <v>30</v>
      </c>
      <c r="T22" s="5">
        <v>3607</v>
      </c>
      <c r="U22" s="7" t="s">
        <v>38</v>
      </c>
      <c r="V22" t="s">
        <v>32</v>
      </c>
      <c r="W22" s="7" t="s">
        <v>33</v>
      </c>
    </row>
    <row r="23" spans="1:23" x14ac:dyDescent="0.3">
      <c r="A23" s="6">
        <v>1101</v>
      </c>
      <c r="B23" s="7" t="s">
        <v>52</v>
      </c>
      <c r="C23" t="s">
        <v>108</v>
      </c>
      <c r="D23" t="s">
        <v>109</v>
      </c>
      <c r="E23" s="8">
        <v>15.99</v>
      </c>
      <c r="F23" s="6">
        <v>39</v>
      </c>
      <c r="G23" s="7" t="s">
        <v>63</v>
      </c>
      <c r="H23" s="6">
        <v>2</v>
      </c>
      <c r="I23" s="6">
        <v>3</v>
      </c>
      <c r="J23" s="7" t="b">
        <v>1</v>
      </c>
      <c r="K23" s="6">
        <v>181</v>
      </c>
      <c r="L23" s="6">
        <v>128</v>
      </c>
      <c r="M23" s="7" t="s">
        <v>68</v>
      </c>
      <c r="N23" s="7" t="s">
        <v>28</v>
      </c>
      <c r="O23" s="7" t="s">
        <v>45</v>
      </c>
      <c r="P23" s="5">
        <v>3</v>
      </c>
      <c r="Q23" s="4">
        <v>4.5</v>
      </c>
      <c r="R23" s="7" t="b">
        <v>1</v>
      </c>
      <c r="S23" s="7" t="s">
        <v>30</v>
      </c>
      <c r="T23" s="5">
        <v>4602</v>
      </c>
      <c r="U23" s="7" t="s">
        <v>58</v>
      </c>
      <c r="V23" t="s">
        <v>79</v>
      </c>
      <c r="W23" s="7" t="s">
        <v>40</v>
      </c>
    </row>
    <row r="24" spans="1:23" x14ac:dyDescent="0.3">
      <c r="A24" s="6">
        <v>1650</v>
      </c>
      <c r="B24" s="7" t="s">
        <v>98</v>
      </c>
      <c r="C24" t="s">
        <v>62</v>
      </c>
      <c r="D24" t="s">
        <v>109</v>
      </c>
      <c r="E24" s="8">
        <v>15.99</v>
      </c>
      <c r="F24" s="6">
        <v>319</v>
      </c>
      <c r="G24" s="7" t="s">
        <v>100</v>
      </c>
      <c r="H24" s="6">
        <v>2</v>
      </c>
      <c r="I24" s="6">
        <v>2</v>
      </c>
      <c r="J24" s="7" t="b">
        <v>0</v>
      </c>
      <c r="K24" s="6">
        <v>842</v>
      </c>
      <c r="L24" s="6">
        <v>145</v>
      </c>
      <c r="M24" s="7" t="s">
        <v>92</v>
      </c>
      <c r="N24" s="7" t="s">
        <v>75</v>
      </c>
      <c r="O24" s="7" t="s">
        <v>45</v>
      </c>
      <c r="P24" s="5">
        <v>27</v>
      </c>
      <c r="Q24" s="4">
        <v>3.6</v>
      </c>
      <c r="R24" s="7" t="b">
        <v>1</v>
      </c>
      <c r="S24" s="7" t="s">
        <v>30</v>
      </c>
      <c r="T24" s="5">
        <v>256</v>
      </c>
      <c r="U24" s="7" t="s">
        <v>58</v>
      </c>
      <c r="V24" t="s">
        <v>32</v>
      </c>
      <c r="W24" s="7" t="s">
        <v>93</v>
      </c>
    </row>
    <row r="25" spans="1:23" x14ac:dyDescent="0.3">
      <c r="A25" s="6">
        <v>4884</v>
      </c>
      <c r="B25" s="7" t="s">
        <v>110</v>
      </c>
      <c r="C25" t="s">
        <v>111</v>
      </c>
      <c r="D25" t="s">
        <v>87</v>
      </c>
      <c r="E25" s="8">
        <v>15.99</v>
      </c>
      <c r="F25" s="6">
        <v>150</v>
      </c>
      <c r="G25" s="7" t="s">
        <v>48</v>
      </c>
      <c r="H25" s="6">
        <v>3</v>
      </c>
      <c r="I25" s="6">
        <v>3</v>
      </c>
      <c r="J25" s="7" t="b">
        <v>1</v>
      </c>
      <c r="K25" s="6">
        <v>40</v>
      </c>
      <c r="L25" s="6">
        <v>196</v>
      </c>
      <c r="M25" s="7" t="s">
        <v>43</v>
      </c>
      <c r="N25" s="7" t="s">
        <v>44</v>
      </c>
      <c r="O25" s="7" t="s">
        <v>37</v>
      </c>
      <c r="P25" s="5">
        <v>60</v>
      </c>
      <c r="Q25" s="4">
        <v>3.7</v>
      </c>
      <c r="R25" s="7" t="b">
        <v>0</v>
      </c>
      <c r="S25" s="7" t="s">
        <v>30</v>
      </c>
      <c r="T25" s="5">
        <v>2406</v>
      </c>
      <c r="U25" s="7" t="s">
        <v>65</v>
      </c>
      <c r="V25" t="s">
        <v>79</v>
      </c>
      <c r="W25" s="7" t="s">
        <v>40</v>
      </c>
    </row>
    <row r="26" spans="1:23" x14ac:dyDescent="0.3">
      <c r="A26" s="6">
        <v>8321</v>
      </c>
      <c r="B26" s="7" t="s">
        <v>112</v>
      </c>
      <c r="C26" t="s">
        <v>113</v>
      </c>
      <c r="D26" t="s">
        <v>109</v>
      </c>
      <c r="E26" s="8">
        <v>11.99</v>
      </c>
      <c r="F26" s="6">
        <v>496</v>
      </c>
      <c r="G26" s="7" t="s">
        <v>100</v>
      </c>
      <c r="H26" s="6">
        <v>3</v>
      </c>
      <c r="I26" s="6">
        <v>1</v>
      </c>
      <c r="J26" s="7" t="b">
        <v>1</v>
      </c>
      <c r="K26" s="6">
        <v>431</v>
      </c>
      <c r="L26" s="6">
        <v>41</v>
      </c>
      <c r="M26" s="7" t="s">
        <v>55</v>
      </c>
      <c r="N26" s="7" t="s">
        <v>56</v>
      </c>
      <c r="O26" s="7" t="s">
        <v>64</v>
      </c>
      <c r="P26" s="5">
        <v>91</v>
      </c>
      <c r="Q26" s="4">
        <v>4</v>
      </c>
      <c r="R26" s="7" t="b">
        <v>1</v>
      </c>
      <c r="S26" s="7" t="s">
        <v>30</v>
      </c>
      <c r="T26" s="5">
        <v>1394</v>
      </c>
      <c r="U26" s="7" t="s">
        <v>58</v>
      </c>
      <c r="V26" t="s">
        <v>79</v>
      </c>
      <c r="W26" s="7" t="s">
        <v>93</v>
      </c>
    </row>
    <row r="27" spans="1:23" x14ac:dyDescent="0.3">
      <c r="A27" s="6">
        <v>2381</v>
      </c>
      <c r="B27" s="7" t="s">
        <v>114</v>
      </c>
      <c r="C27" t="s">
        <v>115</v>
      </c>
      <c r="D27" t="s">
        <v>35</v>
      </c>
      <c r="E27" s="8">
        <v>7.99</v>
      </c>
      <c r="F27" s="6">
        <v>347</v>
      </c>
      <c r="G27" s="7" t="s">
        <v>63</v>
      </c>
      <c r="H27" s="6">
        <v>2</v>
      </c>
      <c r="I27" s="6">
        <v>5</v>
      </c>
      <c r="J27" s="7" t="b">
        <v>0</v>
      </c>
      <c r="K27" s="6">
        <v>415</v>
      </c>
      <c r="L27" s="6">
        <v>194</v>
      </c>
      <c r="M27" s="7" t="s">
        <v>27</v>
      </c>
      <c r="N27" s="7" t="s">
        <v>56</v>
      </c>
      <c r="O27" s="7" t="s">
        <v>37</v>
      </c>
      <c r="P27" s="5">
        <v>76</v>
      </c>
      <c r="Q27" s="4">
        <v>4.3</v>
      </c>
      <c r="R27" s="7" t="b">
        <v>1</v>
      </c>
      <c r="S27" s="7" t="s">
        <v>30</v>
      </c>
      <c r="T27" s="5">
        <v>1856</v>
      </c>
      <c r="U27" s="7" t="s">
        <v>38</v>
      </c>
      <c r="V27" t="s">
        <v>59</v>
      </c>
      <c r="W27" s="7" t="s">
        <v>93</v>
      </c>
    </row>
    <row r="28" spans="1:23" x14ac:dyDescent="0.3">
      <c r="A28" s="6">
        <v>9507</v>
      </c>
      <c r="B28" s="7" t="s">
        <v>116</v>
      </c>
      <c r="C28" t="s">
        <v>117</v>
      </c>
      <c r="D28" t="s">
        <v>54</v>
      </c>
      <c r="E28" s="8">
        <v>11.99</v>
      </c>
      <c r="F28" s="6">
        <v>201</v>
      </c>
      <c r="G28" s="7" t="s">
        <v>26</v>
      </c>
      <c r="H28" s="6">
        <v>1</v>
      </c>
      <c r="I28" s="6">
        <v>6</v>
      </c>
      <c r="J28" s="7" t="b">
        <v>1</v>
      </c>
      <c r="K28" s="6">
        <v>902</v>
      </c>
      <c r="L28" s="6">
        <v>86</v>
      </c>
      <c r="M28" s="7" t="s">
        <v>27</v>
      </c>
      <c r="N28" s="7" t="s">
        <v>75</v>
      </c>
      <c r="O28" s="7" t="s">
        <v>78</v>
      </c>
      <c r="P28" s="5">
        <v>69</v>
      </c>
      <c r="Q28" s="4">
        <v>4.9000000000000004</v>
      </c>
      <c r="R28" s="7" t="b">
        <v>1</v>
      </c>
      <c r="S28" s="7" t="s">
        <v>30</v>
      </c>
      <c r="T28" s="5">
        <v>1665</v>
      </c>
      <c r="U28" s="7" t="s">
        <v>58</v>
      </c>
      <c r="V28" t="s">
        <v>59</v>
      </c>
      <c r="W28" s="7" t="s">
        <v>93</v>
      </c>
    </row>
    <row r="29" spans="1:23" x14ac:dyDescent="0.3">
      <c r="A29" s="6">
        <v>2851</v>
      </c>
      <c r="B29" s="7" t="s">
        <v>118</v>
      </c>
      <c r="C29" t="s">
        <v>119</v>
      </c>
      <c r="D29" t="s">
        <v>109</v>
      </c>
      <c r="E29" s="8">
        <v>15.99</v>
      </c>
      <c r="F29" s="6">
        <v>415</v>
      </c>
      <c r="G29" s="7" t="s">
        <v>100</v>
      </c>
      <c r="H29" s="6">
        <v>3</v>
      </c>
      <c r="I29" s="6">
        <v>5</v>
      </c>
      <c r="J29" s="7" t="b">
        <v>1</v>
      </c>
      <c r="K29" s="6">
        <v>769</v>
      </c>
      <c r="L29" s="6">
        <v>144</v>
      </c>
      <c r="M29" s="7" t="s">
        <v>68</v>
      </c>
      <c r="N29" s="7" t="s">
        <v>75</v>
      </c>
      <c r="O29" s="7" t="s">
        <v>57</v>
      </c>
      <c r="P29" s="5">
        <v>98</v>
      </c>
      <c r="Q29" s="4">
        <v>3.9</v>
      </c>
      <c r="R29" s="7" t="b">
        <v>0</v>
      </c>
      <c r="S29" s="7" t="s">
        <v>30</v>
      </c>
      <c r="T29" s="5">
        <v>2759</v>
      </c>
      <c r="U29" s="7" t="s">
        <v>76</v>
      </c>
      <c r="V29" t="s">
        <v>32</v>
      </c>
      <c r="W29" s="7" t="s">
        <v>40</v>
      </c>
    </row>
    <row r="30" spans="1:23" x14ac:dyDescent="0.3">
      <c r="A30" s="6">
        <v>4083</v>
      </c>
      <c r="B30" s="7" t="s">
        <v>120</v>
      </c>
      <c r="C30" t="s">
        <v>121</v>
      </c>
      <c r="D30" s="1">
        <v>45577</v>
      </c>
      <c r="E30" s="8">
        <v>11.99</v>
      </c>
      <c r="F30" s="6">
        <v>32</v>
      </c>
      <c r="G30" s="7" t="s">
        <v>63</v>
      </c>
      <c r="H30" s="6">
        <v>1</v>
      </c>
      <c r="I30" s="6">
        <v>4</v>
      </c>
      <c r="J30" s="7" t="b">
        <v>1</v>
      </c>
      <c r="K30" s="6">
        <v>588</v>
      </c>
      <c r="L30" s="6">
        <v>137</v>
      </c>
      <c r="M30" s="7" t="s">
        <v>92</v>
      </c>
      <c r="N30" s="7" t="s">
        <v>56</v>
      </c>
      <c r="O30" s="7" t="s">
        <v>64</v>
      </c>
      <c r="P30" s="5">
        <v>85</v>
      </c>
      <c r="Q30" s="4">
        <v>3.7</v>
      </c>
      <c r="R30" s="7" t="b">
        <v>1</v>
      </c>
      <c r="S30" s="7" t="s">
        <v>30</v>
      </c>
      <c r="T30" s="5">
        <v>3433</v>
      </c>
      <c r="U30" s="7" t="s">
        <v>65</v>
      </c>
      <c r="V30" t="s">
        <v>32</v>
      </c>
      <c r="W30" s="7" t="s">
        <v>93</v>
      </c>
    </row>
    <row r="31" spans="1:23" x14ac:dyDescent="0.3">
      <c r="A31" s="6">
        <v>4608</v>
      </c>
      <c r="B31" s="7" t="s">
        <v>122</v>
      </c>
      <c r="C31" t="s">
        <v>123</v>
      </c>
      <c r="D31" t="s">
        <v>105</v>
      </c>
      <c r="E31" s="8">
        <v>11.99</v>
      </c>
      <c r="F31" s="6">
        <v>338</v>
      </c>
      <c r="G31" s="7" t="s">
        <v>73</v>
      </c>
      <c r="H31" s="6">
        <v>3</v>
      </c>
      <c r="I31" s="6">
        <v>2</v>
      </c>
      <c r="J31" s="7" t="b">
        <v>1</v>
      </c>
      <c r="K31" s="6">
        <v>528</v>
      </c>
      <c r="L31" s="6">
        <v>184</v>
      </c>
      <c r="M31" s="7" t="s">
        <v>49</v>
      </c>
      <c r="N31" s="7" t="s">
        <v>75</v>
      </c>
      <c r="O31" s="7" t="s">
        <v>57</v>
      </c>
      <c r="P31" s="5">
        <v>58</v>
      </c>
      <c r="Q31" s="4">
        <v>3.7</v>
      </c>
      <c r="R31" s="7" t="b">
        <v>1</v>
      </c>
      <c r="S31" s="7" t="s">
        <v>30</v>
      </c>
      <c r="T31" s="5">
        <v>3966</v>
      </c>
      <c r="U31" s="7" t="s">
        <v>38</v>
      </c>
      <c r="V31" t="s">
        <v>79</v>
      </c>
      <c r="W31" s="7" t="s">
        <v>33</v>
      </c>
    </row>
    <row r="32" spans="1:23" x14ac:dyDescent="0.3">
      <c r="A32" s="6">
        <v>4815</v>
      </c>
      <c r="B32" s="7" t="s">
        <v>124</v>
      </c>
      <c r="C32" s="1">
        <v>45329</v>
      </c>
      <c r="D32" t="s">
        <v>84</v>
      </c>
      <c r="E32" s="8">
        <v>7.99</v>
      </c>
      <c r="F32" s="6">
        <v>52</v>
      </c>
      <c r="G32" s="7" t="s">
        <v>51</v>
      </c>
      <c r="H32" s="6">
        <v>5</v>
      </c>
      <c r="I32" s="6">
        <v>5</v>
      </c>
      <c r="J32" s="7" t="b">
        <v>0</v>
      </c>
      <c r="K32" s="6">
        <v>467</v>
      </c>
      <c r="L32" s="6">
        <v>23</v>
      </c>
      <c r="M32" s="7" t="s">
        <v>27</v>
      </c>
      <c r="N32" s="7" t="s">
        <v>28</v>
      </c>
      <c r="O32" s="7" t="s">
        <v>57</v>
      </c>
      <c r="P32" s="5">
        <v>97</v>
      </c>
      <c r="Q32" s="4">
        <v>3.3</v>
      </c>
      <c r="R32" s="7" t="b">
        <v>1</v>
      </c>
      <c r="S32" s="7" t="s">
        <v>30</v>
      </c>
      <c r="T32" s="5">
        <v>4185</v>
      </c>
      <c r="U32" s="7" t="s">
        <v>38</v>
      </c>
      <c r="V32" t="s">
        <v>79</v>
      </c>
      <c r="W32" s="7" t="s">
        <v>40</v>
      </c>
    </row>
    <row r="33" spans="1:23" x14ac:dyDescent="0.3">
      <c r="A33" s="6">
        <v>9597</v>
      </c>
      <c r="B33" s="7" t="s">
        <v>125</v>
      </c>
      <c r="C33" s="1">
        <v>45455</v>
      </c>
      <c r="D33" s="1">
        <v>45334</v>
      </c>
      <c r="E33" s="8">
        <v>11.99</v>
      </c>
      <c r="F33" s="6">
        <v>447</v>
      </c>
      <c r="G33" s="7" t="s">
        <v>100</v>
      </c>
      <c r="H33" s="6">
        <v>5</v>
      </c>
      <c r="I33" s="6">
        <v>5</v>
      </c>
      <c r="J33" s="7" t="b">
        <v>0</v>
      </c>
      <c r="K33" s="6">
        <v>73</v>
      </c>
      <c r="L33" s="6">
        <v>138</v>
      </c>
      <c r="M33" s="7" t="s">
        <v>74</v>
      </c>
      <c r="N33" s="7" t="s">
        <v>44</v>
      </c>
      <c r="O33" s="7" t="s">
        <v>29</v>
      </c>
      <c r="P33" s="5">
        <v>84</v>
      </c>
      <c r="Q33" s="4">
        <v>4.0999999999999996</v>
      </c>
      <c r="R33" s="7" t="b">
        <v>0</v>
      </c>
      <c r="S33" s="7" t="s">
        <v>30</v>
      </c>
      <c r="T33" s="5">
        <v>784</v>
      </c>
      <c r="U33" s="7" t="s">
        <v>31</v>
      </c>
      <c r="V33" t="s">
        <v>39</v>
      </c>
      <c r="W33" s="7" t="s">
        <v>93</v>
      </c>
    </row>
    <row r="34" spans="1:23" x14ac:dyDescent="0.3">
      <c r="A34" s="6">
        <v>6566</v>
      </c>
      <c r="B34" s="7" t="s">
        <v>126</v>
      </c>
      <c r="C34" t="s">
        <v>127</v>
      </c>
      <c r="D34" t="s">
        <v>72</v>
      </c>
      <c r="E34" s="8">
        <v>11.99</v>
      </c>
      <c r="F34" s="6">
        <v>312</v>
      </c>
      <c r="G34" s="7" t="s">
        <v>63</v>
      </c>
      <c r="H34" s="6">
        <v>5</v>
      </c>
      <c r="I34" s="6">
        <v>1</v>
      </c>
      <c r="J34" s="7" t="b">
        <v>1</v>
      </c>
      <c r="K34" s="6">
        <v>895</v>
      </c>
      <c r="L34" s="6">
        <v>154</v>
      </c>
      <c r="M34" s="7" t="s">
        <v>74</v>
      </c>
      <c r="N34" s="7" t="s">
        <v>44</v>
      </c>
      <c r="O34" s="7" t="s">
        <v>57</v>
      </c>
      <c r="P34" s="5">
        <v>85</v>
      </c>
      <c r="Q34" s="4">
        <v>4.7</v>
      </c>
      <c r="R34" s="7" t="b">
        <v>1</v>
      </c>
      <c r="S34" s="7" t="s">
        <v>30</v>
      </c>
      <c r="T34" s="5">
        <v>3428</v>
      </c>
      <c r="U34" s="7" t="s">
        <v>65</v>
      </c>
      <c r="V34" t="s">
        <v>39</v>
      </c>
      <c r="W34" s="7" t="s">
        <v>40</v>
      </c>
    </row>
    <row r="35" spans="1:23" x14ac:dyDescent="0.3">
      <c r="A35" s="6">
        <v>1419</v>
      </c>
      <c r="B35" s="7" t="s">
        <v>128</v>
      </c>
      <c r="C35" s="1">
        <v>44992</v>
      </c>
      <c r="D35" t="s">
        <v>129</v>
      </c>
      <c r="E35" s="8">
        <v>11.99</v>
      </c>
      <c r="F35" s="6">
        <v>406</v>
      </c>
      <c r="G35" s="7" t="s">
        <v>48</v>
      </c>
      <c r="H35" s="6">
        <v>2</v>
      </c>
      <c r="I35" s="6">
        <v>6</v>
      </c>
      <c r="J35" s="7" t="b">
        <v>0</v>
      </c>
      <c r="K35" s="6">
        <v>983</v>
      </c>
      <c r="L35" s="6">
        <v>113</v>
      </c>
      <c r="M35" s="7" t="s">
        <v>55</v>
      </c>
      <c r="N35" s="7" t="s">
        <v>75</v>
      </c>
      <c r="O35" s="7" t="s">
        <v>37</v>
      </c>
      <c r="P35" s="5">
        <v>78</v>
      </c>
      <c r="Q35" s="4">
        <v>3.1</v>
      </c>
      <c r="R35" s="7" t="b">
        <v>0</v>
      </c>
      <c r="S35" s="7" t="s">
        <v>30</v>
      </c>
      <c r="T35" s="5">
        <v>4245</v>
      </c>
      <c r="U35" s="7" t="s">
        <v>31</v>
      </c>
      <c r="V35" t="s">
        <v>39</v>
      </c>
      <c r="W35" s="7" t="s">
        <v>40</v>
      </c>
    </row>
    <row r="36" spans="1:23" x14ac:dyDescent="0.3">
      <c r="A36" s="6">
        <v>9470</v>
      </c>
      <c r="B36" s="7" t="s">
        <v>130</v>
      </c>
      <c r="C36" t="s">
        <v>131</v>
      </c>
      <c r="D36" t="s">
        <v>35</v>
      </c>
      <c r="E36" s="8">
        <v>7.99</v>
      </c>
      <c r="F36" s="6">
        <v>350</v>
      </c>
      <c r="G36" s="7" t="s">
        <v>63</v>
      </c>
      <c r="H36" s="6">
        <v>3</v>
      </c>
      <c r="I36" s="6">
        <v>6</v>
      </c>
      <c r="J36" s="7" t="b">
        <v>1</v>
      </c>
      <c r="K36" s="6">
        <v>801</v>
      </c>
      <c r="L36" s="6">
        <v>156</v>
      </c>
      <c r="M36" s="7" t="s">
        <v>92</v>
      </c>
      <c r="N36" s="7" t="s">
        <v>56</v>
      </c>
      <c r="O36" s="7" t="s">
        <v>45</v>
      </c>
      <c r="P36" s="5">
        <v>66</v>
      </c>
      <c r="Q36" s="4">
        <v>4.5999999999999996</v>
      </c>
      <c r="R36" s="7" t="b">
        <v>1</v>
      </c>
      <c r="S36" s="7" t="s">
        <v>30</v>
      </c>
      <c r="T36" s="5">
        <v>2580</v>
      </c>
      <c r="U36" s="7" t="s">
        <v>58</v>
      </c>
      <c r="V36" t="s">
        <v>59</v>
      </c>
      <c r="W36" s="7" t="s">
        <v>33</v>
      </c>
    </row>
    <row r="37" spans="1:23" x14ac:dyDescent="0.3">
      <c r="A37" s="6">
        <v>4989</v>
      </c>
      <c r="B37" s="7" t="s">
        <v>132</v>
      </c>
      <c r="C37" s="1">
        <v>45566</v>
      </c>
      <c r="D37" s="1">
        <v>45577</v>
      </c>
      <c r="E37" s="8">
        <v>7.99</v>
      </c>
      <c r="F37" s="6">
        <v>99</v>
      </c>
      <c r="G37" s="7" t="s">
        <v>73</v>
      </c>
      <c r="H37" s="6">
        <v>2</v>
      </c>
      <c r="I37" s="6">
        <v>5</v>
      </c>
      <c r="J37" s="7" t="b">
        <v>1</v>
      </c>
      <c r="K37" s="6">
        <v>96</v>
      </c>
      <c r="L37" s="6">
        <v>114</v>
      </c>
      <c r="M37" s="7" t="s">
        <v>27</v>
      </c>
      <c r="N37" s="7" t="s">
        <v>28</v>
      </c>
      <c r="O37" s="7" t="s">
        <v>29</v>
      </c>
      <c r="P37" s="5">
        <v>45</v>
      </c>
      <c r="Q37" s="4">
        <v>4.3</v>
      </c>
      <c r="R37" s="7" t="b">
        <v>0</v>
      </c>
      <c r="S37" s="7" t="s">
        <v>30</v>
      </c>
      <c r="T37" s="5">
        <v>2779</v>
      </c>
      <c r="U37" s="7" t="s">
        <v>58</v>
      </c>
      <c r="V37" t="s">
        <v>79</v>
      </c>
      <c r="W37" s="7" t="s">
        <v>60</v>
      </c>
    </row>
    <row r="38" spans="1:23" x14ac:dyDescent="0.3">
      <c r="A38" s="6">
        <v>9389</v>
      </c>
      <c r="B38" s="7" t="s">
        <v>133</v>
      </c>
      <c r="C38" s="1">
        <v>45361</v>
      </c>
      <c r="D38" t="s">
        <v>134</v>
      </c>
      <c r="E38" s="8">
        <v>15.99</v>
      </c>
      <c r="F38" s="6">
        <v>53</v>
      </c>
      <c r="G38" s="7" t="s">
        <v>48</v>
      </c>
      <c r="H38" s="6">
        <v>1</v>
      </c>
      <c r="I38" s="6">
        <v>2</v>
      </c>
      <c r="J38" s="7" t="b">
        <v>0</v>
      </c>
      <c r="K38" s="6">
        <v>849</v>
      </c>
      <c r="L38" s="6">
        <v>98</v>
      </c>
      <c r="M38" s="7" t="s">
        <v>55</v>
      </c>
      <c r="N38" s="7" t="s">
        <v>56</v>
      </c>
      <c r="O38" s="7" t="s">
        <v>45</v>
      </c>
      <c r="P38" s="5">
        <v>14</v>
      </c>
      <c r="Q38" s="4">
        <v>3.1</v>
      </c>
      <c r="R38" s="7" t="b">
        <v>0</v>
      </c>
      <c r="S38" s="7" t="s">
        <v>30</v>
      </c>
      <c r="T38" s="5">
        <v>2318</v>
      </c>
      <c r="U38" s="7" t="s">
        <v>31</v>
      </c>
      <c r="V38" t="s">
        <v>32</v>
      </c>
      <c r="W38" s="7" t="s">
        <v>40</v>
      </c>
    </row>
    <row r="39" spans="1:23" x14ac:dyDescent="0.3">
      <c r="A39" s="6">
        <v>7728</v>
      </c>
      <c r="B39" s="7" t="s">
        <v>135</v>
      </c>
      <c r="C39" t="s">
        <v>136</v>
      </c>
      <c r="D39" t="s">
        <v>25</v>
      </c>
      <c r="E39" s="8">
        <v>11.99</v>
      </c>
      <c r="F39" s="6">
        <v>484</v>
      </c>
      <c r="G39" s="7" t="s">
        <v>100</v>
      </c>
      <c r="H39" s="6">
        <v>3</v>
      </c>
      <c r="I39" s="6">
        <v>6</v>
      </c>
      <c r="J39" s="7" t="b">
        <v>0</v>
      </c>
      <c r="K39" s="6">
        <v>515</v>
      </c>
      <c r="L39" s="6">
        <v>174</v>
      </c>
      <c r="M39" s="7" t="s">
        <v>49</v>
      </c>
      <c r="N39" s="7" t="s">
        <v>28</v>
      </c>
      <c r="O39" s="7" t="s">
        <v>37</v>
      </c>
      <c r="P39" s="5">
        <v>12</v>
      </c>
      <c r="Q39" s="4">
        <v>4</v>
      </c>
      <c r="R39" s="7" t="b">
        <v>1</v>
      </c>
      <c r="S39" s="7" t="s">
        <v>30</v>
      </c>
      <c r="T39" s="5">
        <v>827</v>
      </c>
      <c r="U39" s="7" t="s">
        <v>31</v>
      </c>
      <c r="V39" t="s">
        <v>39</v>
      </c>
      <c r="W39" s="7" t="s">
        <v>60</v>
      </c>
    </row>
    <row r="40" spans="1:23" x14ac:dyDescent="0.3">
      <c r="A40" s="6">
        <v>7943</v>
      </c>
      <c r="B40" s="7" t="s">
        <v>137</v>
      </c>
      <c r="C40" s="1">
        <v>45301</v>
      </c>
      <c r="D40" s="1">
        <v>45303</v>
      </c>
      <c r="E40" s="8">
        <v>15.99</v>
      </c>
      <c r="F40" s="6">
        <v>211</v>
      </c>
      <c r="G40" s="7" t="s">
        <v>51</v>
      </c>
      <c r="H40" s="6">
        <v>2</v>
      </c>
      <c r="I40" s="6">
        <v>6</v>
      </c>
      <c r="J40" s="7" t="b">
        <v>1</v>
      </c>
      <c r="K40" s="6">
        <v>657</v>
      </c>
      <c r="L40" s="6">
        <v>137</v>
      </c>
      <c r="M40" s="7" t="s">
        <v>68</v>
      </c>
      <c r="N40" s="7" t="s">
        <v>56</v>
      </c>
      <c r="O40" s="7" t="s">
        <v>29</v>
      </c>
      <c r="P40" s="5">
        <v>26</v>
      </c>
      <c r="Q40" s="4">
        <v>4</v>
      </c>
      <c r="R40" s="7" t="b">
        <v>1</v>
      </c>
      <c r="S40" s="7" t="s">
        <v>30</v>
      </c>
      <c r="T40" s="5">
        <v>2670</v>
      </c>
      <c r="U40" s="7" t="s">
        <v>38</v>
      </c>
      <c r="V40" t="s">
        <v>59</v>
      </c>
      <c r="W40" s="7" t="s">
        <v>33</v>
      </c>
    </row>
    <row r="41" spans="1:23" x14ac:dyDescent="0.3">
      <c r="A41" s="6">
        <v>2490</v>
      </c>
      <c r="B41" s="7" t="s">
        <v>138</v>
      </c>
      <c r="C41" t="s">
        <v>139</v>
      </c>
      <c r="D41" t="s">
        <v>54</v>
      </c>
      <c r="E41" s="8">
        <v>11.99</v>
      </c>
      <c r="F41" s="6">
        <v>248</v>
      </c>
      <c r="G41" s="7" t="s">
        <v>48</v>
      </c>
      <c r="H41" s="6">
        <v>4</v>
      </c>
      <c r="I41" s="6">
        <v>1</v>
      </c>
      <c r="J41" s="7" t="b">
        <v>1</v>
      </c>
      <c r="K41" s="6">
        <v>426</v>
      </c>
      <c r="L41" s="6">
        <v>21</v>
      </c>
      <c r="M41" s="7" t="s">
        <v>55</v>
      </c>
      <c r="N41" s="7" t="s">
        <v>44</v>
      </c>
      <c r="O41" s="7" t="s">
        <v>57</v>
      </c>
      <c r="P41" s="5">
        <v>99</v>
      </c>
      <c r="Q41" s="4">
        <v>4.8</v>
      </c>
      <c r="R41" s="7" t="b">
        <v>0</v>
      </c>
      <c r="S41" s="7" t="s">
        <v>30</v>
      </c>
      <c r="T41" s="5">
        <v>2409</v>
      </c>
      <c r="U41" s="7" t="s">
        <v>31</v>
      </c>
      <c r="V41" t="s">
        <v>32</v>
      </c>
      <c r="W41" s="7" t="s">
        <v>33</v>
      </c>
    </row>
    <row r="42" spans="1:23" x14ac:dyDescent="0.3">
      <c r="A42" s="6">
        <v>5042</v>
      </c>
      <c r="B42" s="7" t="s">
        <v>140</v>
      </c>
      <c r="C42" t="s">
        <v>141</v>
      </c>
      <c r="D42" t="s">
        <v>109</v>
      </c>
      <c r="E42" s="8">
        <v>15.99</v>
      </c>
      <c r="F42" s="6">
        <v>197</v>
      </c>
      <c r="G42" s="7" t="s">
        <v>100</v>
      </c>
      <c r="H42" s="6">
        <v>4</v>
      </c>
      <c r="I42" s="6">
        <v>2</v>
      </c>
      <c r="J42" s="7" t="b">
        <v>0</v>
      </c>
      <c r="K42" s="6">
        <v>309</v>
      </c>
      <c r="L42" s="6">
        <v>178</v>
      </c>
      <c r="M42" s="7" t="s">
        <v>68</v>
      </c>
      <c r="N42" s="7" t="s">
        <v>75</v>
      </c>
      <c r="O42" s="7" t="s">
        <v>45</v>
      </c>
      <c r="P42" s="5">
        <v>7</v>
      </c>
      <c r="Q42" s="4">
        <v>4.3</v>
      </c>
      <c r="R42" s="7" t="b">
        <v>0</v>
      </c>
      <c r="S42" s="7" t="s">
        <v>30</v>
      </c>
      <c r="T42" s="5">
        <v>1577</v>
      </c>
      <c r="U42" s="7" t="s">
        <v>58</v>
      </c>
      <c r="V42" t="s">
        <v>32</v>
      </c>
      <c r="W42" s="7" t="s">
        <v>40</v>
      </c>
    </row>
    <row r="43" spans="1:23" x14ac:dyDescent="0.3">
      <c r="A43" s="6">
        <v>3620</v>
      </c>
      <c r="B43" s="7" t="s">
        <v>142</v>
      </c>
      <c r="C43" s="1">
        <v>45481</v>
      </c>
      <c r="D43" s="1">
        <v>45485</v>
      </c>
      <c r="E43" s="8">
        <v>15.99</v>
      </c>
      <c r="F43" s="6">
        <v>253</v>
      </c>
      <c r="G43" s="7" t="s">
        <v>73</v>
      </c>
      <c r="H43" s="6">
        <v>5</v>
      </c>
      <c r="I43" s="6">
        <v>5</v>
      </c>
      <c r="J43" s="7" t="b">
        <v>1</v>
      </c>
      <c r="K43" s="6">
        <v>141</v>
      </c>
      <c r="L43" s="6">
        <v>199</v>
      </c>
      <c r="M43" s="7" t="s">
        <v>27</v>
      </c>
      <c r="N43" s="7" t="s">
        <v>44</v>
      </c>
      <c r="O43" s="7" t="s">
        <v>78</v>
      </c>
      <c r="P43" s="5">
        <v>72</v>
      </c>
      <c r="Q43" s="4">
        <v>3.1</v>
      </c>
      <c r="R43" s="7" t="b">
        <v>0</v>
      </c>
      <c r="S43" s="7" t="s">
        <v>30</v>
      </c>
      <c r="T43" s="5">
        <v>4072</v>
      </c>
      <c r="U43" s="7" t="s">
        <v>65</v>
      </c>
      <c r="V43" t="s">
        <v>69</v>
      </c>
      <c r="W43" s="7" t="s">
        <v>93</v>
      </c>
    </row>
    <row r="44" spans="1:23" x14ac:dyDescent="0.3">
      <c r="A44" s="6">
        <v>8976</v>
      </c>
      <c r="B44" s="7" t="s">
        <v>143</v>
      </c>
      <c r="C44" t="s">
        <v>144</v>
      </c>
      <c r="D44" s="1">
        <v>45638</v>
      </c>
      <c r="E44" s="8">
        <v>7.99</v>
      </c>
      <c r="F44" s="6">
        <v>352</v>
      </c>
      <c r="G44" s="7" t="s">
        <v>100</v>
      </c>
      <c r="H44" s="6">
        <v>4</v>
      </c>
      <c r="I44" s="6">
        <v>3</v>
      </c>
      <c r="J44" s="7" t="b">
        <v>1</v>
      </c>
      <c r="K44" s="6">
        <v>112</v>
      </c>
      <c r="L44" s="6">
        <v>106</v>
      </c>
      <c r="M44" s="7" t="s">
        <v>92</v>
      </c>
      <c r="N44" s="7" t="s">
        <v>56</v>
      </c>
      <c r="O44" s="7" t="s">
        <v>78</v>
      </c>
      <c r="P44" s="5">
        <v>33</v>
      </c>
      <c r="Q44" s="4">
        <v>4.5999999999999996</v>
      </c>
      <c r="R44" s="7" t="b">
        <v>1</v>
      </c>
      <c r="S44" s="7" t="s">
        <v>30</v>
      </c>
      <c r="T44" s="5">
        <v>3432</v>
      </c>
      <c r="U44" s="7" t="s">
        <v>76</v>
      </c>
      <c r="V44" t="s">
        <v>69</v>
      </c>
      <c r="W44" s="7" t="s">
        <v>93</v>
      </c>
    </row>
    <row r="45" spans="1:23" x14ac:dyDescent="0.3">
      <c r="A45" s="6">
        <v>1570</v>
      </c>
      <c r="B45" s="7" t="s">
        <v>138</v>
      </c>
      <c r="C45" t="s">
        <v>145</v>
      </c>
      <c r="D45" t="s">
        <v>82</v>
      </c>
      <c r="E45" s="8">
        <v>11.99</v>
      </c>
      <c r="F45" s="6">
        <v>97</v>
      </c>
      <c r="G45" s="7" t="s">
        <v>100</v>
      </c>
      <c r="H45" s="6">
        <v>1</v>
      </c>
      <c r="I45" s="6">
        <v>2</v>
      </c>
      <c r="J45" s="7" t="b">
        <v>0</v>
      </c>
      <c r="K45" s="6">
        <v>836</v>
      </c>
      <c r="L45" s="6">
        <v>122</v>
      </c>
      <c r="M45" s="7" t="s">
        <v>49</v>
      </c>
      <c r="N45" s="7" t="s">
        <v>44</v>
      </c>
      <c r="O45" s="7" t="s">
        <v>57</v>
      </c>
      <c r="P45" s="5">
        <v>65</v>
      </c>
      <c r="Q45" s="4">
        <v>4.3</v>
      </c>
      <c r="R45" s="7" t="b">
        <v>1</v>
      </c>
      <c r="S45" s="7" t="s">
        <v>30</v>
      </c>
      <c r="T45" s="5">
        <v>4511</v>
      </c>
      <c r="U45" s="7" t="s">
        <v>31</v>
      </c>
      <c r="V45" t="s">
        <v>59</v>
      </c>
      <c r="W45" s="7" t="s">
        <v>60</v>
      </c>
    </row>
    <row r="46" spans="1:23" x14ac:dyDescent="0.3">
      <c r="A46" s="6">
        <v>7709</v>
      </c>
      <c r="B46" s="7" t="s">
        <v>146</v>
      </c>
      <c r="C46" s="1">
        <v>45020</v>
      </c>
      <c r="D46" s="1">
        <v>45303</v>
      </c>
      <c r="E46" s="8">
        <v>11.99</v>
      </c>
      <c r="F46" s="6">
        <v>283</v>
      </c>
      <c r="G46" s="7" t="s">
        <v>48</v>
      </c>
      <c r="H46" s="6">
        <v>5</v>
      </c>
      <c r="I46" s="6">
        <v>2</v>
      </c>
      <c r="J46" s="7" t="b">
        <v>0</v>
      </c>
      <c r="K46" s="6">
        <v>785</v>
      </c>
      <c r="L46" s="6">
        <v>1</v>
      </c>
      <c r="M46" s="7" t="s">
        <v>68</v>
      </c>
      <c r="N46" s="7" t="s">
        <v>44</v>
      </c>
      <c r="O46" s="7" t="s">
        <v>37</v>
      </c>
      <c r="P46" s="5">
        <v>79</v>
      </c>
      <c r="Q46" s="4">
        <v>3.4</v>
      </c>
      <c r="R46" s="7" t="b">
        <v>1</v>
      </c>
      <c r="S46" s="7" t="s">
        <v>30</v>
      </c>
      <c r="T46" s="5">
        <v>583</v>
      </c>
      <c r="U46" s="7" t="s">
        <v>76</v>
      </c>
      <c r="V46" t="s">
        <v>39</v>
      </c>
      <c r="W46" s="7" t="s">
        <v>40</v>
      </c>
    </row>
    <row r="47" spans="1:23" x14ac:dyDescent="0.3">
      <c r="A47" s="6">
        <v>9503</v>
      </c>
      <c r="B47" s="7" t="s">
        <v>147</v>
      </c>
      <c r="C47" s="1">
        <v>45600</v>
      </c>
      <c r="D47" s="1">
        <v>45424</v>
      </c>
      <c r="E47" s="8">
        <v>11.99</v>
      </c>
      <c r="F47" s="6">
        <v>307</v>
      </c>
      <c r="G47" s="7" t="s">
        <v>51</v>
      </c>
      <c r="H47" s="6">
        <v>5</v>
      </c>
      <c r="I47" s="6">
        <v>6</v>
      </c>
      <c r="J47" s="7" t="b">
        <v>0</v>
      </c>
      <c r="K47" s="6">
        <v>857</v>
      </c>
      <c r="L47" s="6">
        <v>9</v>
      </c>
      <c r="M47" s="7" t="s">
        <v>92</v>
      </c>
      <c r="N47" s="7" t="s">
        <v>75</v>
      </c>
      <c r="O47" s="7" t="s">
        <v>29</v>
      </c>
      <c r="P47" s="5">
        <v>55</v>
      </c>
      <c r="Q47" s="4">
        <v>3.2</v>
      </c>
      <c r="R47" s="7" t="b">
        <v>1</v>
      </c>
      <c r="S47" s="7" t="s">
        <v>30</v>
      </c>
      <c r="T47" s="5">
        <v>3626</v>
      </c>
      <c r="U47" s="7" t="s">
        <v>65</v>
      </c>
      <c r="V47" t="s">
        <v>32</v>
      </c>
      <c r="W47" s="7" t="s">
        <v>33</v>
      </c>
    </row>
    <row r="48" spans="1:23" x14ac:dyDescent="0.3">
      <c r="A48" s="6">
        <v>9564</v>
      </c>
      <c r="B48" s="7" t="s">
        <v>148</v>
      </c>
      <c r="C48" t="s">
        <v>149</v>
      </c>
      <c r="D48" s="1">
        <v>45394</v>
      </c>
      <c r="E48" s="8">
        <v>15.99</v>
      </c>
      <c r="F48" s="6">
        <v>203</v>
      </c>
      <c r="G48" s="7" t="s">
        <v>73</v>
      </c>
      <c r="H48" s="6">
        <v>5</v>
      </c>
      <c r="I48" s="6">
        <v>1</v>
      </c>
      <c r="J48" s="7" t="b">
        <v>0</v>
      </c>
      <c r="K48" s="6">
        <v>347</v>
      </c>
      <c r="L48" s="6">
        <v>18</v>
      </c>
      <c r="M48" s="7" t="s">
        <v>68</v>
      </c>
      <c r="N48" s="7" t="s">
        <v>75</v>
      </c>
      <c r="O48" s="7" t="s">
        <v>57</v>
      </c>
      <c r="P48" s="5">
        <v>8</v>
      </c>
      <c r="Q48" s="4">
        <v>4.4000000000000004</v>
      </c>
      <c r="R48" s="7" t="b">
        <v>1</v>
      </c>
      <c r="S48" s="7" t="s">
        <v>30</v>
      </c>
      <c r="T48" s="5">
        <v>476</v>
      </c>
      <c r="U48" s="7" t="s">
        <v>65</v>
      </c>
      <c r="V48" t="s">
        <v>69</v>
      </c>
      <c r="W48" s="7" t="s">
        <v>93</v>
      </c>
    </row>
    <row r="49" spans="1:23" x14ac:dyDescent="0.3">
      <c r="A49" s="6">
        <v>8934</v>
      </c>
      <c r="B49" s="7" t="s">
        <v>150</v>
      </c>
      <c r="C49" t="s">
        <v>151</v>
      </c>
      <c r="D49" s="1">
        <v>45424</v>
      </c>
      <c r="E49" s="8">
        <v>7.99</v>
      </c>
      <c r="F49" s="6">
        <v>22</v>
      </c>
      <c r="G49" s="7" t="s">
        <v>36</v>
      </c>
      <c r="H49" s="6">
        <v>4</v>
      </c>
      <c r="I49" s="6">
        <v>3</v>
      </c>
      <c r="J49" s="7" t="b">
        <v>0</v>
      </c>
      <c r="K49" s="6">
        <v>707</v>
      </c>
      <c r="L49" s="6">
        <v>156</v>
      </c>
      <c r="M49" s="7" t="s">
        <v>43</v>
      </c>
      <c r="N49" s="7" t="s">
        <v>75</v>
      </c>
      <c r="O49" s="7" t="s">
        <v>57</v>
      </c>
      <c r="P49" s="5">
        <v>99</v>
      </c>
      <c r="Q49" s="4">
        <v>3.3</v>
      </c>
      <c r="R49" s="7" t="b">
        <v>0</v>
      </c>
      <c r="S49" s="7" t="s">
        <v>30</v>
      </c>
      <c r="T49" s="5">
        <v>4114</v>
      </c>
      <c r="U49" s="7" t="s">
        <v>38</v>
      </c>
      <c r="V49" t="s">
        <v>59</v>
      </c>
      <c r="W49" s="7" t="s">
        <v>40</v>
      </c>
    </row>
    <row r="50" spans="1:23" x14ac:dyDescent="0.3">
      <c r="A50" s="6">
        <v>1222</v>
      </c>
      <c r="B50" s="7" t="s">
        <v>152</v>
      </c>
      <c r="C50" s="1">
        <v>44935</v>
      </c>
      <c r="D50" s="1">
        <v>45516</v>
      </c>
      <c r="E50" s="8">
        <v>15.99</v>
      </c>
      <c r="F50" s="6">
        <v>382</v>
      </c>
      <c r="G50" s="7" t="s">
        <v>100</v>
      </c>
      <c r="H50" s="6">
        <v>2</v>
      </c>
      <c r="I50" s="6">
        <v>2</v>
      </c>
      <c r="J50" s="7" t="b">
        <v>0</v>
      </c>
      <c r="K50" s="6">
        <v>49</v>
      </c>
      <c r="L50" s="6">
        <v>45</v>
      </c>
      <c r="M50" s="7" t="s">
        <v>43</v>
      </c>
      <c r="N50" s="7" t="s">
        <v>28</v>
      </c>
      <c r="O50" s="7" t="s">
        <v>29</v>
      </c>
      <c r="P50" s="5">
        <v>63</v>
      </c>
      <c r="Q50" s="4">
        <v>4</v>
      </c>
      <c r="R50" s="7" t="b">
        <v>1</v>
      </c>
      <c r="S50" s="7" t="s">
        <v>30</v>
      </c>
      <c r="T50" s="5">
        <v>1581</v>
      </c>
      <c r="U50" s="7" t="s">
        <v>58</v>
      </c>
      <c r="V50" t="s">
        <v>32</v>
      </c>
      <c r="W50" s="7" t="s">
        <v>60</v>
      </c>
    </row>
    <row r="51" spans="1:23" x14ac:dyDescent="0.3">
      <c r="A51" s="6">
        <v>5762</v>
      </c>
      <c r="B51" s="7" t="s">
        <v>153</v>
      </c>
      <c r="C51" t="s">
        <v>123</v>
      </c>
      <c r="D51" s="1">
        <v>45334</v>
      </c>
      <c r="E51" s="8">
        <v>11.99</v>
      </c>
      <c r="F51" s="6">
        <v>302</v>
      </c>
      <c r="G51" s="7" t="s">
        <v>73</v>
      </c>
      <c r="H51" s="6">
        <v>5</v>
      </c>
      <c r="I51" s="6">
        <v>4</v>
      </c>
      <c r="J51" s="7" t="b">
        <v>0</v>
      </c>
      <c r="K51" s="6">
        <v>801</v>
      </c>
      <c r="L51" s="6">
        <v>141</v>
      </c>
      <c r="M51" s="7" t="s">
        <v>92</v>
      </c>
      <c r="N51" s="7" t="s">
        <v>44</v>
      </c>
      <c r="O51" s="7" t="s">
        <v>45</v>
      </c>
      <c r="P51" s="5">
        <v>62</v>
      </c>
      <c r="Q51" s="4">
        <v>3.5</v>
      </c>
      <c r="R51" s="7" t="b">
        <v>1</v>
      </c>
      <c r="S51" s="7" t="s">
        <v>30</v>
      </c>
      <c r="T51" s="5">
        <v>1293</v>
      </c>
      <c r="U51" s="7" t="s">
        <v>65</v>
      </c>
      <c r="V51" t="s">
        <v>69</v>
      </c>
      <c r="W51" s="7" t="s">
        <v>60</v>
      </c>
    </row>
    <row r="52" spans="1:23" x14ac:dyDescent="0.3">
      <c r="A52" s="6">
        <v>4066</v>
      </c>
      <c r="B52" s="7" t="s">
        <v>143</v>
      </c>
      <c r="C52" t="s">
        <v>154</v>
      </c>
      <c r="D52" s="1">
        <v>45638</v>
      </c>
      <c r="E52" s="8">
        <v>11.99</v>
      </c>
      <c r="F52" s="6">
        <v>76</v>
      </c>
      <c r="G52" s="7" t="s">
        <v>48</v>
      </c>
      <c r="H52" s="6">
        <v>2</v>
      </c>
      <c r="I52" s="6">
        <v>3</v>
      </c>
      <c r="J52" s="7" t="b">
        <v>0</v>
      </c>
      <c r="K52" s="6">
        <v>788</v>
      </c>
      <c r="L52" s="6">
        <v>55</v>
      </c>
      <c r="M52" s="7" t="s">
        <v>49</v>
      </c>
      <c r="N52" s="7" t="s">
        <v>56</v>
      </c>
      <c r="O52" s="7" t="s">
        <v>37</v>
      </c>
      <c r="P52" s="5">
        <v>50</v>
      </c>
      <c r="Q52" s="4">
        <v>4.8</v>
      </c>
      <c r="R52" s="7" t="b">
        <v>1</v>
      </c>
      <c r="S52" s="7" t="s">
        <v>30</v>
      </c>
      <c r="T52" s="5">
        <v>1744</v>
      </c>
      <c r="U52" s="7" t="s">
        <v>65</v>
      </c>
      <c r="V52" t="s">
        <v>59</v>
      </c>
      <c r="W52" s="7" t="s">
        <v>60</v>
      </c>
    </row>
    <row r="53" spans="1:23" x14ac:dyDescent="0.3">
      <c r="A53" s="6">
        <v>6469</v>
      </c>
      <c r="B53" s="7" t="s">
        <v>98</v>
      </c>
      <c r="C53" t="s">
        <v>155</v>
      </c>
      <c r="D53" t="s">
        <v>156</v>
      </c>
      <c r="E53" s="8">
        <v>11.99</v>
      </c>
      <c r="F53" s="6">
        <v>125</v>
      </c>
      <c r="G53" s="7" t="s">
        <v>51</v>
      </c>
      <c r="H53" s="6">
        <v>3</v>
      </c>
      <c r="I53" s="6">
        <v>6</v>
      </c>
      <c r="J53" s="7" t="b">
        <v>1</v>
      </c>
      <c r="K53" s="6">
        <v>853</v>
      </c>
      <c r="L53" s="6">
        <v>16</v>
      </c>
      <c r="M53" s="7" t="s">
        <v>68</v>
      </c>
      <c r="N53" s="7" t="s">
        <v>28</v>
      </c>
      <c r="O53" s="7" t="s">
        <v>37</v>
      </c>
      <c r="P53" s="5">
        <v>65</v>
      </c>
      <c r="Q53" s="4">
        <v>4.8</v>
      </c>
      <c r="R53" s="7" t="b">
        <v>1</v>
      </c>
      <c r="S53" s="7" t="s">
        <v>30</v>
      </c>
      <c r="T53" s="5">
        <v>448</v>
      </c>
      <c r="U53" s="7" t="s">
        <v>65</v>
      </c>
      <c r="V53" t="s">
        <v>59</v>
      </c>
      <c r="W53" s="7" t="s">
        <v>33</v>
      </c>
    </row>
    <row r="54" spans="1:23" x14ac:dyDescent="0.3">
      <c r="A54" s="6">
        <v>1364</v>
      </c>
      <c r="B54" s="7" t="s">
        <v>157</v>
      </c>
      <c r="C54" t="s">
        <v>158</v>
      </c>
      <c r="D54" s="1">
        <v>45334</v>
      </c>
      <c r="E54" s="8">
        <v>11.99</v>
      </c>
      <c r="F54" s="6">
        <v>113</v>
      </c>
      <c r="G54" s="7" t="s">
        <v>63</v>
      </c>
      <c r="H54" s="6">
        <v>1</v>
      </c>
      <c r="I54" s="6">
        <v>1</v>
      </c>
      <c r="J54" s="7" t="b">
        <v>0</v>
      </c>
      <c r="K54" s="6">
        <v>970</v>
      </c>
      <c r="L54" s="6">
        <v>159</v>
      </c>
      <c r="M54" s="7" t="s">
        <v>49</v>
      </c>
      <c r="N54" s="7" t="s">
        <v>56</v>
      </c>
      <c r="O54" s="7" t="s">
        <v>37</v>
      </c>
      <c r="P54" s="5">
        <v>96</v>
      </c>
      <c r="Q54" s="4">
        <v>4.9000000000000004</v>
      </c>
      <c r="R54" s="7" t="b">
        <v>1</v>
      </c>
      <c r="S54" s="7" t="s">
        <v>30</v>
      </c>
      <c r="T54" s="5">
        <v>3398</v>
      </c>
      <c r="U54" s="7" t="s">
        <v>65</v>
      </c>
      <c r="V54" t="s">
        <v>32</v>
      </c>
      <c r="W54" s="7" t="s">
        <v>33</v>
      </c>
    </row>
    <row r="55" spans="1:23" x14ac:dyDescent="0.3">
      <c r="A55" s="6">
        <v>4197</v>
      </c>
      <c r="B55" s="7" t="s">
        <v>143</v>
      </c>
      <c r="C55" t="s">
        <v>159</v>
      </c>
      <c r="D55" t="s">
        <v>25</v>
      </c>
      <c r="E55" s="8">
        <v>15.99</v>
      </c>
      <c r="F55" s="6">
        <v>183</v>
      </c>
      <c r="G55" s="7" t="s">
        <v>100</v>
      </c>
      <c r="H55" s="6">
        <v>3</v>
      </c>
      <c r="I55" s="6">
        <v>5</v>
      </c>
      <c r="J55" s="7" t="b">
        <v>0</v>
      </c>
      <c r="K55" s="6">
        <v>490</v>
      </c>
      <c r="L55" s="6">
        <v>127</v>
      </c>
      <c r="M55" s="7" t="s">
        <v>43</v>
      </c>
      <c r="N55" s="7" t="s">
        <v>44</v>
      </c>
      <c r="O55" s="7" t="s">
        <v>29</v>
      </c>
      <c r="P55" s="5">
        <v>40</v>
      </c>
      <c r="Q55" s="4">
        <v>4.5999999999999996</v>
      </c>
      <c r="R55" s="7" t="b">
        <v>1</v>
      </c>
      <c r="S55" s="7" t="s">
        <v>30</v>
      </c>
      <c r="T55" s="5">
        <v>4691</v>
      </c>
      <c r="U55" s="7" t="s">
        <v>38</v>
      </c>
      <c r="V55" t="s">
        <v>69</v>
      </c>
      <c r="W55" s="7" t="s">
        <v>60</v>
      </c>
    </row>
    <row r="56" spans="1:23" x14ac:dyDescent="0.3">
      <c r="A56" s="6">
        <v>9700</v>
      </c>
      <c r="B56" s="7" t="s">
        <v>160</v>
      </c>
      <c r="C56" t="s">
        <v>161</v>
      </c>
      <c r="D56" t="s">
        <v>90</v>
      </c>
      <c r="E56" s="8">
        <v>15.99</v>
      </c>
      <c r="F56" s="6">
        <v>272</v>
      </c>
      <c r="G56" s="7" t="s">
        <v>51</v>
      </c>
      <c r="H56" s="6">
        <v>5</v>
      </c>
      <c r="I56" s="6">
        <v>1</v>
      </c>
      <c r="J56" s="7" t="b">
        <v>0</v>
      </c>
      <c r="K56" s="6">
        <v>201</v>
      </c>
      <c r="L56" s="6">
        <v>122</v>
      </c>
      <c r="M56" s="7" t="s">
        <v>55</v>
      </c>
      <c r="N56" s="7" t="s">
        <v>75</v>
      </c>
      <c r="O56" s="7" t="s">
        <v>64</v>
      </c>
      <c r="P56" s="5">
        <v>94</v>
      </c>
      <c r="Q56" s="4">
        <v>4.5999999999999996</v>
      </c>
      <c r="R56" s="7" t="b">
        <v>1</v>
      </c>
      <c r="S56" s="7" t="s">
        <v>30</v>
      </c>
      <c r="T56" s="5">
        <v>4674</v>
      </c>
      <c r="U56" s="7" t="s">
        <v>65</v>
      </c>
      <c r="V56" t="s">
        <v>69</v>
      </c>
      <c r="W56" s="7" t="s">
        <v>93</v>
      </c>
    </row>
    <row r="57" spans="1:23" x14ac:dyDescent="0.3">
      <c r="A57" s="6">
        <v>5644</v>
      </c>
      <c r="B57" s="7" t="s">
        <v>126</v>
      </c>
      <c r="C57" s="1">
        <v>45447</v>
      </c>
      <c r="D57" s="1">
        <v>45363</v>
      </c>
      <c r="E57" s="8">
        <v>11.99</v>
      </c>
      <c r="F57" s="6">
        <v>19</v>
      </c>
      <c r="G57" s="7" t="s">
        <v>73</v>
      </c>
      <c r="H57" s="6">
        <v>4</v>
      </c>
      <c r="I57" s="6">
        <v>2</v>
      </c>
      <c r="J57" s="7" t="b">
        <v>1</v>
      </c>
      <c r="K57" s="6">
        <v>741</v>
      </c>
      <c r="L57" s="6">
        <v>36</v>
      </c>
      <c r="M57" s="7" t="s">
        <v>92</v>
      </c>
      <c r="N57" s="7" t="s">
        <v>28</v>
      </c>
      <c r="O57" s="7" t="s">
        <v>64</v>
      </c>
      <c r="P57" s="5">
        <v>13</v>
      </c>
      <c r="Q57" s="4">
        <v>4.4000000000000004</v>
      </c>
      <c r="R57" s="7" t="b">
        <v>0</v>
      </c>
      <c r="S57" s="7" t="s">
        <v>30</v>
      </c>
      <c r="T57" s="5">
        <v>3641</v>
      </c>
      <c r="U57" s="7" t="s">
        <v>76</v>
      </c>
      <c r="V57" t="s">
        <v>59</v>
      </c>
      <c r="W57" s="7" t="s">
        <v>93</v>
      </c>
    </row>
    <row r="58" spans="1:23" x14ac:dyDescent="0.3">
      <c r="A58" s="6">
        <v>5420</v>
      </c>
      <c r="B58" s="7" t="s">
        <v>162</v>
      </c>
      <c r="C58" t="s">
        <v>163</v>
      </c>
      <c r="D58" s="1">
        <v>45303</v>
      </c>
      <c r="E58" s="8">
        <v>11.99</v>
      </c>
      <c r="F58" s="6">
        <v>204</v>
      </c>
      <c r="G58" s="7" t="s">
        <v>36</v>
      </c>
      <c r="H58" s="6">
        <v>4</v>
      </c>
      <c r="I58" s="6">
        <v>6</v>
      </c>
      <c r="J58" s="7" t="b">
        <v>0</v>
      </c>
      <c r="K58" s="6">
        <v>928</v>
      </c>
      <c r="L58" s="6">
        <v>30</v>
      </c>
      <c r="M58" s="7" t="s">
        <v>55</v>
      </c>
      <c r="N58" s="7" t="s">
        <v>56</v>
      </c>
      <c r="O58" s="7" t="s">
        <v>45</v>
      </c>
      <c r="P58" s="5">
        <v>58</v>
      </c>
      <c r="Q58" s="4">
        <v>4.4000000000000004</v>
      </c>
      <c r="R58" s="7" t="b">
        <v>0</v>
      </c>
      <c r="S58" s="7" t="s">
        <v>30</v>
      </c>
      <c r="T58" s="5">
        <v>1765</v>
      </c>
      <c r="U58" s="7" t="s">
        <v>31</v>
      </c>
      <c r="V58" t="s">
        <v>69</v>
      </c>
      <c r="W58" s="7" t="s">
        <v>33</v>
      </c>
    </row>
    <row r="59" spans="1:23" x14ac:dyDescent="0.3">
      <c r="A59" s="6">
        <v>7560</v>
      </c>
      <c r="B59" s="7" t="s">
        <v>164</v>
      </c>
      <c r="C59" t="s">
        <v>165</v>
      </c>
      <c r="D59" s="1">
        <v>45363</v>
      </c>
      <c r="E59" s="8">
        <v>7.99</v>
      </c>
      <c r="F59" s="6">
        <v>345</v>
      </c>
      <c r="G59" s="7" t="s">
        <v>63</v>
      </c>
      <c r="H59" s="6">
        <v>3</v>
      </c>
      <c r="I59" s="6">
        <v>3</v>
      </c>
      <c r="J59" s="7" t="b">
        <v>0</v>
      </c>
      <c r="K59" s="6">
        <v>80</v>
      </c>
      <c r="L59" s="6">
        <v>100</v>
      </c>
      <c r="M59" s="7" t="s">
        <v>27</v>
      </c>
      <c r="N59" s="7" t="s">
        <v>56</v>
      </c>
      <c r="O59" s="7" t="s">
        <v>29</v>
      </c>
      <c r="P59" s="5">
        <v>40</v>
      </c>
      <c r="Q59" s="4">
        <v>4.9000000000000004</v>
      </c>
      <c r="R59" s="7" t="b">
        <v>1</v>
      </c>
      <c r="S59" s="7" t="s">
        <v>30</v>
      </c>
      <c r="T59" s="5">
        <v>3462</v>
      </c>
      <c r="U59" s="7" t="s">
        <v>31</v>
      </c>
      <c r="V59" t="s">
        <v>79</v>
      </c>
      <c r="W59" s="7" t="s">
        <v>60</v>
      </c>
    </row>
    <row r="60" spans="1:23" x14ac:dyDescent="0.3">
      <c r="A60" s="6">
        <v>9644</v>
      </c>
      <c r="B60" s="7" t="s">
        <v>106</v>
      </c>
      <c r="C60" s="1">
        <v>45513</v>
      </c>
      <c r="D60" t="s">
        <v>87</v>
      </c>
      <c r="E60" s="8">
        <v>7.99</v>
      </c>
      <c r="F60" s="6">
        <v>294</v>
      </c>
      <c r="G60" s="7" t="s">
        <v>73</v>
      </c>
      <c r="H60" s="6">
        <v>4</v>
      </c>
      <c r="I60" s="6">
        <v>1</v>
      </c>
      <c r="J60" s="7" t="b">
        <v>1</v>
      </c>
      <c r="K60" s="6">
        <v>453</v>
      </c>
      <c r="L60" s="6">
        <v>149</v>
      </c>
      <c r="M60" s="7" t="s">
        <v>92</v>
      </c>
      <c r="N60" s="7" t="s">
        <v>28</v>
      </c>
      <c r="O60" s="7" t="s">
        <v>29</v>
      </c>
      <c r="P60" s="5">
        <v>82</v>
      </c>
      <c r="Q60" s="4">
        <v>3.9</v>
      </c>
      <c r="R60" s="7" t="b">
        <v>1</v>
      </c>
      <c r="S60" s="7" t="s">
        <v>30</v>
      </c>
      <c r="T60" s="5">
        <v>790</v>
      </c>
      <c r="U60" s="7" t="s">
        <v>38</v>
      </c>
      <c r="V60" t="s">
        <v>59</v>
      </c>
      <c r="W60" s="7" t="s">
        <v>60</v>
      </c>
    </row>
    <row r="61" spans="1:23" x14ac:dyDescent="0.3">
      <c r="A61" s="6">
        <v>7239</v>
      </c>
      <c r="B61" s="7" t="s">
        <v>166</v>
      </c>
      <c r="C61" t="s">
        <v>167</v>
      </c>
      <c r="D61" t="s">
        <v>168</v>
      </c>
      <c r="E61" s="8">
        <v>15.99</v>
      </c>
      <c r="F61" s="6">
        <v>318</v>
      </c>
      <c r="G61" s="7" t="s">
        <v>26</v>
      </c>
      <c r="H61" s="6">
        <v>3</v>
      </c>
      <c r="I61" s="6">
        <v>2</v>
      </c>
      <c r="J61" s="7" t="b">
        <v>1</v>
      </c>
      <c r="K61" s="6">
        <v>943</v>
      </c>
      <c r="L61" s="6">
        <v>116</v>
      </c>
      <c r="M61" s="7" t="s">
        <v>43</v>
      </c>
      <c r="N61" s="7" t="s">
        <v>28</v>
      </c>
      <c r="O61" s="7" t="s">
        <v>29</v>
      </c>
      <c r="P61" s="5">
        <v>22</v>
      </c>
      <c r="Q61" s="4">
        <v>4.0999999999999996</v>
      </c>
      <c r="R61" s="7" t="b">
        <v>0</v>
      </c>
      <c r="S61" s="7" t="s">
        <v>30</v>
      </c>
      <c r="T61" s="5">
        <v>4732</v>
      </c>
      <c r="U61" s="7" t="s">
        <v>65</v>
      </c>
      <c r="V61" t="s">
        <v>39</v>
      </c>
      <c r="W61" s="7" t="s">
        <v>93</v>
      </c>
    </row>
    <row r="62" spans="1:23" x14ac:dyDescent="0.3">
      <c r="A62" s="6">
        <v>6415</v>
      </c>
      <c r="B62" s="7" t="s">
        <v>169</v>
      </c>
      <c r="C62" s="1">
        <v>45270</v>
      </c>
      <c r="D62" t="s">
        <v>54</v>
      </c>
      <c r="E62" s="8">
        <v>11.99</v>
      </c>
      <c r="F62" s="6">
        <v>396</v>
      </c>
      <c r="G62" s="7" t="s">
        <v>26</v>
      </c>
      <c r="H62" s="6">
        <v>1</v>
      </c>
      <c r="I62" s="6">
        <v>2</v>
      </c>
      <c r="J62" s="7" t="b">
        <v>0</v>
      </c>
      <c r="K62" s="6">
        <v>348</v>
      </c>
      <c r="L62" s="6">
        <v>172</v>
      </c>
      <c r="M62" s="7" t="s">
        <v>49</v>
      </c>
      <c r="N62" s="7" t="s">
        <v>75</v>
      </c>
      <c r="O62" s="7" t="s">
        <v>29</v>
      </c>
      <c r="P62" s="5">
        <v>61</v>
      </c>
      <c r="Q62" s="4">
        <v>3.9</v>
      </c>
      <c r="R62" s="7" t="b">
        <v>0</v>
      </c>
      <c r="S62" s="7" t="s">
        <v>30</v>
      </c>
      <c r="T62" s="5">
        <v>4599</v>
      </c>
      <c r="U62" s="7" t="s">
        <v>31</v>
      </c>
      <c r="V62" t="s">
        <v>32</v>
      </c>
      <c r="W62" s="7" t="s">
        <v>93</v>
      </c>
    </row>
    <row r="63" spans="1:23" x14ac:dyDescent="0.3">
      <c r="A63" s="6">
        <v>9020</v>
      </c>
      <c r="B63" s="7" t="s">
        <v>170</v>
      </c>
      <c r="C63" s="1">
        <v>44987</v>
      </c>
      <c r="D63" s="1">
        <v>45363</v>
      </c>
      <c r="E63" s="8">
        <v>11.99</v>
      </c>
      <c r="F63" s="6">
        <v>455</v>
      </c>
      <c r="G63" s="7" t="s">
        <v>63</v>
      </c>
      <c r="H63" s="6">
        <v>5</v>
      </c>
      <c r="I63" s="6">
        <v>3</v>
      </c>
      <c r="J63" s="7" t="b">
        <v>1</v>
      </c>
      <c r="K63" s="6">
        <v>112</v>
      </c>
      <c r="L63" s="6">
        <v>158</v>
      </c>
      <c r="M63" s="7" t="s">
        <v>55</v>
      </c>
      <c r="N63" s="7" t="s">
        <v>56</v>
      </c>
      <c r="O63" s="7" t="s">
        <v>37</v>
      </c>
      <c r="P63" s="5">
        <v>15</v>
      </c>
      <c r="Q63" s="4">
        <v>3.9</v>
      </c>
      <c r="R63" s="7" t="b">
        <v>1</v>
      </c>
      <c r="S63" s="7" t="s">
        <v>30</v>
      </c>
      <c r="T63" s="5">
        <v>965</v>
      </c>
      <c r="U63" s="7" t="s">
        <v>58</v>
      </c>
      <c r="V63" t="s">
        <v>39</v>
      </c>
      <c r="W63" s="7" t="s">
        <v>60</v>
      </c>
    </row>
    <row r="64" spans="1:23" x14ac:dyDescent="0.3">
      <c r="A64" s="6">
        <v>2324</v>
      </c>
      <c r="B64" s="7" t="s">
        <v>171</v>
      </c>
      <c r="C64" t="s">
        <v>156</v>
      </c>
      <c r="D64" s="1">
        <v>45608</v>
      </c>
      <c r="E64" s="8">
        <v>7.99</v>
      </c>
      <c r="F64" s="6">
        <v>175</v>
      </c>
      <c r="G64" s="7" t="s">
        <v>73</v>
      </c>
      <c r="H64" s="6">
        <v>5</v>
      </c>
      <c r="I64" s="6">
        <v>6</v>
      </c>
      <c r="J64" s="7" t="b">
        <v>1</v>
      </c>
      <c r="K64" s="6">
        <v>606</v>
      </c>
      <c r="L64" s="6">
        <v>195</v>
      </c>
      <c r="M64" s="7" t="s">
        <v>27</v>
      </c>
      <c r="N64" s="7" t="s">
        <v>56</v>
      </c>
      <c r="O64" s="7" t="s">
        <v>64</v>
      </c>
      <c r="P64" s="5">
        <v>95</v>
      </c>
      <c r="Q64" s="4">
        <v>4</v>
      </c>
      <c r="R64" s="7" t="b">
        <v>0</v>
      </c>
      <c r="S64" s="7" t="s">
        <v>30</v>
      </c>
      <c r="T64" s="5">
        <v>1155</v>
      </c>
      <c r="U64" s="7" t="s">
        <v>76</v>
      </c>
      <c r="V64" t="s">
        <v>32</v>
      </c>
      <c r="W64" s="7" t="s">
        <v>33</v>
      </c>
    </row>
    <row r="65" spans="1:23" x14ac:dyDescent="0.3">
      <c r="A65" s="6">
        <v>1354</v>
      </c>
      <c r="B65" s="7" t="s">
        <v>172</v>
      </c>
      <c r="C65" t="s">
        <v>173</v>
      </c>
      <c r="D65" s="1">
        <v>45485</v>
      </c>
      <c r="E65" s="8">
        <v>7.99</v>
      </c>
      <c r="F65" s="6">
        <v>36</v>
      </c>
      <c r="G65" s="7" t="s">
        <v>48</v>
      </c>
      <c r="H65" s="6">
        <v>1</v>
      </c>
      <c r="I65" s="6">
        <v>6</v>
      </c>
      <c r="J65" s="7" t="b">
        <v>0</v>
      </c>
      <c r="K65" s="6">
        <v>214</v>
      </c>
      <c r="L65" s="6">
        <v>114</v>
      </c>
      <c r="M65" s="7" t="s">
        <v>55</v>
      </c>
      <c r="N65" s="7" t="s">
        <v>28</v>
      </c>
      <c r="O65" s="7" t="s">
        <v>57</v>
      </c>
      <c r="P65" s="5">
        <v>39</v>
      </c>
      <c r="Q65" s="4">
        <v>4.9000000000000004</v>
      </c>
      <c r="R65" s="7" t="b">
        <v>0</v>
      </c>
      <c r="S65" s="7" t="s">
        <v>30</v>
      </c>
      <c r="T65" s="5">
        <v>1110</v>
      </c>
      <c r="U65" s="7" t="s">
        <v>76</v>
      </c>
      <c r="V65" t="s">
        <v>59</v>
      </c>
      <c r="W65" s="7" t="s">
        <v>93</v>
      </c>
    </row>
    <row r="66" spans="1:23" x14ac:dyDescent="0.3">
      <c r="A66" s="6">
        <v>4019</v>
      </c>
      <c r="B66" s="7" t="s">
        <v>174</v>
      </c>
      <c r="C66" t="s">
        <v>175</v>
      </c>
      <c r="D66" s="1">
        <v>45455</v>
      </c>
      <c r="E66" s="8">
        <v>15.99</v>
      </c>
      <c r="F66" s="6">
        <v>349</v>
      </c>
      <c r="G66" s="7" t="s">
        <v>51</v>
      </c>
      <c r="H66" s="6">
        <v>1</v>
      </c>
      <c r="I66" s="6">
        <v>6</v>
      </c>
      <c r="J66" s="7" t="b">
        <v>1</v>
      </c>
      <c r="K66" s="6">
        <v>334</v>
      </c>
      <c r="L66" s="6">
        <v>76</v>
      </c>
      <c r="M66" s="7" t="s">
        <v>43</v>
      </c>
      <c r="N66" s="7" t="s">
        <v>56</v>
      </c>
      <c r="O66" s="7" t="s">
        <v>45</v>
      </c>
      <c r="P66" s="5">
        <v>32</v>
      </c>
      <c r="Q66" s="4">
        <v>3.3</v>
      </c>
      <c r="R66" s="7" t="b">
        <v>0</v>
      </c>
      <c r="S66" s="7" t="s">
        <v>30</v>
      </c>
      <c r="T66" s="5">
        <v>1911</v>
      </c>
      <c r="U66" s="7" t="s">
        <v>58</v>
      </c>
      <c r="V66" t="s">
        <v>79</v>
      </c>
      <c r="W66" s="7" t="s">
        <v>93</v>
      </c>
    </row>
    <row r="67" spans="1:23" x14ac:dyDescent="0.3">
      <c r="A67" s="6">
        <v>6178</v>
      </c>
      <c r="B67" s="7" t="s">
        <v>176</v>
      </c>
      <c r="C67" s="1">
        <v>44929</v>
      </c>
      <c r="D67" s="1">
        <v>45547</v>
      </c>
      <c r="E67" s="8">
        <v>11.99</v>
      </c>
      <c r="F67" s="6">
        <v>262</v>
      </c>
      <c r="G67" s="7" t="s">
        <v>51</v>
      </c>
      <c r="H67" s="6">
        <v>5</v>
      </c>
      <c r="I67" s="6">
        <v>5</v>
      </c>
      <c r="J67" s="7" t="b">
        <v>1</v>
      </c>
      <c r="K67" s="6">
        <v>849</v>
      </c>
      <c r="L67" s="6">
        <v>68</v>
      </c>
      <c r="M67" s="7" t="s">
        <v>55</v>
      </c>
      <c r="N67" s="7" t="s">
        <v>56</v>
      </c>
      <c r="O67" s="7" t="s">
        <v>78</v>
      </c>
      <c r="P67" s="5">
        <v>24</v>
      </c>
      <c r="Q67" s="4">
        <v>3</v>
      </c>
      <c r="R67" s="7" t="b">
        <v>0</v>
      </c>
      <c r="S67" s="7" t="s">
        <v>30</v>
      </c>
      <c r="T67" s="5">
        <v>1721</v>
      </c>
      <c r="U67" s="7" t="s">
        <v>31</v>
      </c>
      <c r="V67" t="s">
        <v>59</v>
      </c>
      <c r="W67" s="7" t="s">
        <v>60</v>
      </c>
    </row>
    <row r="68" spans="1:23" x14ac:dyDescent="0.3">
      <c r="A68" s="6">
        <v>8673</v>
      </c>
      <c r="B68" s="7" t="s">
        <v>135</v>
      </c>
      <c r="C68" t="s">
        <v>175</v>
      </c>
      <c r="D68" s="1">
        <v>45608</v>
      </c>
      <c r="E68" s="8">
        <v>7.99</v>
      </c>
      <c r="F68" s="6">
        <v>378</v>
      </c>
      <c r="G68" s="7" t="s">
        <v>26</v>
      </c>
      <c r="H68" s="6">
        <v>2</v>
      </c>
      <c r="I68" s="6">
        <v>3</v>
      </c>
      <c r="J68" s="7" t="b">
        <v>0</v>
      </c>
      <c r="K68" s="6">
        <v>155</v>
      </c>
      <c r="L68" s="6">
        <v>69</v>
      </c>
      <c r="M68" s="7" t="s">
        <v>49</v>
      </c>
      <c r="N68" s="7" t="s">
        <v>44</v>
      </c>
      <c r="O68" s="7" t="s">
        <v>57</v>
      </c>
      <c r="P68" s="5">
        <v>11</v>
      </c>
      <c r="Q68" s="4">
        <v>3.3</v>
      </c>
      <c r="R68" s="7" t="b">
        <v>0</v>
      </c>
      <c r="S68" s="7" t="s">
        <v>30</v>
      </c>
      <c r="T68" s="5">
        <v>353</v>
      </c>
      <c r="U68" s="7" t="s">
        <v>58</v>
      </c>
      <c r="V68" t="s">
        <v>79</v>
      </c>
      <c r="W68" s="7" t="s">
        <v>60</v>
      </c>
    </row>
    <row r="69" spans="1:23" x14ac:dyDescent="0.3">
      <c r="A69" s="6">
        <v>8250</v>
      </c>
      <c r="B69" s="7" t="s">
        <v>177</v>
      </c>
      <c r="C69" t="s">
        <v>178</v>
      </c>
      <c r="D69" t="s">
        <v>168</v>
      </c>
      <c r="E69" s="8">
        <v>15.99</v>
      </c>
      <c r="F69" s="6">
        <v>469</v>
      </c>
      <c r="G69" s="7" t="s">
        <v>51</v>
      </c>
      <c r="H69" s="6">
        <v>3</v>
      </c>
      <c r="I69" s="6">
        <v>5</v>
      </c>
      <c r="J69" s="7" t="b">
        <v>1</v>
      </c>
      <c r="K69" s="6">
        <v>406</v>
      </c>
      <c r="L69" s="6">
        <v>71</v>
      </c>
      <c r="M69" s="7" t="s">
        <v>68</v>
      </c>
      <c r="N69" s="7" t="s">
        <v>75</v>
      </c>
      <c r="O69" s="7" t="s">
        <v>78</v>
      </c>
      <c r="P69" s="5">
        <v>88</v>
      </c>
      <c r="Q69" s="4">
        <v>4.8</v>
      </c>
      <c r="R69" s="7" t="b">
        <v>1</v>
      </c>
      <c r="S69" s="7" t="s">
        <v>30</v>
      </c>
      <c r="T69" s="5">
        <v>423</v>
      </c>
      <c r="U69" s="7" t="s">
        <v>76</v>
      </c>
      <c r="V69" t="s">
        <v>32</v>
      </c>
      <c r="W69" s="7" t="s">
        <v>93</v>
      </c>
    </row>
    <row r="70" spans="1:23" x14ac:dyDescent="0.3">
      <c r="A70" s="6">
        <v>1609</v>
      </c>
      <c r="B70" s="7" t="s">
        <v>179</v>
      </c>
      <c r="C70" t="s">
        <v>180</v>
      </c>
      <c r="D70" t="s">
        <v>72</v>
      </c>
      <c r="E70" s="8">
        <v>7.99</v>
      </c>
      <c r="F70" s="6">
        <v>87</v>
      </c>
      <c r="G70" s="7" t="s">
        <v>63</v>
      </c>
      <c r="H70" s="6">
        <v>4</v>
      </c>
      <c r="I70" s="6">
        <v>4</v>
      </c>
      <c r="J70" s="7" t="b">
        <v>0</v>
      </c>
      <c r="K70" s="6">
        <v>571</v>
      </c>
      <c r="L70" s="6">
        <v>54</v>
      </c>
      <c r="M70" s="7" t="s">
        <v>43</v>
      </c>
      <c r="N70" s="7" t="s">
        <v>56</v>
      </c>
      <c r="O70" s="7" t="s">
        <v>37</v>
      </c>
      <c r="P70" s="5">
        <v>57</v>
      </c>
      <c r="Q70" s="4">
        <v>4.2</v>
      </c>
      <c r="R70" s="7" t="b">
        <v>0</v>
      </c>
      <c r="S70" s="7" t="s">
        <v>30</v>
      </c>
      <c r="T70" s="5">
        <v>344</v>
      </c>
      <c r="U70" s="7" t="s">
        <v>58</v>
      </c>
      <c r="V70" t="s">
        <v>79</v>
      </c>
      <c r="W70" s="7" t="s">
        <v>60</v>
      </c>
    </row>
    <row r="71" spans="1:23" x14ac:dyDescent="0.3">
      <c r="A71" s="6">
        <v>3806</v>
      </c>
      <c r="B71" s="7" t="s">
        <v>181</v>
      </c>
      <c r="C71" t="s">
        <v>182</v>
      </c>
      <c r="D71" s="1">
        <v>45638</v>
      </c>
      <c r="E71" s="8">
        <v>15.99</v>
      </c>
      <c r="F71" s="6">
        <v>471</v>
      </c>
      <c r="G71" s="7" t="s">
        <v>51</v>
      </c>
      <c r="H71" s="6">
        <v>3</v>
      </c>
      <c r="I71" s="6">
        <v>6</v>
      </c>
      <c r="J71" s="7" t="b">
        <v>1</v>
      </c>
      <c r="K71" s="6">
        <v>56</v>
      </c>
      <c r="L71" s="6">
        <v>69</v>
      </c>
      <c r="M71" s="7" t="s">
        <v>43</v>
      </c>
      <c r="N71" s="7" t="s">
        <v>28</v>
      </c>
      <c r="O71" s="7" t="s">
        <v>45</v>
      </c>
      <c r="P71" s="5">
        <v>44</v>
      </c>
      <c r="Q71" s="4">
        <v>3.6</v>
      </c>
      <c r="R71" s="7" t="b">
        <v>1</v>
      </c>
      <c r="S71" s="7" t="s">
        <v>30</v>
      </c>
      <c r="T71" s="5">
        <v>4117</v>
      </c>
      <c r="U71" s="7" t="s">
        <v>76</v>
      </c>
      <c r="V71" t="s">
        <v>79</v>
      </c>
      <c r="W71" s="7" t="s">
        <v>60</v>
      </c>
    </row>
    <row r="72" spans="1:23" x14ac:dyDescent="0.3">
      <c r="A72" s="6">
        <v>7973</v>
      </c>
      <c r="B72" s="7" t="s">
        <v>183</v>
      </c>
      <c r="C72" s="1">
        <v>45301</v>
      </c>
      <c r="D72" s="1">
        <v>45363</v>
      </c>
      <c r="E72" s="8">
        <v>7.99</v>
      </c>
      <c r="F72" s="6">
        <v>469</v>
      </c>
      <c r="G72" s="7" t="s">
        <v>100</v>
      </c>
      <c r="H72" s="6">
        <v>5</v>
      </c>
      <c r="I72" s="6">
        <v>2</v>
      </c>
      <c r="J72" s="7" t="b">
        <v>1</v>
      </c>
      <c r="K72" s="6">
        <v>748</v>
      </c>
      <c r="L72" s="6">
        <v>147</v>
      </c>
      <c r="M72" s="7" t="s">
        <v>92</v>
      </c>
      <c r="N72" s="7" t="s">
        <v>75</v>
      </c>
      <c r="O72" s="7" t="s">
        <v>29</v>
      </c>
      <c r="P72" s="5">
        <v>33</v>
      </c>
      <c r="Q72" s="4">
        <v>4.5999999999999996</v>
      </c>
      <c r="R72" s="7" t="b">
        <v>1</v>
      </c>
      <c r="S72" s="7" t="s">
        <v>30</v>
      </c>
      <c r="T72" s="5">
        <v>3983</v>
      </c>
      <c r="U72" s="7" t="s">
        <v>58</v>
      </c>
      <c r="V72" t="s">
        <v>79</v>
      </c>
      <c r="W72" s="7" t="s">
        <v>40</v>
      </c>
    </row>
    <row r="73" spans="1:23" x14ac:dyDescent="0.3">
      <c r="A73" s="6">
        <v>7948</v>
      </c>
      <c r="B73" s="7" t="s">
        <v>184</v>
      </c>
      <c r="C73" t="s">
        <v>185</v>
      </c>
      <c r="D73" t="s">
        <v>109</v>
      </c>
      <c r="E73" s="8">
        <v>15.99</v>
      </c>
      <c r="F73" s="6">
        <v>298</v>
      </c>
      <c r="G73" s="7" t="s">
        <v>48</v>
      </c>
      <c r="H73" s="6">
        <v>4</v>
      </c>
      <c r="I73" s="6">
        <v>1</v>
      </c>
      <c r="J73" s="7" t="b">
        <v>0</v>
      </c>
      <c r="K73" s="6">
        <v>603</v>
      </c>
      <c r="L73" s="6">
        <v>161</v>
      </c>
      <c r="M73" s="7" t="s">
        <v>74</v>
      </c>
      <c r="N73" s="7" t="s">
        <v>28</v>
      </c>
      <c r="O73" s="7" t="s">
        <v>57</v>
      </c>
      <c r="P73" s="5">
        <v>68</v>
      </c>
      <c r="Q73" s="4">
        <v>4.4000000000000004</v>
      </c>
      <c r="R73" s="7" t="b">
        <v>0</v>
      </c>
      <c r="S73" s="7" t="s">
        <v>30</v>
      </c>
      <c r="T73" s="5">
        <v>3941</v>
      </c>
      <c r="U73" s="7" t="s">
        <v>65</v>
      </c>
      <c r="V73" t="s">
        <v>32</v>
      </c>
      <c r="W73" s="7" t="s">
        <v>93</v>
      </c>
    </row>
    <row r="74" spans="1:23" x14ac:dyDescent="0.3">
      <c r="A74" s="6">
        <v>3195</v>
      </c>
      <c r="B74" s="7" t="s">
        <v>186</v>
      </c>
      <c r="C74" t="s">
        <v>187</v>
      </c>
      <c r="D74" t="s">
        <v>72</v>
      </c>
      <c r="E74" s="8">
        <v>11.99</v>
      </c>
      <c r="F74" s="6">
        <v>331</v>
      </c>
      <c r="G74" s="7" t="s">
        <v>26</v>
      </c>
      <c r="H74" s="6">
        <v>5</v>
      </c>
      <c r="I74" s="6">
        <v>5</v>
      </c>
      <c r="J74" s="7" t="b">
        <v>0</v>
      </c>
      <c r="K74" s="6">
        <v>990</v>
      </c>
      <c r="L74" s="6">
        <v>72</v>
      </c>
      <c r="M74" s="7" t="s">
        <v>74</v>
      </c>
      <c r="N74" s="7" t="s">
        <v>44</v>
      </c>
      <c r="O74" s="7" t="s">
        <v>57</v>
      </c>
      <c r="P74" s="5">
        <v>80</v>
      </c>
      <c r="Q74" s="4">
        <v>3.7</v>
      </c>
      <c r="R74" s="7" t="b">
        <v>0</v>
      </c>
      <c r="S74" s="7" t="s">
        <v>30</v>
      </c>
      <c r="T74" s="5">
        <v>3085</v>
      </c>
      <c r="U74" s="7" t="s">
        <v>31</v>
      </c>
      <c r="V74" t="s">
        <v>32</v>
      </c>
      <c r="W74" s="7" t="s">
        <v>60</v>
      </c>
    </row>
    <row r="75" spans="1:23" x14ac:dyDescent="0.3">
      <c r="A75" s="6">
        <v>6285</v>
      </c>
      <c r="B75" s="7" t="s">
        <v>188</v>
      </c>
      <c r="C75" t="s">
        <v>189</v>
      </c>
      <c r="D75" t="s">
        <v>90</v>
      </c>
      <c r="E75" s="8">
        <v>11.99</v>
      </c>
      <c r="F75" s="6">
        <v>238</v>
      </c>
      <c r="G75" s="7" t="s">
        <v>51</v>
      </c>
      <c r="H75" s="6">
        <v>3</v>
      </c>
      <c r="I75" s="6">
        <v>6</v>
      </c>
      <c r="J75" s="7" t="b">
        <v>1</v>
      </c>
      <c r="K75" s="6">
        <v>831</v>
      </c>
      <c r="L75" s="6">
        <v>101</v>
      </c>
      <c r="M75" s="7" t="s">
        <v>27</v>
      </c>
      <c r="N75" s="7" t="s">
        <v>28</v>
      </c>
      <c r="O75" s="7" t="s">
        <v>37</v>
      </c>
      <c r="P75" s="5">
        <v>94</v>
      </c>
      <c r="Q75" s="4">
        <v>4.4000000000000004</v>
      </c>
      <c r="R75" s="7" t="b">
        <v>1</v>
      </c>
      <c r="S75" s="7" t="s">
        <v>30</v>
      </c>
      <c r="T75" s="5">
        <v>48</v>
      </c>
      <c r="U75" s="7" t="s">
        <v>58</v>
      </c>
      <c r="V75" t="s">
        <v>32</v>
      </c>
      <c r="W75" s="7" t="s">
        <v>40</v>
      </c>
    </row>
    <row r="76" spans="1:23" x14ac:dyDescent="0.3">
      <c r="A76" s="6">
        <v>4303</v>
      </c>
      <c r="B76" s="7" t="s">
        <v>179</v>
      </c>
      <c r="C76" s="1">
        <v>45086</v>
      </c>
      <c r="D76" t="s">
        <v>72</v>
      </c>
      <c r="E76" s="8">
        <v>7.99</v>
      </c>
      <c r="F76" s="6">
        <v>231</v>
      </c>
      <c r="G76" s="7" t="s">
        <v>73</v>
      </c>
      <c r="H76" s="6">
        <v>1</v>
      </c>
      <c r="I76" s="6">
        <v>4</v>
      </c>
      <c r="J76" s="7" t="b">
        <v>0</v>
      </c>
      <c r="K76" s="6">
        <v>420</v>
      </c>
      <c r="L76" s="6">
        <v>85</v>
      </c>
      <c r="M76" s="7" t="s">
        <v>74</v>
      </c>
      <c r="N76" s="7" t="s">
        <v>75</v>
      </c>
      <c r="O76" s="7" t="s">
        <v>45</v>
      </c>
      <c r="P76" s="5">
        <v>30</v>
      </c>
      <c r="Q76" s="4">
        <v>3.5</v>
      </c>
      <c r="R76" s="7" t="b">
        <v>0</v>
      </c>
      <c r="S76" s="7" t="s">
        <v>30</v>
      </c>
      <c r="T76" s="5">
        <v>1520</v>
      </c>
      <c r="U76" s="7" t="s">
        <v>58</v>
      </c>
      <c r="V76" t="s">
        <v>79</v>
      </c>
      <c r="W76" s="7" t="s">
        <v>40</v>
      </c>
    </row>
    <row r="77" spans="1:23" x14ac:dyDescent="0.3">
      <c r="A77" s="6">
        <v>7751</v>
      </c>
      <c r="B77" s="7" t="s">
        <v>190</v>
      </c>
      <c r="C77" s="1">
        <v>45511</v>
      </c>
      <c r="D77" t="s">
        <v>109</v>
      </c>
      <c r="E77" s="8">
        <v>11.99</v>
      </c>
      <c r="F77" s="6">
        <v>457</v>
      </c>
      <c r="G77" s="7" t="s">
        <v>48</v>
      </c>
      <c r="H77" s="6">
        <v>2</v>
      </c>
      <c r="I77" s="6">
        <v>5</v>
      </c>
      <c r="J77" s="7" t="b">
        <v>1</v>
      </c>
      <c r="K77" s="6">
        <v>754</v>
      </c>
      <c r="L77" s="6">
        <v>98</v>
      </c>
      <c r="M77" s="7" t="s">
        <v>43</v>
      </c>
      <c r="N77" s="7" t="s">
        <v>28</v>
      </c>
      <c r="O77" s="7" t="s">
        <v>45</v>
      </c>
      <c r="P77" s="5">
        <v>53</v>
      </c>
      <c r="Q77" s="4">
        <v>3.6</v>
      </c>
      <c r="R77" s="7" t="b">
        <v>1</v>
      </c>
      <c r="S77" s="7" t="s">
        <v>30</v>
      </c>
      <c r="T77" s="5">
        <v>935</v>
      </c>
      <c r="U77" s="7" t="s">
        <v>31</v>
      </c>
      <c r="V77" t="s">
        <v>79</v>
      </c>
      <c r="W77" s="7" t="s">
        <v>40</v>
      </c>
    </row>
    <row r="78" spans="1:23" x14ac:dyDescent="0.3">
      <c r="A78" s="6">
        <v>7813</v>
      </c>
      <c r="B78" s="7" t="s">
        <v>191</v>
      </c>
      <c r="C78" t="s">
        <v>192</v>
      </c>
      <c r="D78" t="s">
        <v>134</v>
      </c>
      <c r="E78" s="8">
        <v>15.99</v>
      </c>
      <c r="F78" s="6">
        <v>373</v>
      </c>
      <c r="G78" s="7" t="s">
        <v>36</v>
      </c>
      <c r="H78" s="6">
        <v>4</v>
      </c>
      <c r="I78" s="6">
        <v>4</v>
      </c>
      <c r="J78" s="7" t="b">
        <v>1</v>
      </c>
      <c r="K78" s="6">
        <v>782</v>
      </c>
      <c r="L78" s="6">
        <v>7</v>
      </c>
      <c r="M78" s="7" t="s">
        <v>55</v>
      </c>
      <c r="N78" s="7" t="s">
        <v>75</v>
      </c>
      <c r="O78" s="7" t="s">
        <v>57</v>
      </c>
      <c r="P78" s="5">
        <v>18</v>
      </c>
      <c r="Q78" s="4">
        <v>3.2</v>
      </c>
      <c r="R78" s="7" t="b">
        <v>1</v>
      </c>
      <c r="S78" s="7" t="s">
        <v>30</v>
      </c>
      <c r="T78" s="5">
        <v>4641</v>
      </c>
      <c r="U78" s="7" t="s">
        <v>58</v>
      </c>
      <c r="V78" t="s">
        <v>79</v>
      </c>
      <c r="W78" s="7" t="s">
        <v>40</v>
      </c>
    </row>
    <row r="79" spans="1:23" x14ac:dyDescent="0.3">
      <c r="A79" s="6">
        <v>9028</v>
      </c>
      <c r="B79" s="7" t="s">
        <v>193</v>
      </c>
      <c r="C79" s="1">
        <v>45089</v>
      </c>
      <c r="D79" t="s">
        <v>105</v>
      </c>
      <c r="E79" s="8">
        <v>15.99</v>
      </c>
      <c r="F79" s="6">
        <v>11</v>
      </c>
      <c r="G79" s="7" t="s">
        <v>26</v>
      </c>
      <c r="H79" s="6">
        <v>1</v>
      </c>
      <c r="I79" s="6">
        <v>4</v>
      </c>
      <c r="J79" s="7" t="b">
        <v>0</v>
      </c>
      <c r="K79" s="6">
        <v>557</v>
      </c>
      <c r="L79" s="6">
        <v>165</v>
      </c>
      <c r="M79" s="7" t="s">
        <v>27</v>
      </c>
      <c r="N79" s="7" t="s">
        <v>28</v>
      </c>
      <c r="O79" s="7" t="s">
        <v>78</v>
      </c>
      <c r="P79" s="5">
        <v>11</v>
      </c>
      <c r="Q79" s="4">
        <v>4</v>
      </c>
      <c r="R79" s="7" t="b">
        <v>1</v>
      </c>
      <c r="S79" s="7" t="s">
        <v>30</v>
      </c>
      <c r="T79" s="5">
        <v>2941</v>
      </c>
      <c r="U79" s="7" t="s">
        <v>31</v>
      </c>
      <c r="V79" t="s">
        <v>39</v>
      </c>
      <c r="W79" s="7" t="s">
        <v>33</v>
      </c>
    </row>
    <row r="80" spans="1:23" x14ac:dyDescent="0.3">
      <c r="A80" s="6">
        <v>6109</v>
      </c>
      <c r="B80" s="7" t="s">
        <v>194</v>
      </c>
      <c r="C80" t="s">
        <v>195</v>
      </c>
      <c r="D80" s="1">
        <v>45455</v>
      </c>
      <c r="E80" s="8">
        <v>15.99</v>
      </c>
      <c r="F80" s="6">
        <v>425</v>
      </c>
      <c r="G80" s="7" t="s">
        <v>100</v>
      </c>
      <c r="H80" s="6">
        <v>2</v>
      </c>
      <c r="I80" s="6">
        <v>2</v>
      </c>
      <c r="J80" s="7" t="b">
        <v>1</v>
      </c>
      <c r="K80" s="6">
        <v>552</v>
      </c>
      <c r="L80" s="6">
        <v>27</v>
      </c>
      <c r="M80" s="7" t="s">
        <v>74</v>
      </c>
      <c r="N80" s="7" t="s">
        <v>75</v>
      </c>
      <c r="O80" s="7" t="s">
        <v>64</v>
      </c>
      <c r="P80" s="5">
        <v>36</v>
      </c>
      <c r="Q80" s="4">
        <v>4</v>
      </c>
      <c r="R80" s="7" t="b">
        <v>1</v>
      </c>
      <c r="S80" s="7" t="s">
        <v>30</v>
      </c>
      <c r="T80" s="5">
        <v>1325</v>
      </c>
      <c r="U80" s="7" t="s">
        <v>76</v>
      </c>
      <c r="V80" t="s">
        <v>59</v>
      </c>
      <c r="W80" s="7" t="s">
        <v>33</v>
      </c>
    </row>
    <row r="81" spans="1:23" x14ac:dyDescent="0.3">
      <c r="A81" s="6">
        <v>2565</v>
      </c>
      <c r="B81" s="7" t="s">
        <v>196</v>
      </c>
      <c r="C81" t="s">
        <v>89</v>
      </c>
      <c r="D81" t="s">
        <v>103</v>
      </c>
      <c r="E81" s="8">
        <v>7.99</v>
      </c>
      <c r="F81" s="6">
        <v>231</v>
      </c>
      <c r="G81" s="7" t="s">
        <v>73</v>
      </c>
      <c r="H81" s="6">
        <v>5</v>
      </c>
      <c r="I81" s="6">
        <v>4</v>
      </c>
      <c r="J81" s="7" t="b">
        <v>1</v>
      </c>
      <c r="K81" s="6">
        <v>356</v>
      </c>
      <c r="L81" s="6">
        <v>81</v>
      </c>
      <c r="M81" s="7" t="s">
        <v>68</v>
      </c>
      <c r="N81" s="7" t="s">
        <v>56</v>
      </c>
      <c r="O81" s="7" t="s">
        <v>78</v>
      </c>
      <c r="P81" s="5">
        <v>73</v>
      </c>
      <c r="Q81" s="4">
        <v>3.4</v>
      </c>
      <c r="R81" s="7" t="b">
        <v>0</v>
      </c>
      <c r="S81" s="7" t="s">
        <v>30</v>
      </c>
      <c r="T81" s="5">
        <v>4465</v>
      </c>
      <c r="U81" s="7" t="s">
        <v>76</v>
      </c>
      <c r="V81" t="s">
        <v>79</v>
      </c>
      <c r="W81" s="7" t="s">
        <v>33</v>
      </c>
    </row>
    <row r="82" spans="1:23" x14ac:dyDescent="0.3">
      <c r="A82" s="6">
        <v>7551</v>
      </c>
      <c r="B82" s="7" t="s">
        <v>197</v>
      </c>
      <c r="C82" t="s">
        <v>198</v>
      </c>
      <c r="D82" s="1">
        <v>45334</v>
      </c>
      <c r="E82" s="8">
        <v>15.99</v>
      </c>
      <c r="F82" s="6">
        <v>483</v>
      </c>
      <c r="G82" s="7" t="s">
        <v>36</v>
      </c>
      <c r="H82" s="6">
        <v>2</v>
      </c>
      <c r="I82" s="6">
        <v>4</v>
      </c>
      <c r="J82" s="7" t="b">
        <v>0</v>
      </c>
      <c r="K82" s="6">
        <v>161</v>
      </c>
      <c r="L82" s="6">
        <v>110</v>
      </c>
      <c r="M82" s="7" t="s">
        <v>27</v>
      </c>
      <c r="N82" s="7" t="s">
        <v>75</v>
      </c>
      <c r="O82" s="7" t="s">
        <v>78</v>
      </c>
      <c r="P82" s="5">
        <v>71</v>
      </c>
      <c r="Q82" s="4">
        <v>4.4000000000000004</v>
      </c>
      <c r="R82" s="7" t="b">
        <v>1</v>
      </c>
      <c r="S82" s="7" t="s">
        <v>30</v>
      </c>
      <c r="T82" s="5">
        <v>3517</v>
      </c>
      <c r="U82" s="7" t="s">
        <v>31</v>
      </c>
      <c r="V82" t="s">
        <v>39</v>
      </c>
      <c r="W82" s="7" t="s">
        <v>40</v>
      </c>
    </row>
    <row r="83" spans="1:23" x14ac:dyDescent="0.3">
      <c r="A83" s="6">
        <v>6398</v>
      </c>
      <c r="B83" s="7" t="s">
        <v>199</v>
      </c>
      <c r="C83" t="s">
        <v>200</v>
      </c>
      <c r="D83" s="1">
        <v>45485</v>
      </c>
      <c r="E83" s="8">
        <v>7.99</v>
      </c>
      <c r="F83" s="6">
        <v>55</v>
      </c>
      <c r="G83" s="7" t="s">
        <v>100</v>
      </c>
      <c r="H83" s="6">
        <v>3</v>
      </c>
      <c r="I83" s="6">
        <v>2</v>
      </c>
      <c r="J83" s="7" t="b">
        <v>1</v>
      </c>
      <c r="K83" s="6">
        <v>17</v>
      </c>
      <c r="L83" s="6">
        <v>40</v>
      </c>
      <c r="M83" s="7" t="s">
        <v>49</v>
      </c>
      <c r="N83" s="7" t="s">
        <v>28</v>
      </c>
      <c r="O83" s="7" t="s">
        <v>45</v>
      </c>
      <c r="P83" s="5">
        <v>48</v>
      </c>
      <c r="Q83" s="4">
        <v>3.7</v>
      </c>
      <c r="R83" s="7" t="b">
        <v>0</v>
      </c>
      <c r="S83" s="7" t="s">
        <v>30</v>
      </c>
      <c r="T83" s="5">
        <v>1672</v>
      </c>
      <c r="U83" s="7" t="s">
        <v>58</v>
      </c>
      <c r="V83" t="s">
        <v>69</v>
      </c>
      <c r="W83" s="7" t="s">
        <v>33</v>
      </c>
    </row>
    <row r="84" spans="1:23" x14ac:dyDescent="0.3">
      <c r="A84" s="6">
        <v>4982</v>
      </c>
      <c r="B84" s="7" t="s">
        <v>201</v>
      </c>
      <c r="C84" t="s">
        <v>111</v>
      </c>
      <c r="D84" s="1">
        <v>45638</v>
      </c>
      <c r="E84" s="8">
        <v>11.99</v>
      </c>
      <c r="F84" s="6">
        <v>375</v>
      </c>
      <c r="G84" s="7" t="s">
        <v>36</v>
      </c>
      <c r="H84" s="6">
        <v>4</v>
      </c>
      <c r="I84" s="6">
        <v>3</v>
      </c>
      <c r="J84" s="7" t="b">
        <v>0</v>
      </c>
      <c r="K84" s="6">
        <v>366</v>
      </c>
      <c r="L84" s="6">
        <v>13</v>
      </c>
      <c r="M84" s="7" t="s">
        <v>43</v>
      </c>
      <c r="N84" s="7" t="s">
        <v>28</v>
      </c>
      <c r="O84" s="7" t="s">
        <v>29</v>
      </c>
      <c r="P84" s="5">
        <v>73</v>
      </c>
      <c r="Q84" s="4">
        <v>4.8</v>
      </c>
      <c r="R84" s="7" t="b">
        <v>1</v>
      </c>
      <c r="S84" s="7" t="s">
        <v>30</v>
      </c>
      <c r="T84" s="5">
        <v>2164</v>
      </c>
      <c r="U84" s="7" t="s">
        <v>76</v>
      </c>
      <c r="V84" t="s">
        <v>39</v>
      </c>
      <c r="W84" s="7" t="s">
        <v>93</v>
      </c>
    </row>
    <row r="85" spans="1:23" x14ac:dyDescent="0.3">
      <c r="A85" s="6">
        <v>8108</v>
      </c>
      <c r="B85" s="7" t="s">
        <v>202</v>
      </c>
      <c r="C85" t="s">
        <v>203</v>
      </c>
      <c r="D85" t="s">
        <v>90</v>
      </c>
      <c r="E85" s="8">
        <v>11.99</v>
      </c>
      <c r="F85" s="6">
        <v>336</v>
      </c>
      <c r="G85" s="7" t="s">
        <v>73</v>
      </c>
      <c r="H85" s="6">
        <v>1</v>
      </c>
      <c r="I85" s="6">
        <v>2</v>
      </c>
      <c r="J85" s="7" t="b">
        <v>0</v>
      </c>
      <c r="K85" s="6">
        <v>758</v>
      </c>
      <c r="L85" s="6">
        <v>32</v>
      </c>
      <c r="M85" s="7" t="s">
        <v>43</v>
      </c>
      <c r="N85" s="7" t="s">
        <v>75</v>
      </c>
      <c r="O85" s="7" t="s">
        <v>37</v>
      </c>
      <c r="P85" s="5">
        <v>64</v>
      </c>
      <c r="Q85" s="4">
        <v>5</v>
      </c>
      <c r="R85" s="7" t="b">
        <v>0</v>
      </c>
      <c r="S85" s="7" t="s">
        <v>30</v>
      </c>
      <c r="T85" s="5">
        <v>3663</v>
      </c>
      <c r="U85" s="7" t="s">
        <v>31</v>
      </c>
      <c r="V85" t="s">
        <v>59</v>
      </c>
      <c r="W85" s="7" t="s">
        <v>40</v>
      </c>
    </row>
    <row r="86" spans="1:23" x14ac:dyDescent="0.3">
      <c r="A86" s="6">
        <v>6779</v>
      </c>
      <c r="B86" s="7" t="s">
        <v>204</v>
      </c>
      <c r="C86" t="s">
        <v>205</v>
      </c>
      <c r="D86" s="1">
        <v>45363</v>
      </c>
      <c r="E86" s="8">
        <v>7.99</v>
      </c>
      <c r="F86" s="6">
        <v>196</v>
      </c>
      <c r="G86" s="7" t="s">
        <v>100</v>
      </c>
      <c r="H86" s="6">
        <v>1</v>
      </c>
      <c r="I86" s="6">
        <v>6</v>
      </c>
      <c r="J86" s="7" t="b">
        <v>1</v>
      </c>
      <c r="K86" s="6">
        <v>936</v>
      </c>
      <c r="L86" s="6">
        <v>152</v>
      </c>
      <c r="M86" s="7" t="s">
        <v>68</v>
      </c>
      <c r="N86" s="7" t="s">
        <v>28</v>
      </c>
      <c r="O86" s="7" t="s">
        <v>45</v>
      </c>
      <c r="P86" s="5">
        <v>3</v>
      </c>
      <c r="Q86" s="4">
        <v>3.1</v>
      </c>
      <c r="R86" s="7" t="b">
        <v>1</v>
      </c>
      <c r="S86" s="7" t="s">
        <v>30</v>
      </c>
      <c r="T86" s="5">
        <v>2845</v>
      </c>
      <c r="U86" s="7" t="s">
        <v>31</v>
      </c>
      <c r="V86" t="s">
        <v>69</v>
      </c>
      <c r="W86" s="7" t="s">
        <v>93</v>
      </c>
    </row>
    <row r="87" spans="1:23" x14ac:dyDescent="0.3">
      <c r="A87" s="6">
        <v>1169</v>
      </c>
      <c r="B87" s="7" t="s">
        <v>157</v>
      </c>
      <c r="C87" t="s">
        <v>206</v>
      </c>
      <c r="D87" s="1">
        <v>45363</v>
      </c>
      <c r="E87" s="8">
        <v>11.99</v>
      </c>
      <c r="F87" s="6">
        <v>285</v>
      </c>
      <c r="G87" s="7" t="s">
        <v>36</v>
      </c>
      <c r="H87" s="6">
        <v>3</v>
      </c>
      <c r="I87" s="6">
        <v>1</v>
      </c>
      <c r="J87" s="7" t="b">
        <v>0</v>
      </c>
      <c r="K87" s="6">
        <v>13</v>
      </c>
      <c r="L87" s="6">
        <v>103</v>
      </c>
      <c r="M87" s="7" t="s">
        <v>68</v>
      </c>
      <c r="N87" s="7" t="s">
        <v>56</v>
      </c>
      <c r="O87" s="7" t="s">
        <v>57</v>
      </c>
      <c r="P87" s="5">
        <v>11</v>
      </c>
      <c r="Q87" s="4">
        <v>3.7</v>
      </c>
      <c r="R87" s="7" t="b">
        <v>0</v>
      </c>
      <c r="S87" s="7" t="s">
        <v>30</v>
      </c>
      <c r="T87" s="5">
        <v>2390</v>
      </c>
      <c r="U87" s="7" t="s">
        <v>65</v>
      </c>
      <c r="V87" t="s">
        <v>59</v>
      </c>
      <c r="W87" s="7" t="s">
        <v>60</v>
      </c>
    </row>
    <row r="88" spans="1:23" x14ac:dyDescent="0.3">
      <c r="A88" s="6">
        <v>5067</v>
      </c>
      <c r="B88" s="7" t="s">
        <v>207</v>
      </c>
      <c r="C88" t="s">
        <v>208</v>
      </c>
      <c r="D88" t="s">
        <v>99</v>
      </c>
      <c r="E88" s="8">
        <v>7.99</v>
      </c>
      <c r="F88" s="6">
        <v>155</v>
      </c>
      <c r="G88" s="7" t="s">
        <v>51</v>
      </c>
      <c r="H88" s="6">
        <v>5</v>
      </c>
      <c r="I88" s="6">
        <v>1</v>
      </c>
      <c r="J88" s="7" t="b">
        <v>1</v>
      </c>
      <c r="K88" s="6">
        <v>305</v>
      </c>
      <c r="L88" s="6">
        <v>77</v>
      </c>
      <c r="M88" s="7" t="s">
        <v>27</v>
      </c>
      <c r="N88" s="7" t="s">
        <v>75</v>
      </c>
      <c r="O88" s="7" t="s">
        <v>78</v>
      </c>
      <c r="P88" s="5">
        <v>66</v>
      </c>
      <c r="Q88" s="4">
        <v>3.4</v>
      </c>
      <c r="R88" s="7" t="b">
        <v>0</v>
      </c>
      <c r="S88" s="7" t="s">
        <v>30</v>
      </c>
      <c r="T88" s="5">
        <v>234</v>
      </c>
      <c r="U88" s="7" t="s">
        <v>31</v>
      </c>
      <c r="V88" t="s">
        <v>79</v>
      </c>
      <c r="W88" s="7" t="s">
        <v>93</v>
      </c>
    </row>
    <row r="89" spans="1:23" x14ac:dyDescent="0.3">
      <c r="A89" s="6">
        <v>5299</v>
      </c>
      <c r="B89" s="7" t="s">
        <v>209</v>
      </c>
      <c r="C89" t="s">
        <v>210</v>
      </c>
      <c r="D89" s="1">
        <v>45334</v>
      </c>
      <c r="E89" s="8">
        <v>7.99</v>
      </c>
      <c r="F89" s="6">
        <v>275</v>
      </c>
      <c r="G89" s="7" t="s">
        <v>73</v>
      </c>
      <c r="H89" s="6">
        <v>2</v>
      </c>
      <c r="I89" s="6">
        <v>2</v>
      </c>
      <c r="J89" s="7" t="b">
        <v>1</v>
      </c>
      <c r="K89" s="6">
        <v>755</v>
      </c>
      <c r="L89" s="6">
        <v>166</v>
      </c>
      <c r="M89" s="7" t="s">
        <v>74</v>
      </c>
      <c r="N89" s="7" t="s">
        <v>44</v>
      </c>
      <c r="O89" s="7" t="s">
        <v>45</v>
      </c>
      <c r="P89" s="5">
        <v>45</v>
      </c>
      <c r="Q89" s="4">
        <v>3.9</v>
      </c>
      <c r="R89" s="7" t="b">
        <v>0</v>
      </c>
      <c r="S89" s="7" t="s">
        <v>30</v>
      </c>
      <c r="T89" s="5">
        <v>3975</v>
      </c>
      <c r="U89" s="7" t="s">
        <v>76</v>
      </c>
      <c r="V89" t="s">
        <v>32</v>
      </c>
      <c r="W89" s="7" t="s">
        <v>60</v>
      </c>
    </row>
    <row r="90" spans="1:23" x14ac:dyDescent="0.3">
      <c r="A90" s="6">
        <v>3978</v>
      </c>
      <c r="B90" s="7" t="s">
        <v>143</v>
      </c>
      <c r="C90" t="s">
        <v>115</v>
      </c>
      <c r="D90" t="s">
        <v>105</v>
      </c>
      <c r="E90" s="8">
        <v>7.99</v>
      </c>
      <c r="F90" s="6">
        <v>341</v>
      </c>
      <c r="G90" s="7" t="s">
        <v>36</v>
      </c>
      <c r="H90" s="6">
        <v>3</v>
      </c>
      <c r="I90" s="6">
        <v>4</v>
      </c>
      <c r="J90" s="7" t="b">
        <v>0</v>
      </c>
      <c r="K90" s="6">
        <v>27</v>
      </c>
      <c r="L90" s="6">
        <v>82</v>
      </c>
      <c r="M90" s="7" t="s">
        <v>27</v>
      </c>
      <c r="N90" s="7" t="s">
        <v>44</v>
      </c>
      <c r="O90" s="7" t="s">
        <v>37</v>
      </c>
      <c r="P90" s="5">
        <v>98</v>
      </c>
      <c r="Q90" s="4">
        <v>3.7</v>
      </c>
      <c r="R90" s="7" t="b">
        <v>1</v>
      </c>
      <c r="S90" s="7" t="s">
        <v>30</v>
      </c>
      <c r="T90" s="5">
        <v>561</v>
      </c>
      <c r="U90" s="7" t="s">
        <v>76</v>
      </c>
      <c r="V90" t="s">
        <v>69</v>
      </c>
      <c r="W90" s="7" t="s">
        <v>93</v>
      </c>
    </row>
    <row r="91" spans="1:23" x14ac:dyDescent="0.3">
      <c r="A91" s="6">
        <v>8634</v>
      </c>
      <c r="B91" s="7" t="s">
        <v>211</v>
      </c>
      <c r="C91" s="1">
        <v>44965</v>
      </c>
      <c r="D91" t="s">
        <v>25</v>
      </c>
      <c r="E91" s="8">
        <v>15.99</v>
      </c>
      <c r="F91" s="6">
        <v>321</v>
      </c>
      <c r="G91" s="7" t="s">
        <v>36</v>
      </c>
      <c r="H91" s="6">
        <v>2</v>
      </c>
      <c r="I91" s="6">
        <v>2</v>
      </c>
      <c r="J91" s="7" t="b">
        <v>0</v>
      </c>
      <c r="K91" s="6">
        <v>676</v>
      </c>
      <c r="L91" s="6">
        <v>81</v>
      </c>
      <c r="M91" s="7" t="s">
        <v>27</v>
      </c>
      <c r="N91" s="7" t="s">
        <v>75</v>
      </c>
      <c r="O91" s="7" t="s">
        <v>64</v>
      </c>
      <c r="P91" s="5">
        <v>65</v>
      </c>
      <c r="Q91" s="4">
        <v>4.5999999999999996</v>
      </c>
      <c r="R91" s="7" t="b">
        <v>0</v>
      </c>
      <c r="S91" s="7" t="s">
        <v>30</v>
      </c>
      <c r="T91" s="5">
        <v>4647</v>
      </c>
      <c r="U91" s="7" t="s">
        <v>76</v>
      </c>
      <c r="V91" t="s">
        <v>79</v>
      </c>
      <c r="W91" s="7" t="s">
        <v>33</v>
      </c>
    </row>
    <row r="92" spans="1:23" x14ac:dyDescent="0.3">
      <c r="A92" s="6">
        <v>9635</v>
      </c>
      <c r="B92" s="7" t="s">
        <v>212</v>
      </c>
      <c r="C92" t="s">
        <v>213</v>
      </c>
      <c r="D92" t="s">
        <v>214</v>
      </c>
      <c r="E92" s="8">
        <v>11.99</v>
      </c>
      <c r="F92" s="6">
        <v>456</v>
      </c>
      <c r="G92" s="7" t="s">
        <v>73</v>
      </c>
      <c r="H92" s="6">
        <v>2</v>
      </c>
      <c r="I92" s="6">
        <v>5</v>
      </c>
      <c r="J92" s="7" t="b">
        <v>0</v>
      </c>
      <c r="K92" s="6">
        <v>734</v>
      </c>
      <c r="L92" s="6">
        <v>83</v>
      </c>
      <c r="M92" s="7" t="s">
        <v>55</v>
      </c>
      <c r="N92" s="7" t="s">
        <v>44</v>
      </c>
      <c r="O92" s="7" t="s">
        <v>78</v>
      </c>
      <c r="P92" s="5">
        <v>87</v>
      </c>
      <c r="Q92" s="4">
        <v>3.8</v>
      </c>
      <c r="R92" s="7" t="b">
        <v>1</v>
      </c>
      <c r="S92" s="7" t="s">
        <v>30</v>
      </c>
      <c r="T92" s="5">
        <v>581</v>
      </c>
      <c r="U92" s="7" t="s">
        <v>76</v>
      </c>
      <c r="V92" t="s">
        <v>32</v>
      </c>
      <c r="W92" s="7" t="s">
        <v>40</v>
      </c>
    </row>
    <row r="93" spans="1:23" x14ac:dyDescent="0.3">
      <c r="A93" s="6">
        <v>1776</v>
      </c>
      <c r="B93" s="7" t="s">
        <v>215</v>
      </c>
      <c r="C93" t="s">
        <v>216</v>
      </c>
      <c r="D93" t="s">
        <v>84</v>
      </c>
      <c r="E93" s="8">
        <v>15.99</v>
      </c>
      <c r="F93" s="6">
        <v>15</v>
      </c>
      <c r="G93" s="7" t="s">
        <v>73</v>
      </c>
      <c r="H93" s="6">
        <v>1</v>
      </c>
      <c r="I93" s="6">
        <v>4</v>
      </c>
      <c r="J93" s="7" t="b">
        <v>0</v>
      </c>
      <c r="K93" s="6">
        <v>687</v>
      </c>
      <c r="L93" s="6">
        <v>183</v>
      </c>
      <c r="M93" s="7" t="s">
        <v>92</v>
      </c>
      <c r="N93" s="7" t="s">
        <v>75</v>
      </c>
      <c r="O93" s="7" t="s">
        <v>29</v>
      </c>
      <c r="P93" s="5">
        <v>46</v>
      </c>
      <c r="Q93" s="4">
        <v>4.2</v>
      </c>
      <c r="R93" s="7" t="b">
        <v>1</v>
      </c>
      <c r="S93" s="7" t="s">
        <v>30</v>
      </c>
      <c r="T93" s="5">
        <v>1250</v>
      </c>
      <c r="U93" s="7" t="s">
        <v>38</v>
      </c>
      <c r="V93" t="s">
        <v>79</v>
      </c>
      <c r="W93" s="7" t="s">
        <v>33</v>
      </c>
    </row>
    <row r="94" spans="1:23" x14ac:dyDescent="0.3">
      <c r="A94" s="6">
        <v>9703</v>
      </c>
      <c r="B94" s="7" t="s">
        <v>106</v>
      </c>
      <c r="C94" t="s">
        <v>217</v>
      </c>
      <c r="D94" s="1">
        <v>45638</v>
      </c>
      <c r="E94" s="8">
        <v>11.99</v>
      </c>
      <c r="F94" s="6">
        <v>410</v>
      </c>
      <c r="G94" s="7" t="s">
        <v>48</v>
      </c>
      <c r="H94" s="6">
        <v>3</v>
      </c>
      <c r="I94" s="6">
        <v>5</v>
      </c>
      <c r="J94" s="7" t="b">
        <v>0</v>
      </c>
      <c r="K94" s="6">
        <v>826</v>
      </c>
      <c r="L94" s="6">
        <v>182</v>
      </c>
      <c r="M94" s="7" t="s">
        <v>49</v>
      </c>
      <c r="N94" s="7" t="s">
        <v>75</v>
      </c>
      <c r="O94" s="7" t="s">
        <v>64</v>
      </c>
      <c r="P94" s="5">
        <v>69</v>
      </c>
      <c r="Q94" s="4">
        <v>4.2</v>
      </c>
      <c r="R94" s="7" t="b">
        <v>0</v>
      </c>
      <c r="S94" s="7" t="s">
        <v>30</v>
      </c>
      <c r="T94" s="5">
        <v>3441</v>
      </c>
      <c r="U94" s="7" t="s">
        <v>31</v>
      </c>
      <c r="V94" t="s">
        <v>32</v>
      </c>
      <c r="W94" s="7" t="s">
        <v>40</v>
      </c>
    </row>
    <row r="95" spans="1:23" x14ac:dyDescent="0.3">
      <c r="A95" s="6">
        <v>3498</v>
      </c>
      <c r="B95" s="7" t="s">
        <v>218</v>
      </c>
      <c r="C95" s="1">
        <v>45239</v>
      </c>
      <c r="D95" s="1">
        <v>45303</v>
      </c>
      <c r="E95" s="8">
        <v>15.99</v>
      </c>
      <c r="F95" s="6">
        <v>29</v>
      </c>
      <c r="G95" s="7" t="s">
        <v>36</v>
      </c>
      <c r="H95" s="6">
        <v>2</v>
      </c>
      <c r="I95" s="6">
        <v>4</v>
      </c>
      <c r="J95" s="7" t="b">
        <v>1</v>
      </c>
      <c r="K95" s="6">
        <v>450</v>
      </c>
      <c r="L95" s="6">
        <v>67</v>
      </c>
      <c r="M95" s="7" t="s">
        <v>55</v>
      </c>
      <c r="N95" s="7" t="s">
        <v>56</v>
      </c>
      <c r="O95" s="7" t="s">
        <v>37</v>
      </c>
      <c r="P95" s="5">
        <v>52</v>
      </c>
      <c r="Q95" s="4">
        <v>3.3</v>
      </c>
      <c r="R95" s="7" t="b">
        <v>0</v>
      </c>
      <c r="S95" s="7" t="s">
        <v>30</v>
      </c>
      <c r="T95" s="5">
        <v>3211</v>
      </c>
      <c r="U95" s="7" t="s">
        <v>31</v>
      </c>
      <c r="V95" t="s">
        <v>79</v>
      </c>
      <c r="W95" s="7" t="s">
        <v>60</v>
      </c>
    </row>
    <row r="96" spans="1:23" x14ac:dyDescent="0.3">
      <c r="A96" s="6">
        <v>4260</v>
      </c>
      <c r="B96" s="7" t="s">
        <v>219</v>
      </c>
      <c r="C96" t="s">
        <v>220</v>
      </c>
      <c r="D96" t="s">
        <v>129</v>
      </c>
      <c r="E96" s="8">
        <v>7.99</v>
      </c>
      <c r="F96" s="6">
        <v>427</v>
      </c>
      <c r="G96" s="7" t="s">
        <v>63</v>
      </c>
      <c r="H96" s="6">
        <v>1</v>
      </c>
      <c r="I96" s="6">
        <v>1</v>
      </c>
      <c r="J96" s="7" t="b">
        <v>0</v>
      </c>
      <c r="K96" s="6">
        <v>159</v>
      </c>
      <c r="L96" s="6">
        <v>98</v>
      </c>
      <c r="M96" s="7" t="s">
        <v>74</v>
      </c>
      <c r="N96" s="7" t="s">
        <v>56</v>
      </c>
      <c r="O96" s="7" t="s">
        <v>57</v>
      </c>
      <c r="P96" s="5">
        <v>66</v>
      </c>
      <c r="Q96" s="4">
        <v>3.3</v>
      </c>
      <c r="R96" s="7" t="b">
        <v>0</v>
      </c>
      <c r="S96" s="7" t="s">
        <v>30</v>
      </c>
      <c r="T96" s="5">
        <v>647</v>
      </c>
      <c r="U96" s="7" t="s">
        <v>31</v>
      </c>
      <c r="V96" t="s">
        <v>79</v>
      </c>
      <c r="W96" s="7" t="s">
        <v>33</v>
      </c>
    </row>
    <row r="97" spans="1:23" x14ac:dyDescent="0.3">
      <c r="A97" s="6">
        <v>7152</v>
      </c>
      <c r="B97" s="7" t="s">
        <v>153</v>
      </c>
      <c r="C97" s="1">
        <v>45048</v>
      </c>
      <c r="D97" s="1">
        <v>45394</v>
      </c>
      <c r="E97" s="8">
        <v>11.99</v>
      </c>
      <c r="F97" s="6">
        <v>166</v>
      </c>
      <c r="G97" s="7" t="s">
        <v>26</v>
      </c>
      <c r="H97" s="6">
        <v>5</v>
      </c>
      <c r="I97" s="6">
        <v>3</v>
      </c>
      <c r="J97" s="7" t="b">
        <v>0</v>
      </c>
      <c r="K97" s="6">
        <v>367</v>
      </c>
      <c r="L97" s="6">
        <v>198</v>
      </c>
      <c r="M97" s="7" t="s">
        <v>55</v>
      </c>
      <c r="N97" s="7" t="s">
        <v>44</v>
      </c>
      <c r="O97" s="7" t="s">
        <v>29</v>
      </c>
      <c r="P97" s="5">
        <v>11</v>
      </c>
      <c r="Q97" s="4">
        <v>4.5999999999999996</v>
      </c>
      <c r="R97" s="7" t="b">
        <v>1</v>
      </c>
      <c r="S97" s="7" t="s">
        <v>30</v>
      </c>
      <c r="T97" s="5">
        <v>3751</v>
      </c>
      <c r="U97" s="7" t="s">
        <v>65</v>
      </c>
      <c r="V97" t="s">
        <v>32</v>
      </c>
      <c r="W97" s="7" t="s">
        <v>93</v>
      </c>
    </row>
    <row r="98" spans="1:23" x14ac:dyDescent="0.3">
      <c r="A98" s="6">
        <v>2457</v>
      </c>
      <c r="B98" s="7" t="s">
        <v>179</v>
      </c>
      <c r="C98" t="s">
        <v>221</v>
      </c>
      <c r="D98" t="s">
        <v>214</v>
      </c>
      <c r="E98" s="8">
        <v>7.99</v>
      </c>
      <c r="F98" s="6">
        <v>192</v>
      </c>
      <c r="G98" s="7" t="s">
        <v>73</v>
      </c>
      <c r="H98" s="6">
        <v>1</v>
      </c>
      <c r="I98" s="6">
        <v>1</v>
      </c>
      <c r="J98" s="7" t="b">
        <v>0</v>
      </c>
      <c r="K98" s="6">
        <v>786</v>
      </c>
      <c r="L98" s="6">
        <v>140</v>
      </c>
      <c r="M98" s="7" t="s">
        <v>43</v>
      </c>
      <c r="N98" s="7" t="s">
        <v>44</v>
      </c>
      <c r="O98" s="7" t="s">
        <v>78</v>
      </c>
      <c r="P98" s="5">
        <v>95</v>
      </c>
      <c r="Q98" s="4">
        <v>3.4</v>
      </c>
      <c r="R98" s="7" t="b">
        <v>0</v>
      </c>
      <c r="S98" s="7" t="s">
        <v>30</v>
      </c>
      <c r="T98" s="5">
        <v>2925</v>
      </c>
      <c r="U98" s="7" t="s">
        <v>76</v>
      </c>
      <c r="V98" t="s">
        <v>39</v>
      </c>
      <c r="W98" s="7" t="s">
        <v>33</v>
      </c>
    </row>
    <row r="99" spans="1:23" x14ac:dyDescent="0.3">
      <c r="A99" s="6">
        <v>8530</v>
      </c>
      <c r="B99" s="7" t="s">
        <v>222</v>
      </c>
      <c r="C99" t="s">
        <v>151</v>
      </c>
      <c r="D99" s="1">
        <v>45394</v>
      </c>
      <c r="E99" s="8">
        <v>11.99</v>
      </c>
      <c r="F99" s="6">
        <v>88</v>
      </c>
      <c r="G99" s="7" t="s">
        <v>51</v>
      </c>
      <c r="H99" s="6">
        <v>1</v>
      </c>
      <c r="I99" s="6">
        <v>6</v>
      </c>
      <c r="J99" s="7" t="b">
        <v>1</v>
      </c>
      <c r="K99" s="6">
        <v>962</v>
      </c>
      <c r="L99" s="6">
        <v>183</v>
      </c>
      <c r="M99" s="7" t="s">
        <v>68</v>
      </c>
      <c r="N99" s="7" t="s">
        <v>44</v>
      </c>
      <c r="O99" s="7" t="s">
        <v>64</v>
      </c>
      <c r="P99" s="5">
        <v>90</v>
      </c>
      <c r="Q99" s="4">
        <v>5</v>
      </c>
      <c r="R99" s="7" t="b">
        <v>0</v>
      </c>
      <c r="S99" s="7" t="s">
        <v>30</v>
      </c>
      <c r="T99" s="5">
        <v>4646</v>
      </c>
      <c r="U99" s="7" t="s">
        <v>58</v>
      </c>
      <c r="V99" t="s">
        <v>79</v>
      </c>
      <c r="W99" s="7" t="s">
        <v>33</v>
      </c>
    </row>
    <row r="100" spans="1:23" x14ac:dyDescent="0.3">
      <c r="A100" s="6">
        <v>9131</v>
      </c>
      <c r="B100" s="7" t="s">
        <v>223</v>
      </c>
      <c r="C100" s="1">
        <v>44993</v>
      </c>
      <c r="D100" t="s">
        <v>99</v>
      </c>
      <c r="E100" s="8">
        <v>7.99</v>
      </c>
      <c r="F100" s="6">
        <v>127</v>
      </c>
      <c r="G100" s="7" t="s">
        <v>48</v>
      </c>
      <c r="H100" s="6">
        <v>2</v>
      </c>
      <c r="I100" s="6">
        <v>5</v>
      </c>
      <c r="J100" s="7" t="b">
        <v>0</v>
      </c>
      <c r="K100" s="6">
        <v>482</v>
      </c>
      <c r="L100" s="6">
        <v>5</v>
      </c>
      <c r="M100" s="7" t="s">
        <v>55</v>
      </c>
      <c r="N100" s="7" t="s">
        <v>75</v>
      </c>
      <c r="O100" s="7" t="s">
        <v>64</v>
      </c>
      <c r="P100" s="5">
        <v>99</v>
      </c>
      <c r="Q100" s="4">
        <v>3.6</v>
      </c>
      <c r="R100" s="7" t="b">
        <v>0</v>
      </c>
      <c r="S100" s="7" t="s">
        <v>30</v>
      </c>
      <c r="T100" s="5">
        <v>2867</v>
      </c>
      <c r="U100" s="7" t="s">
        <v>38</v>
      </c>
      <c r="V100" t="s">
        <v>39</v>
      </c>
      <c r="W100" s="7" t="s">
        <v>93</v>
      </c>
    </row>
    <row r="101" spans="1:23" x14ac:dyDescent="0.3">
      <c r="A101" s="6">
        <v>9770</v>
      </c>
      <c r="B101" s="7" t="s">
        <v>224</v>
      </c>
      <c r="C101" t="s">
        <v>225</v>
      </c>
      <c r="D101" t="s">
        <v>156</v>
      </c>
      <c r="E101" s="8">
        <v>7.99</v>
      </c>
      <c r="F101" s="6">
        <v>327</v>
      </c>
      <c r="G101" s="7" t="s">
        <v>100</v>
      </c>
      <c r="H101" s="6">
        <v>4</v>
      </c>
      <c r="I101" s="6">
        <v>3</v>
      </c>
      <c r="J101" s="7" t="b">
        <v>0</v>
      </c>
      <c r="K101" s="6">
        <v>451</v>
      </c>
      <c r="L101" s="6">
        <v>108</v>
      </c>
      <c r="M101" s="7" t="s">
        <v>49</v>
      </c>
      <c r="N101" s="7" t="s">
        <v>28</v>
      </c>
      <c r="O101" s="7" t="s">
        <v>57</v>
      </c>
      <c r="P101" s="5">
        <v>91</v>
      </c>
      <c r="Q101" s="4">
        <v>3.2</v>
      </c>
      <c r="R101" s="7" t="b">
        <v>1</v>
      </c>
      <c r="S101" s="7" t="s">
        <v>30</v>
      </c>
      <c r="T101" s="5">
        <v>4131</v>
      </c>
      <c r="U101" s="7" t="s">
        <v>58</v>
      </c>
      <c r="V101" t="s">
        <v>39</v>
      </c>
      <c r="W101" s="7" t="s">
        <v>40</v>
      </c>
    </row>
    <row r="102" spans="1:23" x14ac:dyDescent="0.3">
      <c r="A102" s="6">
        <v>8095</v>
      </c>
      <c r="B102" s="7" t="s">
        <v>226</v>
      </c>
      <c r="C102" t="s">
        <v>227</v>
      </c>
      <c r="D102" s="1">
        <v>45608</v>
      </c>
      <c r="E102" s="8">
        <v>7.99</v>
      </c>
      <c r="F102" s="6">
        <v>10</v>
      </c>
      <c r="G102" s="7" t="s">
        <v>26</v>
      </c>
      <c r="H102" s="6">
        <v>2</v>
      </c>
      <c r="I102" s="6">
        <v>5</v>
      </c>
      <c r="J102" s="7" t="b">
        <v>1</v>
      </c>
      <c r="K102" s="6">
        <v>22</v>
      </c>
      <c r="L102" s="6">
        <v>14</v>
      </c>
      <c r="M102" s="7" t="s">
        <v>68</v>
      </c>
      <c r="N102" s="7" t="s">
        <v>44</v>
      </c>
      <c r="O102" s="7" t="s">
        <v>64</v>
      </c>
      <c r="P102" s="5">
        <v>25</v>
      </c>
      <c r="Q102" s="4">
        <v>4.0999999999999996</v>
      </c>
      <c r="R102" s="7" t="b">
        <v>1</v>
      </c>
      <c r="S102" s="7" t="s">
        <v>30</v>
      </c>
      <c r="T102" s="5">
        <v>2927</v>
      </c>
      <c r="U102" s="7" t="s">
        <v>58</v>
      </c>
      <c r="V102" t="s">
        <v>32</v>
      </c>
      <c r="W102" s="7" t="s">
        <v>40</v>
      </c>
    </row>
    <row r="103" spans="1:23" x14ac:dyDescent="0.3">
      <c r="A103" s="6">
        <v>3763</v>
      </c>
      <c r="B103" s="7" t="s">
        <v>228</v>
      </c>
      <c r="C103" t="s">
        <v>229</v>
      </c>
      <c r="D103" s="1">
        <v>45455</v>
      </c>
      <c r="E103" s="8">
        <v>11.99</v>
      </c>
      <c r="F103" s="6">
        <v>181</v>
      </c>
      <c r="G103" s="7" t="s">
        <v>63</v>
      </c>
      <c r="H103" s="6">
        <v>4</v>
      </c>
      <c r="I103" s="6">
        <v>2</v>
      </c>
      <c r="J103" s="7" t="b">
        <v>0</v>
      </c>
      <c r="K103" s="6">
        <v>848</v>
      </c>
      <c r="L103" s="6">
        <v>172</v>
      </c>
      <c r="M103" s="7" t="s">
        <v>55</v>
      </c>
      <c r="N103" s="7" t="s">
        <v>75</v>
      </c>
      <c r="O103" s="7" t="s">
        <v>45</v>
      </c>
      <c r="P103" s="5">
        <v>6</v>
      </c>
      <c r="Q103" s="4">
        <v>3.4</v>
      </c>
      <c r="R103" s="7" t="b">
        <v>0</v>
      </c>
      <c r="S103" s="7" t="s">
        <v>30</v>
      </c>
      <c r="T103" s="5">
        <v>3314</v>
      </c>
      <c r="U103" s="7" t="s">
        <v>31</v>
      </c>
      <c r="V103" t="s">
        <v>79</v>
      </c>
      <c r="W103" s="7" t="s">
        <v>60</v>
      </c>
    </row>
    <row r="104" spans="1:23" x14ac:dyDescent="0.3">
      <c r="A104" s="6">
        <v>4346</v>
      </c>
      <c r="B104" s="7" t="s">
        <v>230</v>
      </c>
      <c r="C104" t="s">
        <v>231</v>
      </c>
      <c r="D104" s="1">
        <v>45638</v>
      </c>
      <c r="E104" s="8">
        <v>15.99</v>
      </c>
      <c r="F104" s="6">
        <v>238</v>
      </c>
      <c r="G104" s="7" t="s">
        <v>26</v>
      </c>
      <c r="H104" s="6">
        <v>4</v>
      </c>
      <c r="I104" s="6">
        <v>2</v>
      </c>
      <c r="J104" s="7" t="b">
        <v>0</v>
      </c>
      <c r="K104" s="6">
        <v>524</v>
      </c>
      <c r="L104" s="6">
        <v>162</v>
      </c>
      <c r="M104" s="7" t="s">
        <v>27</v>
      </c>
      <c r="N104" s="7" t="s">
        <v>75</v>
      </c>
      <c r="O104" s="7" t="s">
        <v>37</v>
      </c>
      <c r="P104" s="5">
        <v>20</v>
      </c>
      <c r="Q104" s="4">
        <v>3</v>
      </c>
      <c r="R104" s="7" t="b">
        <v>1</v>
      </c>
      <c r="S104" s="7" t="s">
        <v>30</v>
      </c>
      <c r="T104" s="5">
        <v>1782</v>
      </c>
      <c r="U104" s="7" t="s">
        <v>31</v>
      </c>
      <c r="V104" t="s">
        <v>69</v>
      </c>
      <c r="W104" s="7" t="s">
        <v>60</v>
      </c>
    </row>
    <row r="105" spans="1:23" x14ac:dyDescent="0.3">
      <c r="A105" s="6">
        <v>5866</v>
      </c>
      <c r="B105" s="7" t="s">
        <v>191</v>
      </c>
      <c r="C105" s="1">
        <v>45297</v>
      </c>
      <c r="D105" t="s">
        <v>214</v>
      </c>
      <c r="E105" s="8">
        <v>7.99</v>
      </c>
      <c r="F105" s="6">
        <v>380</v>
      </c>
      <c r="G105" s="7" t="s">
        <v>51</v>
      </c>
      <c r="H105" s="6">
        <v>2</v>
      </c>
      <c r="I105" s="6">
        <v>3</v>
      </c>
      <c r="J105" s="7" t="b">
        <v>0</v>
      </c>
      <c r="K105" s="6">
        <v>76</v>
      </c>
      <c r="L105" s="6">
        <v>25</v>
      </c>
      <c r="M105" s="7" t="s">
        <v>74</v>
      </c>
      <c r="N105" s="7" t="s">
        <v>28</v>
      </c>
      <c r="O105" s="7" t="s">
        <v>29</v>
      </c>
      <c r="P105" s="5">
        <v>95</v>
      </c>
      <c r="Q105" s="4">
        <v>4.2</v>
      </c>
      <c r="R105" s="7" t="b">
        <v>1</v>
      </c>
      <c r="S105" s="7" t="s">
        <v>30</v>
      </c>
      <c r="T105" s="5">
        <v>1938</v>
      </c>
      <c r="U105" s="7" t="s">
        <v>65</v>
      </c>
      <c r="V105" t="s">
        <v>79</v>
      </c>
      <c r="W105" s="7" t="s">
        <v>93</v>
      </c>
    </row>
    <row r="106" spans="1:23" x14ac:dyDescent="0.3">
      <c r="A106" s="6">
        <v>5865</v>
      </c>
      <c r="B106" s="7" t="s">
        <v>232</v>
      </c>
      <c r="C106" t="s">
        <v>233</v>
      </c>
      <c r="D106" t="s">
        <v>156</v>
      </c>
      <c r="E106" s="8">
        <v>11.99</v>
      </c>
      <c r="F106" s="6">
        <v>444</v>
      </c>
      <c r="G106" s="7" t="s">
        <v>48</v>
      </c>
      <c r="H106" s="6">
        <v>2</v>
      </c>
      <c r="I106" s="6">
        <v>3</v>
      </c>
      <c r="J106" s="7" t="b">
        <v>0</v>
      </c>
      <c r="K106" s="6">
        <v>959</v>
      </c>
      <c r="L106" s="6">
        <v>183</v>
      </c>
      <c r="M106" s="7" t="s">
        <v>74</v>
      </c>
      <c r="N106" s="7" t="s">
        <v>28</v>
      </c>
      <c r="O106" s="7" t="s">
        <v>29</v>
      </c>
      <c r="P106" s="5">
        <v>93</v>
      </c>
      <c r="Q106" s="4">
        <v>3.8</v>
      </c>
      <c r="R106" s="7" t="b">
        <v>0</v>
      </c>
      <c r="S106" s="7" t="s">
        <v>30</v>
      </c>
      <c r="T106" s="5">
        <v>3935</v>
      </c>
      <c r="U106" s="7" t="s">
        <v>58</v>
      </c>
      <c r="V106" t="s">
        <v>59</v>
      </c>
      <c r="W106" s="7" t="s">
        <v>93</v>
      </c>
    </row>
    <row r="107" spans="1:23" x14ac:dyDescent="0.3">
      <c r="A107" s="6">
        <v>9398</v>
      </c>
      <c r="B107" s="7" t="s">
        <v>234</v>
      </c>
      <c r="C107" t="s">
        <v>235</v>
      </c>
      <c r="D107" s="1">
        <v>45608</v>
      </c>
      <c r="E107" s="8">
        <v>7.99</v>
      </c>
      <c r="F107" s="6">
        <v>83</v>
      </c>
      <c r="G107" s="7" t="s">
        <v>73</v>
      </c>
      <c r="H107" s="6">
        <v>3</v>
      </c>
      <c r="I107" s="6">
        <v>5</v>
      </c>
      <c r="J107" s="7" t="b">
        <v>1</v>
      </c>
      <c r="K107" s="6">
        <v>148</v>
      </c>
      <c r="L107" s="6">
        <v>154</v>
      </c>
      <c r="M107" s="7" t="s">
        <v>49</v>
      </c>
      <c r="N107" s="7" t="s">
        <v>56</v>
      </c>
      <c r="O107" s="7" t="s">
        <v>29</v>
      </c>
      <c r="P107" s="5">
        <v>21</v>
      </c>
      <c r="Q107" s="4">
        <v>3.1</v>
      </c>
      <c r="R107" s="7" t="b">
        <v>0</v>
      </c>
      <c r="S107" s="7" t="s">
        <v>30</v>
      </c>
      <c r="T107" s="5">
        <v>3206</v>
      </c>
      <c r="U107" s="7" t="s">
        <v>58</v>
      </c>
      <c r="V107" t="s">
        <v>69</v>
      </c>
      <c r="W107" s="7" t="s">
        <v>33</v>
      </c>
    </row>
    <row r="108" spans="1:23" x14ac:dyDescent="0.3">
      <c r="A108" s="6">
        <v>9695</v>
      </c>
      <c r="B108" s="7" t="s">
        <v>236</v>
      </c>
      <c r="C108" s="1">
        <v>45150</v>
      </c>
      <c r="D108" t="s">
        <v>103</v>
      </c>
      <c r="E108" s="8">
        <v>7.99</v>
      </c>
      <c r="F108" s="6">
        <v>452</v>
      </c>
      <c r="G108" s="7" t="s">
        <v>51</v>
      </c>
      <c r="H108" s="6">
        <v>4</v>
      </c>
      <c r="I108" s="6">
        <v>4</v>
      </c>
      <c r="J108" s="7" t="b">
        <v>0</v>
      </c>
      <c r="K108" s="6">
        <v>338</v>
      </c>
      <c r="L108" s="6">
        <v>132</v>
      </c>
      <c r="M108" s="7" t="s">
        <v>68</v>
      </c>
      <c r="N108" s="7" t="s">
        <v>28</v>
      </c>
      <c r="O108" s="7" t="s">
        <v>57</v>
      </c>
      <c r="P108" s="5">
        <v>63</v>
      </c>
      <c r="Q108" s="4">
        <v>3.3</v>
      </c>
      <c r="R108" s="7" t="b">
        <v>0</v>
      </c>
      <c r="S108" s="7" t="s">
        <v>30</v>
      </c>
      <c r="T108" s="5">
        <v>2523</v>
      </c>
      <c r="U108" s="7" t="s">
        <v>31</v>
      </c>
      <c r="V108" t="s">
        <v>59</v>
      </c>
      <c r="W108" s="7" t="s">
        <v>33</v>
      </c>
    </row>
    <row r="109" spans="1:23" x14ac:dyDescent="0.3">
      <c r="A109" s="6">
        <v>8805</v>
      </c>
      <c r="B109" s="7" t="s">
        <v>85</v>
      </c>
      <c r="C109" s="1">
        <v>45450</v>
      </c>
      <c r="D109" s="1">
        <v>45455</v>
      </c>
      <c r="E109" s="8">
        <v>15.99</v>
      </c>
      <c r="F109" s="6">
        <v>53</v>
      </c>
      <c r="G109" s="7" t="s">
        <v>100</v>
      </c>
      <c r="H109" s="6">
        <v>4</v>
      </c>
      <c r="I109" s="6">
        <v>2</v>
      </c>
      <c r="J109" s="7" t="b">
        <v>1</v>
      </c>
      <c r="K109" s="6">
        <v>720</v>
      </c>
      <c r="L109" s="6">
        <v>37</v>
      </c>
      <c r="M109" s="7" t="s">
        <v>68</v>
      </c>
      <c r="N109" s="7" t="s">
        <v>28</v>
      </c>
      <c r="O109" s="7" t="s">
        <v>57</v>
      </c>
      <c r="P109" s="5">
        <v>8</v>
      </c>
      <c r="Q109" s="4">
        <v>4</v>
      </c>
      <c r="R109" s="7" t="b">
        <v>1</v>
      </c>
      <c r="S109" s="7" t="s">
        <v>30</v>
      </c>
      <c r="T109" s="5">
        <v>2727</v>
      </c>
      <c r="U109" s="7" t="s">
        <v>65</v>
      </c>
      <c r="V109" t="s">
        <v>79</v>
      </c>
      <c r="W109" s="7" t="s">
        <v>40</v>
      </c>
    </row>
    <row r="110" spans="1:23" x14ac:dyDescent="0.3">
      <c r="A110" s="6">
        <v>8353</v>
      </c>
      <c r="B110" s="7" t="s">
        <v>148</v>
      </c>
      <c r="C110" t="s">
        <v>237</v>
      </c>
      <c r="D110" t="s">
        <v>54</v>
      </c>
      <c r="E110" s="8">
        <v>15.99</v>
      </c>
      <c r="F110" s="6">
        <v>89</v>
      </c>
      <c r="G110" s="7" t="s">
        <v>100</v>
      </c>
      <c r="H110" s="6">
        <v>5</v>
      </c>
      <c r="I110" s="6">
        <v>3</v>
      </c>
      <c r="J110" s="7" t="b">
        <v>0</v>
      </c>
      <c r="K110" s="6">
        <v>387</v>
      </c>
      <c r="L110" s="6">
        <v>81</v>
      </c>
      <c r="M110" s="7" t="s">
        <v>68</v>
      </c>
      <c r="N110" s="7" t="s">
        <v>28</v>
      </c>
      <c r="O110" s="7" t="s">
        <v>64</v>
      </c>
      <c r="P110" s="5">
        <v>87</v>
      </c>
      <c r="Q110" s="4">
        <v>3.8</v>
      </c>
      <c r="R110" s="7" t="b">
        <v>1</v>
      </c>
      <c r="S110" s="7" t="s">
        <v>30</v>
      </c>
      <c r="T110" s="5">
        <v>2864</v>
      </c>
      <c r="U110" s="7" t="s">
        <v>76</v>
      </c>
      <c r="V110" t="s">
        <v>69</v>
      </c>
      <c r="W110" s="7" t="s">
        <v>33</v>
      </c>
    </row>
    <row r="111" spans="1:23" x14ac:dyDescent="0.3">
      <c r="A111" s="6">
        <v>3178</v>
      </c>
      <c r="B111" s="7" t="s">
        <v>238</v>
      </c>
      <c r="C111" t="s">
        <v>239</v>
      </c>
      <c r="D111" s="1">
        <v>45608</v>
      </c>
      <c r="E111" s="8">
        <v>7.99</v>
      </c>
      <c r="F111" s="6">
        <v>359</v>
      </c>
      <c r="G111" s="7" t="s">
        <v>63</v>
      </c>
      <c r="H111" s="6">
        <v>5</v>
      </c>
      <c r="I111" s="6">
        <v>4</v>
      </c>
      <c r="J111" s="7" t="b">
        <v>0</v>
      </c>
      <c r="K111" s="6">
        <v>624</v>
      </c>
      <c r="L111" s="6">
        <v>107</v>
      </c>
      <c r="M111" s="7" t="s">
        <v>55</v>
      </c>
      <c r="N111" s="7" t="s">
        <v>44</v>
      </c>
      <c r="O111" s="7" t="s">
        <v>57</v>
      </c>
      <c r="P111" s="5">
        <v>4</v>
      </c>
      <c r="Q111" s="4">
        <v>3.1</v>
      </c>
      <c r="R111" s="7" t="b">
        <v>1</v>
      </c>
      <c r="S111" s="7" t="s">
        <v>30</v>
      </c>
      <c r="T111" s="5">
        <v>3698</v>
      </c>
      <c r="U111" s="7" t="s">
        <v>76</v>
      </c>
      <c r="V111" t="s">
        <v>69</v>
      </c>
      <c r="W111" s="7" t="s">
        <v>93</v>
      </c>
    </row>
    <row r="112" spans="1:23" x14ac:dyDescent="0.3">
      <c r="A112" s="6">
        <v>4917</v>
      </c>
      <c r="B112" s="7" t="s">
        <v>240</v>
      </c>
      <c r="C112" t="s">
        <v>182</v>
      </c>
      <c r="D112" t="s">
        <v>84</v>
      </c>
      <c r="E112" s="8">
        <v>11.99</v>
      </c>
      <c r="F112" s="6">
        <v>487</v>
      </c>
      <c r="G112" s="7" t="s">
        <v>63</v>
      </c>
      <c r="H112" s="6">
        <v>1</v>
      </c>
      <c r="I112" s="6">
        <v>4</v>
      </c>
      <c r="J112" s="7" t="b">
        <v>0</v>
      </c>
      <c r="K112" s="6">
        <v>636</v>
      </c>
      <c r="L112" s="6">
        <v>66</v>
      </c>
      <c r="M112" s="7" t="s">
        <v>68</v>
      </c>
      <c r="N112" s="7" t="s">
        <v>28</v>
      </c>
      <c r="O112" s="7" t="s">
        <v>78</v>
      </c>
      <c r="P112" s="5">
        <v>78</v>
      </c>
      <c r="Q112" s="4">
        <v>3.5</v>
      </c>
      <c r="R112" s="7" t="b">
        <v>0</v>
      </c>
      <c r="S112" s="7" t="s">
        <v>30</v>
      </c>
      <c r="T112" s="5">
        <v>1531</v>
      </c>
      <c r="U112" s="7" t="s">
        <v>31</v>
      </c>
      <c r="V112" t="s">
        <v>69</v>
      </c>
      <c r="W112" s="7" t="s">
        <v>60</v>
      </c>
    </row>
    <row r="113" spans="1:23" x14ac:dyDescent="0.3">
      <c r="A113" s="6">
        <v>8878</v>
      </c>
      <c r="B113" s="7" t="s">
        <v>241</v>
      </c>
      <c r="C113" t="s">
        <v>217</v>
      </c>
      <c r="D113" t="s">
        <v>134</v>
      </c>
      <c r="E113" s="8">
        <v>7.99</v>
      </c>
      <c r="F113" s="6">
        <v>337</v>
      </c>
      <c r="G113" s="7" t="s">
        <v>73</v>
      </c>
      <c r="H113" s="6">
        <v>5</v>
      </c>
      <c r="I113" s="6">
        <v>1</v>
      </c>
      <c r="J113" s="7" t="b">
        <v>1</v>
      </c>
      <c r="K113" s="6">
        <v>429</v>
      </c>
      <c r="L113" s="6">
        <v>190</v>
      </c>
      <c r="M113" s="7" t="s">
        <v>43</v>
      </c>
      <c r="N113" s="7" t="s">
        <v>56</v>
      </c>
      <c r="O113" s="7" t="s">
        <v>45</v>
      </c>
      <c r="P113" s="5">
        <v>88</v>
      </c>
      <c r="Q113" s="4">
        <v>4.8</v>
      </c>
      <c r="R113" s="7" t="b">
        <v>0</v>
      </c>
      <c r="S113" s="7" t="s">
        <v>30</v>
      </c>
      <c r="T113" s="5">
        <v>4884</v>
      </c>
      <c r="U113" s="7" t="s">
        <v>31</v>
      </c>
      <c r="V113" t="s">
        <v>32</v>
      </c>
      <c r="W113" s="7" t="s">
        <v>93</v>
      </c>
    </row>
    <row r="114" spans="1:23" x14ac:dyDescent="0.3">
      <c r="A114" s="6">
        <v>3810</v>
      </c>
      <c r="B114" s="7" t="s">
        <v>242</v>
      </c>
      <c r="C114" t="s">
        <v>243</v>
      </c>
      <c r="D114" s="1">
        <v>45394</v>
      </c>
      <c r="E114" s="8">
        <v>15.99</v>
      </c>
      <c r="F114" s="6">
        <v>427</v>
      </c>
      <c r="G114" s="7" t="s">
        <v>63</v>
      </c>
      <c r="H114" s="6">
        <v>5</v>
      </c>
      <c r="I114" s="6">
        <v>3</v>
      </c>
      <c r="J114" s="7" t="b">
        <v>0</v>
      </c>
      <c r="K114" s="6">
        <v>832</v>
      </c>
      <c r="L114" s="6">
        <v>103</v>
      </c>
      <c r="M114" s="7" t="s">
        <v>68</v>
      </c>
      <c r="N114" s="7" t="s">
        <v>75</v>
      </c>
      <c r="O114" s="7" t="s">
        <v>45</v>
      </c>
      <c r="P114" s="5">
        <v>79</v>
      </c>
      <c r="Q114" s="4">
        <v>3.3</v>
      </c>
      <c r="R114" s="7" t="b">
        <v>0</v>
      </c>
      <c r="S114" s="7" t="s">
        <v>30</v>
      </c>
      <c r="T114" s="5">
        <v>3633</v>
      </c>
      <c r="U114" s="7" t="s">
        <v>31</v>
      </c>
      <c r="V114" t="s">
        <v>39</v>
      </c>
      <c r="W114" s="7" t="s">
        <v>40</v>
      </c>
    </row>
    <row r="115" spans="1:23" x14ac:dyDescent="0.3">
      <c r="A115" s="6">
        <v>9353</v>
      </c>
      <c r="B115" s="7" t="s">
        <v>244</v>
      </c>
      <c r="C115" s="1">
        <v>45085</v>
      </c>
      <c r="D115" t="s">
        <v>214</v>
      </c>
      <c r="E115" s="8">
        <v>7.99</v>
      </c>
      <c r="F115" s="6">
        <v>397</v>
      </c>
      <c r="G115" s="7" t="s">
        <v>51</v>
      </c>
      <c r="H115" s="6">
        <v>4</v>
      </c>
      <c r="I115" s="6">
        <v>4</v>
      </c>
      <c r="J115" s="7" t="b">
        <v>1</v>
      </c>
      <c r="K115" s="6">
        <v>63</v>
      </c>
      <c r="L115" s="6">
        <v>126</v>
      </c>
      <c r="M115" s="7" t="s">
        <v>74</v>
      </c>
      <c r="N115" s="7" t="s">
        <v>44</v>
      </c>
      <c r="O115" s="7" t="s">
        <v>45</v>
      </c>
      <c r="P115" s="5">
        <v>77</v>
      </c>
      <c r="Q115" s="4">
        <v>3.9</v>
      </c>
      <c r="R115" s="7" t="b">
        <v>1</v>
      </c>
      <c r="S115" s="7" t="s">
        <v>30</v>
      </c>
      <c r="T115" s="5">
        <v>4719</v>
      </c>
      <c r="U115" s="7" t="s">
        <v>31</v>
      </c>
      <c r="V115" t="s">
        <v>39</v>
      </c>
      <c r="W115" s="7" t="s">
        <v>93</v>
      </c>
    </row>
    <row r="116" spans="1:23" x14ac:dyDescent="0.3">
      <c r="A116" s="6">
        <v>1672</v>
      </c>
      <c r="B116" s="7" t="s">
        <v>245</v>
      </c>
      <c r="C116" t="s">
        <v>246</v>
      </c>
      <c r="D116" t="s">
        <v>105</v>
      </c>
      <c r="E116" s="8">
        <v>15.99</v>
      </c>
      <c r="F116" s="6">
        <v>200</v>
      </c>
      <c r="G116" s="7" t="s">
        <v>63</v>
      </c>
      <c r="H116" s="6">
        <v>4</v>
      </c>
      <c r="I116" s="6">
        <v>1</v>
      </c>
      <c r="J116" s="7" t="b">
        <v>0</v>
      </c>
      <c r="K116" s="6">
        <v>52</v>
      </c>
      <c r="L116" s="6">
        <v>8</v>
      </c>
      <c r="M116" s="7" t="s">
        <v>92</v>
      </c>
      <c r="N116" s="7" t="s">
        <v>56</v>
      </c>
      <c r="O116" s="7" t="s">
        <v>78</v>
      </c>
      <c r="P116" s="5">
        <v>17</v>
      </c>
      <c r="Q116" s="4">
        <v>3.2</v>
      </c>
      <c r="R116" s="7" t="b">
        <v>1</v>
      </c>
      <c r="S116" s="7" t="s">
        <v>30</v>
      </c>
      <c r="T116" s="5">
        <v>3161</v>
      </c>
      <c r="U116" s="7" t="s">
        <v>58</v>
      </c>
      <c r="V116" t="s">
        <v>69</v>
      </c>
      <c r="W116" s="7" t="s">
        <v>60</v>
      </c>
    </row>
    <row r="117" spans="1:23" x14ac:dyDescent="0.3">
      <c r="A117" s="6">
        <v>6650</v>
      </c>
      <c r="B117" s="7" t="s">
        <v>247</v>
      </c>
      <c r="C117" s="1">
        <v>45354</v>
      </c>
      <c r="D117" t="s">
        <v>214</v>
      </c>
      <c r="E117" s="8">
        <v>11.99</v>
      </c>
      <c r="F117" s="6">
        <v>464</v>
      </c>
      <c r="G117" s="7" t="s">
        <v>36</v>
      </c>
      <c r="H117" s="6">
        <v>2</v>
      </c>
      <c r="I117" s="6">
        <v>3</v>
      </c>
      <c r="J117" s="7" t="b">
        <v>1</v>
      </c>
      <c r="K117" s="6">
        <v>909</v>
      </c>
      <c r="L117" s="6">
        <v>165</v>
      </c>
      <c r="M117" s="7" t="s">
        <v>74</v>
      </c>
      <c r="N117" s="7" t="s">
        <v>75</v>
      </c>
      <c r="O117" s="7" t="s">
        <v>57</v>
      </c>
      <c r="P117" s="5">
        <v>28</v>
      </c>
      <c r="Q117" s="4">
        <v>3.6</v>
      </c>
      <c r="R117" s="7" t="b">
        <v>1</v>
      </c>
      <c r="S117" s="7" t="s">
        <v>30</v>
      </c>
      <c r="T117" s="5">
        <v>3607</v>
      </c>
      <c r="U117" s="7" t="s">
        <v>38</v>
      </c>
      <c r="V117" t="s">
        <v>59</v>
      </c>
      <c r="W117" s="7" t="s">
        <v>40</v>
      </c>
    </row>
    <row r="118" spans="1:23" x14ac:dyDescent="0.3">
      <c r="A118" s="6">
        <v>2581</v>
      </c>
      <c r="B118" s="7" t="s">
        <v>248</v>
      </c>
      <c r="C118" t="s">
        <v>180</v>
      </c>
      <c r="D118" s="1">
        <v>45334</v>
      </c>
      <c r="E118" s="8">
        <v>15.99</v>
      </c>
      <c r="F118" s="6">
        <v>495</v>
      </c>
      <c r="G118" s="7" t="s">
        <v>51</v>
      </c>
      <c r="H118" s="6">
        <v>1</v>
      </c>
      <c r="I118" s="6">
        <v>3</v>
      </c>
      <c r="J118" s="7" t="b">
        <v>0</v>
      </c>
      <c r="K118" s="6">
        <v>704</v>
      </c>
      <c r="L118" s="6">
        <v>53</v>
      </c>
      <c r="M118" s="7" t="s">
        <v>49</v>
      </c>
      <c r="N118" s="7" t="s">
        <v>56</v>
      </c>
      <c r="O118" s="7" t="s">
        <v>64</v>
      </c>
      <c r="P118" s="5">
        <v>94</v>
      </c>
      <c r="Q118" s="4">
        <v>3.4</v>
      </c>
      <c r="R118" s="7" t="b">
        <v>0</v>
      </c>
      <c r="S118" s="7" t="s">
        <v>30</v>
      </c>
      <c r="T118" s="5">
        <v>944</v>
      </c>
      <c r="U118" s="7" t="s">
        <v>76</v>
      </c>
      <c r="V118" t="s">
        <v>79</v>
      </c>
      <c r="W118" s="7" t="s">
        <v>40</v>
      </c>
    </row>
    <row r="119" spans="1:23" x14ac:dyDescent="0.3">
      <c r="A119" s="6">
        <v>6860</v>
      </c>
      <c r="B119" s="7" t="s">
        <v>249</v>
      </c>
      <c r="C119" s="1">
        <v>45598</v>
      </c>
      <c r="D119" t="s">
        <v>129</v>
      </c>
      <c r="E119" s="8">
        <v>7.99</v>
      </c>
      <c r="F119" s="6">
        <v>286</v>
      </c>
      <c r="G119" s="7" t="s">
        <v>36</v>
      </c>
      <c r="H119" s="6">
        <v>5</v>
      </c>
      <c r="I119" s="6">
        <v>4</v>
      </c>
      <c r="J119" s="7" t="b">
        <v>0</v>
      </c>
      <c r="K119" s="6">
        <v>751</v>
      </c>
      <c r="L119" s="6">
        <v>103</v>
      </c>
      <c r="M119" s="7" t="s">
        <v>49</v>
      </c>
      <c r="N119" s="7" t="s">
        <v>75</v>
      </c>
      <c r="O119" s="7" t="s">
        <v>78</v>
      </c>
      <c r="P119" s="5">
        <v>33</v>
      </c>
      <c r="Q119" s="4">
        <v>3.6</v>
      </c>
      <c r="R119" s="7" t="b">
        <v>0</v>
      </c>
      <c r="S119" s="7" t="s">
        <v>30</v>
      </c>
      <c r="T119" s="5">
        <v>2757</v>
      </c>
      <c r="U119" s="7" t="s">
        <v>58</v>
      </c>
      <c r="V119" t="s">
        <v>79</v>
      </c>
      <c r="W119" s="7" t="s">
        <v>33</v>
      </c>
    </row>
    <row r="120" spans="1:23" x14ac:dyDescent="0.3">
      <c r="A120" s="6">
        <v>4584</v>
      </c>
      <c r="B120" s="7" t="s">
        <v>138</v>
      </c>
      <c r="C120" t="s">
        <v>250</v>
      </c>
      <c r="D120" t="s">
        <v>42</v>
      </c>
      <c r="E120" s="8">
        <v>7.99</v>
      </c>
      <c r="F120" s="6">
        <v>446</v>
      </c>
      <c r="G120" s="7" t="s">
        <v>36</v>
      </c>
      <c r="H120" s="6">
        <v>3</v>
      </c>
      <c r="I120" s="6">
        <v>6</v>
      </c>
      <c r="J120" s="7" t="b">
        <v>0</v>
      </c>
      <c r="K120" s="6">
        <v>185</v>
      </c>
      <c r="L120" s="6">
        <v>134</v>
      </c>
      <c r="M120" s="7" t="s">
        <v>27</v>
      </c>
      <c r="N120" s="7" t="s">
        <v>56</v>
      </c>
      <c r="O120" s="7" t="s">
        <v>57</v>
      </c>
      <c r="P120" s="5">
        <v>18</v>
      </c>
      <c r="Q120" s="4">
        <v>3.3</v>
      </c>
      <c r="R120" s="7" t="b">
        <v>0</v>
      </c>
      <c r="S120" s="7" t="s">
        <v>30</v>
      </c>
      <c r="T120" s="5">
        <v>727</v>
      </c>
      <c r="U120" s="7" t="s">
        <v>31</v>
      </c>
      <c r="V120" t="s">
        <v>69</v>
      </c>
      <c r="W120" s="7" t="s">
        <v>60</v>
      </c>
    </row>
    <row r="121" spans="1:23" x14ac:dyDescent="0.3">
      <c r="A121" s="6">
        <v>3354</v>
      </c>
      <c r="B121" s="7" t="s">
        <v>148</v>
      </c>
      <c r="C121" s="1">
        <v>44936</v>
      </c>
      <c r="D121" t="s">
        <v>82</v>
      </c>
      <c r="E121" s="8">
        <v>11.99</v>
      </c>
      <c r="F121" s="6">
        <v>342</v>
      </c>
      <c r="G121" s="7" t="s">
        <v>73</v>
      </c>
      <c r="H121" s="6">
        <v>2</v>
      </c>
      <c r="I121" s="6">
        <v>2</v>
      </c>
      <c r="J121" s="7" t="b">
        <v>0</v>
      </c>
      <c r="K121" s="6">
        <v>503</v>
      </c>
      <c r="L121" s="6">
        <v>6</v>
      </c>
      <c r="M121" s="7" t="s">
        <v>92</v>
      </c>
      <c r="N121" s="7" t="s">
        <v>28</v>
      </c>
      <c r="O121" s="7" t="s">
        <v>78</v>
      </c>
      <c r="P121" s="5">
        <v>23</v>
      </c>
      <c r="Q121" s="4">
        <v>3.2</v>
      </c>
      <c r="R121" s="7" t="b">
        <v>1</v>
      </c>
      <c r="S121" s="7" t="s">
        <v>30</v>
      </c>
      <c r="T121" s="5">
        <v>3496</v>
      </c>
      <c r="U121" s="7" t="s">
        <v>65</v>
      </c>
      <c r="V121" t="s">
        <v>69</v>
      </c>
      <c r="W121" s="7" t="s">
        <v>93</v>
      </c>
    </row>
    <row r="122" spans="1:23" x14ac:dyDescent="0.3">
      <c r="A122" s="6">
        <v>4668</v>
      </c>
      <c r="B122" s="7" t="s">
        <v>251</v>
      </c>
      <c r="C122" t="s">
        <v>72</v>
      </c>
      <c r="D122" s="1">
        <v>45547</v>
      </c>
      <c r="E122" s="8">
        <v>11.99</v>
      </c>
      <c r="F122" s="6">
        <v>396</v>
      </c>
      <c r="G122" s="7" t="s">
        <v>48</v>
      </c>
      <c r="H122" s="6">
        <v>5</v>
      </c>
      <c r="I122" s="6">
        <v>5</v>
      </c>
      <c r="J122" s="7" t="b">
        <v>1</v>
      </c>
      <c r="K122" s="6">
        <v>549</v>
      </c>
      <c r="L122" s="6">
        <v>35</v>
      </c>
      <c r="M122" s="7" t="s">
        <v>43</v>
      </c>
      <c r="N122" s="7" t="s">
        <v>28</v>
      </c>
      <c r="O122" s="7" t="s">
        <v>37</v>
      </c>
      <c r="P122" s="5">
        <v>66</v>
      </c>
      <c r="Q122" s="4">
        <v>3.6</v>
      </c>
      <c r="R122" s="7" t="b">
        <v>1</v>
      </c>
      <c r="S122" s="7" t="s">
        <v>30</v>
      </c>
      <c r="T122" s="5">
        <v>4293</v>
      </c>
      <c r="U122" s="7" t="s">
        <v>65</v>
      </c>
      <c r="V122" t="s">
        <v>79</v>
      </c>
      <c r="W122" s="7" t="s">
        <v>60</v>
      </c>
    </row>
    <row r="123" spans="1:23" x14ac:dyDescent="0.3">
      <c r="A123" s="6">
        <v>6684</v>
      </c>
      <c r="B123" s="7" t="s">
        <v>252</v>
      </c>
      <c r="C123" t="s">
        <v>144</v>
      </c>
      <c r="D123" s="1">
        <v>45608</v>
      </c>
      <c r="E123" s="8">
        <v>11.99</v>
      </c>
      <c r="F123" s="6">
        <v>491</v>
      </c>
      <c r="G123" s="7" t="s">
        <v>100</v>
      </c>
      <c r="H123" s="6">
        <v>1</v>
      </c>
      <c r="I123" s="6">
        <v>6</v>
      </c>
      <c r="J123" s="7" t="b">
        <v>1</v>
      </c>
      <c r="K123" s="6">
        <v>434</v>
      </c>
      <c r="L123" s="6">
        <v>182</v>
      </c>
      <c r="M123" s="7" t="s">
        <v>74</v>
      </c>
      <c r="N123" s="7" t="s">
        <v>75</v>
      </c>
      <c r="O123" s="7" t="s">
        <v>57</v>
      </c>
      <c r="P123" s="5">
        <v>24</v>
      </c>
      <c r="Q123" s="4">
        <v>4.0999999999999996</v>
      </c>
      <c r="R123" s="7" t="b">
        <v>0</v>
      </c>
      <c r="S123" s="7" t="s">
        <v>30</v>
      </c>
      <c r="T123" s="5">
        <v>1357</v>
      </c>
      <c r="U123" s="7" t="s">
        <v>76</v>
      </c>
      <c r="V123" t="s">
        <v>69</v>
      </c>
      <c r="W123" s="7" t="s">
        <v>33</v>
      </c>
    </row>
    <row r="124" spans="1:23" x14ac:dyDescent="0.3">
      <c r="A124" s="6">
        <v>8058</v>
      </c>
      <c r="B124" s="7" t="s">
        <v>253</v>
      </c>
      <c r="C124" s="1">
        <v>44961</v>
      </c>
      <c r="D124" t="s">
        <v>42</v>
      </c>
      <c r="E124" s="8">
        <v>15.99</v>
      </c>
      <c r="F124" s="6">
        <v>239</v>
      </c>
      <c r="G124" s="7" t="s">
        <v>48</v>
      </c>
      <c r="H124" s="6">
        <v>4</v>
      </c>
      <c r="I124" s="6">
        <v>6</v>
      </c>
      <c r="J124" s="7" t="b">
        <v>0</v>
      </c>
      <c r="K124" s="6">
        <v>832</v>
      </c>
      <c r="L124" s="6">
        <v>134</v>
      </c>
      <c r="M124" s="7" t="s">
        <v>68</v>
      </c>
      <c r="N124" s="7" t="s">
        <v>75</v>
      </c>
      <c r="O124" s="7" t="s">
        <v>57</v>
      </c>
      <c r="P124" s="5">
        <v>99</v>
      </c>
      <c r="Q124" s="4">
        <v>4.5999999999999996</v>
      </c>
      <c r="R124" s="7" t="b">
        <v>1</v>
      </c>
      <c r="S124" s="7" t="s">
        <v>30</v>
      </c>
      <c r="T124" s="5">
        <v>3596</v>
      </c>
      <c r="U124" s="7" t="s">
        <v>38</v>
      </c>
      <c r="V124" t="s">
        <v>59</v>
      </c>
      <c r="W124" s="7" t="s">
        <v>60</v>
      </c>
    </row>
    <row r="125" spans="1:23" x14ac:dyDescent="0.3">
      <c r="A125" s="6">
        <v>3035</v>
      </c>
      <c r="B125" s="7" t="s">
        <v>157</v>
      </c>
      <c r="C125" t="s">
        <v>149</v>
      </c>
      <c r="D125" t="s">
        <v>156</v>
      </c>
      <c r="E125" s="8">
        <v>15.99</v>
      </c>
      <c r="F125" s="6">
        <v>106</v>
      </c>
      <c r="G125" s="7" t="s">
        <v>100</v>
      </c>
      <c r="H125" s="6">
        <v>3</v>
      </c>
      <c r="I125" s="6">
        <v>3</v>
      </c>
      <c r="J125" s="7" t="b">
        <v>1</v>
      </c>
      <c r="K125" s="6">
        <v>377</v>
      </c>
      <c r="L125" s="6">
        <v>31</v>
      </c>
      <c r="M125" s="7" t="s">
        <v>74</v>
      </c>
      <c r="N125" s="7" t="s">
        <v>56</v>
      </c>
      <c r="O125" s="7" t="s">
        <v>64</v>
      </c>
      <c r="P125" s="5">
        <v>85</v>
      </c>
      <c r="Q125" s="4">
        <v>3.5</v>
      </c>
      <c r="R125" s="7" t="b">
        <v>1</v>
      </c>
      <c r="S125" s="7" t="s">
        <v>30</v>
      </c>
      <c r="T125" s="5">
        <v>613</v>
      </c>
      <c r="U125" s="7" t="s">
        <v>38</v>
      </c>
      <c r="V125" t="s">
        <v>79</v>
      </c>
      <c r="W125" s="7" t="s">
        <v>33</v>
      </c>
    </row>
    <row r="126" spans="1:23" x14ac:dyDescent="0.3">
      <c r="A126" s="6">
        <v>2146</v>
      </c>
      <c r="B126" s="7" t="s">
        <v>254</v>
      </c>
      <c r="C126" s="1">
        <v>45603</v>
      </c>
      <c r="D126" t="s">
        <v>82</v>
      </c>
      <c r="E126" s="8">
        <v>11.99</v>
      </c>
      <c r="F126" s="6">
        <v>388</v>
      </c>
      <c r="G126" s="7" t="s">
        <v>63</v>
      </c>
      <c r="H126" s="6">
        <v>5</v>
      </c>
      <c r="I126" s="6">
        <v>4</v>
      </c>
      <c r="J126" s="7" t="b">
        <v>1</v>
      </c>
      <c r="K126" s="6">
        <v>380</v>
      </c>
      <c r="L126" s="6">
        <v>125</v>
      </c>
      <c r="M126" s="7" t="s">
        <v>68</v>
      </c>
      <c r="N126" s="7" t="s">
        <v>28</v>
      </c>
      <c r="O126" s="7" t="s">
        <v>37</v>
      </c>
      <c r="P126" s="5">
        <v>14</v>
      </c>
      <c r="Q126" s="4">
        <v>3.2</v>
      </c>
      <c r="R126" s="7" t="b">
        <v>0</v>
      </c>
      <c r="S126" s="7" t="s">
        <v>30</v>
      </c>
      <c r="T126" s="5">
        <v>2381</v>
      </c>
      <c r="U126" s="7" t="s">
        <v>76</v>
      </c>
      <c r="V126" t="s">
        <v>39</v>
      </c>
      <c r="W126" s="7" t="s">
        <v>93</v>
      </c>
    </row>
    <row r="127" spans="1:23" x14ac:dyDescent="0.3">
      <c r="A127" s="6">
        <v>5761</v>
      </c>
      <c r="B127" s="7" t="s">
        <v>255</v>
      </c>
      <c r="C127" t="s">
        <v>256</v>
      </c>
      <c r="D127" s="1">
        <v>45516</v>
      </c>
      <c r="E127" s="8">
        <v>15.99</v>
      </c>
      <c r="F127" s="6">
        <v>452</v>
      </c>
      <c r="G127" s="7" t="s">
        <v>36</v>
      </c>
      <c r="H127" s="6">
        <v>2</v>
      </c>
      <c r="I127" s="6">
        <v>5</v>
      </c>
      <c r="J127" s="7" t="b">
        <v>0</v>
      </c>
      <c r="K127" s="6">
        <v>315</v>
      </c>
      <c r="L127" s="6">
        <v>118</v>
      </c>
      <c r="M127" s="7" t="s">
        <v>55</v>
      </c>
      <c r="N127" s="7" t="s">
        <v>75</v>
      </c>
      <c r="O127" s="7" t="s">
        <v>57</v>
      </c>
      <c r="P127" s="5">
        <v>28</v>
      </c>
      <c r="Q127" s="4">
        <v>3</v>
      </c>
      <c r="R127" s="7" t="b">
        <v>1</v>
      </c>
      <c r="S127" s="7" t="s">
        <v>30</v>
      </c>
      <c r="T127" s="5">
        <v>2159</v>
      </c>
      <c r="U127" s="7" t="s">
        <v>38</v>
      </c>
      <c r="V127" t="s">
        <v>69</v>
      </c>
      <c r="W127" s="7" t="s">
        <v>60</v>
      </c>
    </row>
    <row r="128" spans="1:23" x14ac:dyDescent="0.3">
      <c r="A128" s="6">
        <v>5256</v>
      </c>
      <c r="B128" s="7" t="s">
        <v>257</v>
      </c>
      <c r="C128" t="s">
        <v>258</v>
      </c>
      <c r="D128" s="1">
        <v>45334</v>
      </c>
      <c r="E128" s="8">
        <v>15.99</v>
      </c>
      <c r="F128" s="6">
        <v>368</v>
      </c>
      <c r="G128" s="7" t="s">
        <v>48</v>
      </c>
      <c r="H128" s="6">
        <v>4</v>
      </c>
      <c r="I128" s="6">
        <v>4</v>
      </c>
      <c r="J128" s="7" t="b">
        <v>1</v>
      </c>
      <c r="K128" s="6">
        <v>968</v>
      </c>
      <c r="L128" s="6">
        <v>24</v>
      </c>
      <c r="M128" s="7" t="s">
        <v>68</v>
      </c>
      <c r="N128" s="7" t="s">
        <v>44</v>
      </c>
      <c r="O128" s="7" t="s">
        <v>45</v>
      </c>
      <c r="P128" s="5">
        <v>30</v>
      </c>
      <c r="Q128" s="4">
        <v>3</v>
      </c>
      <c r="R128" s="7" t="b">
        <v>1</v>
      </c>
      <c r="S128" s="7" t="s">
        <v>30</v>
      </c>
      <c r="T128" s="5">
        <v>119</v>
      </c>
      <c r="U128" s="7" t="s">
        <v>76</v>
      </c>
      <c r="V128" t="s">
        <v>79</v>
      </c>
      <c r="W128" s="7" t="s">
        <v>33</v>
      </c>
    </row>
    <row r="129" spans="1:23" x14ac:dyDescent="0.3">
      <c r="A129" s="6">
        <v>5995</v>
      </c>
      <c r="B129" s="7" t="s">
        <v>238</v>
      </c>
      <c r="C129" t="s">
        <v>71</v>
      </c>
      <c r="D129" t="s">
        <v>99</v>
      </c>
      <c r="E129" s="8">
        <v>15.99</v>
      </c>
      <c r="F129" s="6">
        <v>325</v>
      </c>
      <c r="G129" s="7" t="s">
        <v>26</v>
      </c>
      <c r="H129" s="6">
        <v>2</v>
      </c>
      <c r="I129" s="6">
        <v>5</v>
      </c>
      <c r="J129" s="7" t="b">
        <v>1</v>
      </c>
      <c r="K129" s="6">
        <v>757</v>
      </c>
      <c r="L129" s="6">
        <v>35</v>
      </c>
      <c r="M129" s="7" t="s">
        <v>49</v>
      </c>
      <c r="N129" s="7" t="s">
        <v>56</v>
      </c>
      <c r="O129" s="7" t="s">
        <v>45</v>
      </c>
      <c r="P129" s="5">
        <v>81</v>
      </c>
      <c r="Q129" s="4">
        <v>4.5999999999999996</v>
      </c>
      <c r="R129" s="7" t="b">
        <v>0</v>
      </c>
      <c r="S129" s="7" t="s">
        <v>30</v>
      </c>
      <c r="T129" s="5">
        <v>2798</v>
      </c>
      <c r="U129" s="7" t="s">
        <v>31</v>
      </c>
      <c r="V129" t="s">
        <v>39</v>
      </c>
      <c r="W129" s="7" t="s">
        <v>33</v>
      </c>
    </row>
    <row r="130" spans="1:23" x14ac:dyDescent="0.3">
      <c r="A130" s="6">
        <v>4155</v>
      </c>
      <c r="B130" s="7" t="s">
        <v>259</v>
      </c>
      <c r="C130" s="1">
        <v>45110</v>
      </c>
      <c r="D130" s="1">
        <v>45455</v>
      </c>
      <c r="E130" s="8">
        <v>11.99</v>
      </c>
      <c r="F130" s="6">
        <v>42</v>
      </c>
      <c r="G130" s="7" t="s">
        <v>48</v>
      </c>
      <c r="H130" s="6">
        <v>4</v>
      </c>
      <c r="I130" s="6">
        <v>2</v>
      </c>
      <c r="J130" s="7" t="b">
        <v>0</v>
      </c>
      <c r="K130" s="6">
        <v>560</v>
      </c>
      <c r="L130" s="6">
        <v>98</v>
      </c>
      <c r="M130" s="7" t="s">
        <v>92</v>
      </c>
      <c r="N130" s="7" t="s">
        <v>44</v>
      </c>
      <c r="O130" s="7" t="s">
        <v>45</v>
      </c>
      <c r="P130" s="5">
        <v>90</v>
      </c>
      <c r="Q130" s="4">
        <v>3.8</v>
      </c>
      <c r="R130" s="7" t="b">
        <v>0</v>
      </c>
      <c r="S130" s="7" t="s">
        <v>30</v>
      </c>
      <c r="T130" s="5">
        <v>496</v>
      </c>
      <c r="U130" s="7" t="s">
        <v>65</v>
      </c>
      <c r="V130" t="s">
        <v>59</v>
      </c>
      <c r="W130" s="7" t="s">
        <v>93</v>
      </c>
    </row>
    <row r="131" spans="1:23" x14ac:dyDescent="0.3">
      <c r="A131" s="6">
        <v>1851</v>
      </c>
      <c r="B131" s="7" t="s">
        <v>88</v>
      </c>
      <c r="C131" s="1">
        <v>44995</v>
      </c>
      <c r="D131" s="1">
        <v>45608</v>
      </c>
      <c r="E131" s="8">
        <v>11.99</v>
      </c>
      <c r="F131" s="6">
        <v>344</v>
      </c>
      <c r="G131" s="7" t="s">
        <v>63</v>
      </c>
      <c r="H131" s="6">
        <v>3</v>
      </c>
      <c r="I131" s="6">
        <v>1</v>
      </c>
      <c r="J131" s="7" t="b">
        <v>0</v>
      </c>
      <c r="K131" s="6">
        <v>456</v>
      </c>
      <c r="L131" s="6">
        <v>196</v>
      </c>
      <c r="M131" s="7" t="s">
        <v>92</v>
      </c>
      <c r="N131" s="7" t="s">
        <v>56</v>
      </c>
      <c r="O131" s="7" t="s">
        <v>45</v>
      </c>
      <c r="P131" s="5">
        <v>83</v>
      </c>
      <c r="Q131" s="4">
        <v>5</v>
      </c>
      <c r="R131" s="7" t="b">
        <v>0</v>
      </c>
      <c r="S131" s="7" t="s">
        <v>30</v>
      </c>
      <c r="T131" s="5">
        <v>3599</v>
      </c>
      <c r="U131" s="7" t="s">
        <v>38</v>
      </c>
      <c r="V131" t="s">
        <v>69</v>
      </c>
      <c r="W131" s="7" t="s">
        <v>40</v>
      </c>
    </row>
    <row r="132" spans="1:23" x14ac:dyDescent="0.3">
      <c r="A132" s="6">
        <v>8068</v>
      </c>
      <c r="B132" s="7" t="s">
        <v>260</v>
      </c>
      <c r="C132" t="s">
        <v>42</v>
      </c>
      <c r="D132" t="s">
        <v>109</v>
      </c>
      <c r="E132" s="8">
        <v>15.99</v>
      </c>
      <c r="F132" s="6">
        <v>77</v>
      </c>
      <c r="G132" s="7" t="s">
        <v>36</v>
      </c>
      <c r="H132" s="6">
        <v>5</v>
      </c>
      <c r="I132" s="6">
        <v>3</v>
      </c>
      <c r="J132" s="7" t="b">
        <v>0</v>
      </c>
      <c r="K132" s="6">
        <v>780</v>
      </c>
      <c r="L132" s="6">
        <v>138</v>
      </c>
      <c r="M132" s="7" t="s">
        <v>55</v>
      </c>
      <c r="N132" s="7" t="s">
        <v>75</v>
      </c>
      <c r="O132" s="7" t="s">
        <v>78</v>
      </c>
      <c r="P132" s="5">
        <v>66</v>
      </c>
      <c r="Q132" s="4">
        <v>3.4</v>
      </c>
      <c r="R132" s="7" t="b">
        <v>0</v>
      </c>
      <c r="S132" s="7" t="s">
        <v>30</v>
      </c>
      <c r="T132" s="5">
        <v>1752</v>
      </c>
      <c r="U132" s="7" t="s">
        <v>76</v>
      </c>
      <c r="V132" t="s">
        <v>59</v>
      </c>
      <c r="W132" s="7" t="s">
        <v>93</v>
      </c>
    </row>
    <row r="133" spans="1:23" x14ac:dyDescent="0.3">
      <c r="A133" s="6">
        <v>8425</v>
      </c>
      <c r="B133" s="7" t="s">
        <v>34</v>
      </c>
      <c r="C133" t="s">
        <v>261</v>
      </c>
      <c r="D133" t="s">
        <v>105</v>
      </c>
      <c r="E133" s="8">
        <v>7.99</v>
      </c>
      <c r="F133" s="6">
        <v>237</v>
      </c>
      <c r="G133" s="7" t="s">
        <v>73</v>
      </c>
      <c r="H133" s="6">
        <v>5</v>
      </c>
      <c r="I133" s="6">
        <v>3</v>
      </c>
      <c r="J133" s="7" t="b">
        <v>1</v>
      </c>
      <c r="K133" s="6">
        <v>168</v>
      </c>
      <c r="L133" s="6">
        <v>18</v>
      </c>
      <c r="M133" s="7" t="s">
        <v>68</v>
      </c>
      <c r="N133" s="7" t="s">
        <v>75</v>
      </c>
      <c r="O133" s="7" t="s">
        <v>45</v>
      </c>
      <c r="P133" s="5">
        <v>32</v>
      </c>
      <c r="Q133" s="4">
        <v>3.5</v>
      </c>
      <c r="R133" s="7" t="b">
        <v>1</v>
      </c>
      <c r="S133" s="7" t="s">
        <v>30</v>
      </c>
      <c r="T133" s="5">
        <v>3633</v>
      </c>
      <c r="U133" s="7" t="s">
        <v>65</v>
      </c>
      <c r="V133" t="s">
        <v>39</v>
      </c>
      <c r="W133" s="7" t="s">
        <v>40</v>
      </c>
    </row>
    <row r="134" spans="1:23" x14ac:dyDescent="0.3">
      <c r="A134" s="6">
        <v>4706</v>
      </c>
      <c r="B134" s="7" t="s">
        <v>170</v>
      </c>
      <c r="C134" s="1">
        <v>45140</v>
      </c>
      <c r="D134" s="1">
        <v>45455</v>
      </c>
      <c r="E134" s="8">
        <v>11.99</v>
      </c>
      <c r="F134" s="6">
        <v>480</v>
      </c>
      <c r="G134" s="7" t="s">
        <v>48</v>
      </c>
      <c r="H134" s="6">
        <v>1</v>
      </c>
      <c r="I134" s="6">
        <v>2</v>
      </c>
      <c r="J134" s="7" t="b">
        <v>1</v>
      </c>
      <c r="K134" s="6">
        <v>350</v>
      </c>
      <c r="L134" s="6">
        <v>122</v>
      </c>
      <c r="M134" s="7" t="s">
        <v>92</v>
      </c>
      <c r="N134" s="7" t="s">
        <v>28</v>
      </c>
      <c r="O134" s="7" t="s">
        <v>57</v>
      </c>
      <c r="P134" s="5">
        <v>59</v>
      </c>
      <c r="Q134" s="4">
        <v>4.5999999999999996</v>
      </c>
      <c r="R134" s="7" t="b">
        <v>0</v>
      </c>
      <c r="S134" s="7" t="s">
        <v>30</v>
      </c>
      <c r="T134" s="5">
        <v>3568</v>
      </c>
      <c r="U134" s="7" t="s">
        <v>38</v>
      </c>
      <c r="V134" t="s">
        <v>32</v>
      </c>
      <c r="W134" s="7" t="s">
        <v>33</v>
      </c>
    </row>
    <row r="135" spans="1:23" x14ac:dyDescent="0.3">
      <c r="A135" s="6">
        <v>7544</v>
      </c>
      <c r="B135" s="7" t="s">
        <v>262</v>
      </c>
      <c r="C135" s="1">
        <v>44935</v>
      </c>
      <c r="D135" t="s">
        <v>87</v>
      </c>
      <c r="E135" s="8">
        <v>15.99</v>
      </c>
      <c r="F135" s="6">
        <v>152</v>
      </c>
      <c r="G135" s="7" t="s">
        <v>63</v>
      </c>
      <c r="H135" s="6">
        <v>1</v>
      </c>
      <c r="I135" s="6">
        <v>3</v>
      </c>
      <c r="J135" s="7" t="b">
        <v>0</v>
      </c>
      <c r="K135" s="6">
        <v>341</v>
      </c>
      <c r="L135" s="6">
        <v>193</v>
      </c>
      <c r="M135" s="7" t="s">
        <v>49</v>
      </c>
      <c r="N135" s="7" t="s">
        <v>56</v>
      </c>
      <c r="O135" s="7" t="s">
        <v>45</v>
      </c>
      <c r="P135" s="5">
        <v>95</v>
      </c>
      <c r="Q135" s="4">
        <v>3.7</v>
      </c>
      <c r="R135" s="7" t="b">
        <v>0</v>
      </c>
      <c r="S135" s="7" t="s">
        <v>30</v>
      </c>
      <c r="T135" s="5">
        <v>4361</v>
      </c>
      <c r="U135" s="7" t="s">
        <v>31</v>
      </c>
      <c r="V135" t="s">
        <v>69</v>
      </c>
      <c r="W135" s="7" t="s">
        <v>93</v>
      </c>
    </row>
    <row r="136" spans="1:23" x14ac:dyDescent="0.3">
      <c r="A136" s="6">
        <v>4029</v>
      </c>
      <c r="B136" s="7" t="s">
        <v>263</v>
      </c>
      <c r="C136" t="s">
        <v>264</v>
      </c>
      <c r="D136" t="s">
        <v>156</v>
      </c>
      <c r="E136" s="8">
        <v>11.99</v>
      </c>
      <c r="F136" s="6">
        <v>308</v>
      </c>
      <c r="G136" s="7" t="s">
        <v>36</v>
      </c>
      <c r="H136" s="6">
        <v>2</v>
      </c>
      <c r="I136" s="6">
        <v>3</v>
      </c>
      <c r="J136" s="7" t="b">
        <v>0</v>
      </c>
      <c r="K136" s="6">
        <v>392</v>
      </c>
      <c r="L136" s="6">
        <v>151</v>
      </c>
      <c r="M136" s="7" t="s">
        <v>43</v>
      </c>
      <c r="N136" s="7" t="s">
        <v>44</v>
      </c>
      <c r="O136" s="7" t="s">
        <v>37</v>
      </c>
      <c r="P136" s="5">
        <v>27</v>
      </c>
      <c r="Q136" s="4">
        <v>4.2</v>
      </c>
      <c r="R136" s="7" t="b">
        <v>1</v>
      </c>
      <c r="S136" s="7" t="s">
        <v>30</v>
      </c>
      <c r="T136" s="5">
        <v>1176</v>
      </c>
      <c r="U136" s="7" t="s">
        <v>31</v>
      </c>
      <c r="V136" t="s">
        <v>59</v>
      </c>
      <c r="W136" s="7" t="s">
        <v>40</v>
      </c>
    </row>
    <row r="137" spans="1:23" x14ac:dyDescent="0.3">
      <c r="A137" s="6">
        <v>6117</v>
      </c>
      <c r="B137" s="7" t="s">
        <v>147</v>
      </c>
      <c r="C137" t="s">
        <v>265</v>
      </c>
      <c r="D137" t="s">
        <v>99</v>
      </c>
      <c r="E137" s="8">
        <v>7.99</v>
      </c>
      <c r="F137" s="6">
        <v>14</v>
      </c>
      <c r="G137" s="7" t="s">
        <v>36</v>
      </c>
      <c r="H137" s="6">
        <v>5</v>
      </c>
      <c r="I137" s="6">
        <v>5</v>
      </c>
      <c r="J137" s="7" t="b">
        <v>1</v>
      </c>
      <c r="K137" s="6">
        <v>95</v>
      </c>
      <c r="L137" s="6">
        <v>158</v>
      </c>
      <c r="M137" s="7" t="s">
        <v>68</v>
      </c>
      <c r="N137" s="7" t="s">
        <v>56</v>
      </c>
      <c r="O137" s="7" t="s">
        <v>29</v>
      </c>
      <c r="P137" s="5">
        <v>49</v>
      </c>
      <c r="Q137" s="4">
        <v>3.9</v>
      </c>
      <c r="R137" s="7" t="b">
        <v>0</v>
      </c>
      <c r="S137" s="7" t="s">
        <v>30</v>
      </c>
      <c r="T137" s="5">
        <v>1849</v>
      </c>
      <c r="U137" s="7" t="s">
        <v>76</v>
      </c>
      <c r="V137" t="s">
        <v>59</v>
      </c>
      <c r="W137" s="7" t="s">
        <v>40</v>
      </c>
    </row>
    <row r="138" spans="1:23" x14ac:dyDescent="0.3">
      <c r="A138" s="6">
        <v>1408</v>
      </c>
      <c r="B138" s="7" t="s">
        <v>266</v>
      </c>
      <c r="C138" t="s">
        <v>267</v>
      </c>
      <c r="D138" t="s">
        <v>84</v>
      </c>
      <c r="E138" s="8">
        <v>11.99</v>
      </c>
      <c r="F138" s="6">
        <v>233</v>
      </c>
      <c r="G138" s="7" t="s">
        <v>36</v>
      </c>
      <c r="H138" s="6">
        <v>5</v>
      </c>
      <c r="I138" s="6">
        <v>6</v>
      </c>
      <c r="J138" s="7" t="b">
        <v>1</v>
      </c>
      <c r="K138" s="6">
        <v>186</v>
      </c>
      <c r="L138" s="6">
        <v>129</v>
      </c>
      <c r="M138" s="7" t="s">
        <v>55</v>
      </c>
      <c r="N138" s="7" t="s">
        <v>44</v>
      </c>
      <c r="O138" s="7" t="s">
        <v>29</v>
      </c>
      <c r="P138" s="5">
        <v>38</v>
      </c>
      <c r="Q138" s="4">
        <v>4</v>
      </c>
      <c r="R138" s="7" t="b">
        <v>1</v>
      </c>
      <c r="S138" s="7" t="s">
        <v>30</v>
      </c>
      <c r="T138" s="5">
        <v>3953</v>
      </c>
      <c r="U138" s="7" t="s">
        <v>65</v>
      </c>
      <c r="V138" t="s">
        <v>32</v>
      </c>
      <c r="W138" s="7" t="s">
        <v>40</v>
      </c>
    </row>
    <row r="139" spans="1:23" x14ac:dyDescent="0.3">
      <c r="A139" s="6">
        <v>8396</v>
      </c>
      <c r="B139" s="7" t="s">
        <v>52</v>
      </c>
      <c r="C139" t="s">
        <v>141</v>
      </c>
      <c r="D139" s="1">
        <v>45608</v>
      </c>
      <c r="E139" s="8">
        <v>7.99</v>
      </c>
      <c r="F139" s="6">
        <v>169</v>
      </c>
      <c r="G139" s="7" t="s">
        <v>51</v>
      </c>
      <c r="H139" s="6">
        <v>1</v>
      </c>
      <c r="I139" s="6">
        <v>5</v>
      </c>
      <c r="J139" s="7" t="b">
        <v>0</v>
      </c>
      <c r="K139" s="6">
        <v>543</v>
      </c>
      <c r="L139" s="6">
        <v>111</v>
      </c>
      <c r="M139" s="7" t="s">
        <v>74</v>
      </c>
      <c r="N139" s="7" t="s">
        <v>28</v>
      </c>
      <c r="O139" s="7" t="s">
        <v>78</v>
      </c>
      <c r="P139" s="5">
        <v>28</v>
      </c>
      <c r="Q139" s="4">
        <v>3.7</v>
      </c>
      <c r="R139" s="7" t="b">
        <v>0</v>
      </c>
      <c r="S139" s="7" t="s">
        <v>30</v>
      </c>
      <c r="T139" s="5">
        <v>3277</v>
      </c>
      <c r="U139" s="7" t="s">
        <v>58</v>
      </c>
      <c r="V139" t="s">
        <v>79</v>
      </c>
      <c r="W139" s="7" t="s">
        <v>40</v>
      </c>
    </row>
    <row r="140" spans="1:23" x14ac:dyDescent="0.3">
      <c r="A140" s="6">
        <v>6806</v>
      </c>
      <c r="B140" s="7" t="s">
        <v>268</v>
      </c>
      <c r="C140" t="s">
        <v>213</v>
      </c>
      <c r="D140" t="s">
        <v>109</v>
      </c>
      <c r="E140" s="8">
        <v>7.99</v>
      </c>
      <c r="F140" s="6">
        <v>358</v>
      </c>
      <c r="G140" s="7" t="s">
        <v>26</v>
      </c>
      <c r="H140" s="6">
        <v>2</v>
      </c>
      <c r="I140" s="6">
        <v>3</v>
      </c>
      <c r="J140" s="7" t="b">
        <v>1</v>
      </c>
      <c r="K140" s="6">
        <v>858</v>
      </c>
      <c r="L140" s="6">
        <v>65</v>
      </c>
      <c r="M140" s="7" t="s">
        <v>74</v>
      </c>
      <c r="N140" s="7" t="s">
        <v>44</v>
      </c>
      <c r="O140" s="7" t="s">
        <v>45</v>
      </c>
      <c r="P140" s="5">
        <v>5</v>
      </c>
      <c r="Q140" s="4">
        <v>4.5999999999999996</v>
      </c>
      <c r="R140" s="7" t="b">
        <v>1</v>
      </c>
      <c r="S140" s="7" t="s">
        <v>30</v>
      </c>
      <c r="T140" s="5">
        <v>1572</v>
      </c>
      <c r="U140" s="7" t="s">
        <v>65</v>
      </c>
      <c r="V140" t="s">
        <v>69</v>
      </c>
      <c r="W140" s="7" t="s">
        <v>93</v>
      </c>
    </row>
    <row r="141" spans="1:23" x14ac:dyDescent="0.3">
      <c r="A141" s="6">
        <v>3496</v>
      </c>
      <c r="B141" s="7" t="s">
        <v>242</v>
      </c>
      <c r="C141" t="s">
        <v>269</v>
      </c>
      <c r="D141" s="1">
        <v>45608</v>
      </c>
      <c r="E141" s="8">
        <v>11.99</v>
      </c>
      <c r="F141" s="6">
        <v>404</v>
      </c>
      <c r="G141" s="7" t="s">
        <v>36</v>
      </c>
      <c r="H141" s="6">
        <v>4</v>
      </c>
      <c r="I141" s="6">
        <v>6</v>
      </c>
      <c r="J141" s="7" t="b">
        <v>0</v>
      </c>
      <c r="K141" s="6">
        <v>906</v>
      </c>
      <c r="L141" s="6">
        <v>43</v>
      </c>
      <c r="M141" s="7" t="s">
        <v>55</v>
      </c>
      <c r="N141" s="7" t="s">
        <v>28</v>
      </c>
      <c r="O141" s="7" t="s">
        <v>37</v>
      </c>
      <c r="P141" s="5">
        <v>59</v>
      </c>
      <c r="Q141" s="4">
        <v>4.9000000000000004</v>
      </c>
      <c r="R141" s="7" t="b">
        <v>1</v>
      </c>
      <c r="S141" s="7" t="s">
        <v>30</v>
      </c>
      <c r="T141" s="5">
        <v>2676</v>
      </c>
      <c r="U141" s="7" t="s">
        <v>76</v>
      </c>
      <c r="V141" t="s">
        <v>39</v>
      </c>
      <c r="W141" s="7" t="s">
        <v>60</v>
      </c>
    </row>
    <row r="142" spans="1:23" x14ac:dyDescent="0.3">
      <c r="A142" s="6">
        <v>7840</v>
      </c>
      <c r="B142" s="7" t="s">
        <v>270</v>
      </c>
      <c r="C142" s="1">
        <v>45324</v>
      </c>
      <c r="D142" s="1">
        <v>45608</v>
      </c>
      <c r="E142" s="8">
        <v>15.99</v>
      </c>
      <c r="F142" s="6">
        <v>131</v>
      </c>
      <c r="G142" s="7" t="s">
        <v>73</v>
      </c>
      <c r="H142" s="6">
        <v>5</v>
      </c>
      <c r="I142" s="6">
        <v>3</v>
      </c>
      <c r="J142" s="7" t="b">
        <v>1</v>
      </c>
      <c r="K142" s="6">
        <v>808</v>
      </c>
      <c r="L142" s="6">
        <v>48</v>
      </c>
      <c r="M142" s="7" t="s">
        <v>49</v>
      </c>
      <c r="N142" s="7" t="s">
        <v>28</v>
      </c>
      <c r="O142" s="7" t="s">
        <v>29</v>
      </c>
      <c r="P142" s="5">
        <v>55</v>
      </c>
      <c r="Q142" s="4">
        <v>3.3</v>
      </c>
      <c r="R142" s="7" t="b">
        <v>1</v>
      </c>
      <c r="S142" s="7" t="s">
        <v>30</v>
      </c>
      <c r="T142" s="5">
        <v>3053</v>
      </c>
      <c r="U142" s="7" t="s">
        <v>58</v>
      </c>
      <c r="V142" t="s">
        <v>79</v>
      </c>
      <c r="W142" s="7" t="s">
        <v>93</v>
      </c>
    </row>
    <row r="143" spans="1:23" x14ac:dyDescent="0.3">
      <c r="A143" s="6">
        <v>2099</v>
      </c>
      <c r="B143" s="7" t="s">
        <v>157</v>
      </c>
      <c r="C143" t="s">
        <v>192</v>
      </c>
      <c r="D143" t="s">
        <v>109</v>
      </c>
      <c r="E143" s="8">
        <v>11.99</v>
      </c>
      <c r="F143" s="6">
        <v>32</v>
      </c>
      <c r="G143" s="7" t="s">
        <v>36</v>
      </c>
      <c r="H143" s="6">
        <v>1</v>
      </c>
      <c r="I143" s="6">
        <v>6</v>
      </c>
      <c r="J143" s="7" t="b">
        <v>1</v>
      </c>
      <c r="K143" s="6">
        <v>84</v>
      </c>
      <c r="L143" s="6">
        <v>73</v>
      </c>
      <c r="M143" s="7" t="s">
        <v>74</v>
      </c>
      <c r="N143" s="7" t="s">
        <v>75</v>
      </c>
      <c r="O143" s="7" t="s">
        <v>29</v>
      </c>
      <c r="P143" s="5">
        <v>59</v>
      </c>
      <c r="Q143" s="4">
        <v>3.6</v>
      </c>
      <c r="R143" s="7" t="b">
        <v>1</v>
      </c>
      <c r="S143" s="7" t="s">
        <v>30</v>
      </c>
      <c r="T143" s="5">
        <v>2620</v>
      </c>
      <c r="U143" s="7" t="s">
        <v>38</v>
      </c>
      <c r="V143" t="s">
        <v>32</v>
      </c>
      <c r="W143" s="7" t="s">
        <v>60</v>
      </c>
    </row>
    <row r="144" spans="1:23" x14ac:dyDescent="0.3">
      <c r="A144" s="6">
        <v>6518</v>
      </c>
      <c r="B144" s="7" t="s">
        <v>271</v>
      </c>
      <c r="C144" t="s">
        <v>134</v>
      </c>
      <c r="D144" s="1">
        <v>45485</v>
      </c>
      <c r="E144" s="8">
        <v>7.99</v>
      </c>
      <c r="F144" s="6">
        <v>478</v>
      </c>
      <c r="G144" s="7" t="s">
        <v>26</v>
      </c>
      <c r="H144" s="6">
        <v>5</v>
      </c>
      <c r="I144" s="6">
        <v>3</v>
      </c>
      <c r="J144" s="7" t="b">
        <v>1</v>
      </c>
      <c r="K144" s="6">
        <v>780</v>
      </c>
      <c r="L144" s="6">
        <v>78</v>
      </c>
      <c r="M144" s="7" t="s">
        <v>49</v>
      </c>
      <c r="N144" s="7" t="s">
        <v>28</v>
      </c>
      <c r="O144" s="7" t="s">
        <v>57</v>
      </c>
      <c r="P144" s="5">
        <v>66</v>
      </c>
      <c r="Q144" s="4">
        <v>4</v>
      </c>
      <c r="R144" s="7" t="b">
        <v>0</v>
      </c>
      <c r="S144" s="7" t="s">
        <v>30</v>
      </c>
      <c r="T144" s="5">
        <v>4068</v>
      </c>
      <c r="U144" s="7" t="s">
        <v>58</v>
      </c>
      <c r="V144" t="s">
        <v>32</v>
      </c>
      <c r="W144" s="7" t="s">
        <v>60</v>
      </c>
    </row>
    <row r="145" spans="1:23" x14ac:dyDescent="0.3">
      <c r="A145" s="6">
        <v>1976</v>
      </c>
      <c r="B145" s="7" t="s">
        <v>249</v>
      </c>
      <c r="C145" t="s">
        <v>203</v>
      </c>
      <c r="D145" t="s">
        <v>129</v>
      </c>
      <c r="E145" s="8">
        <v>11.99</v>
      </c>
      <c r="F145" s="6">
        <v>88</v>
      </c>
      <c r="G145" s="7" t="s">
        <v>48</v>
      </c>
      <c r="H145" s="6">
        <v>3</v>
      </c>
      <c r="I145" s="6">
        <v>1</v>
      </c>
      <c r="J145" s="7" t="b">
        <v>0</v>
      </c>
      <c r="K145" s="6">
        <v>247</v>
      </c>
      <c r="L145" s="6">
        <v>30</v>
      </c>
      <c r="M145" s="7" t="s">
        <v>49</v>
      </c>
      <c r="N145" s="7" t="s">
        <v>44</v>
      </c>
      <c r="O145" s="7" t="s">
        <v>45</v>
      </c>
      <c r="P145" s="5">
        <v>46</v>
      </c>
      <c r="Q145" s="4">
        <v>4.7</v>
      </c>
      <c r="R145" s="7" t="b">
        <v>1</v>
      </c>
      <c r="S145" s="7" t="s">
        <v>30</v>
      </c>
      <c r="T145" s="5">
        <v>172</v>
      </c>
      <c r="U145" s="7" t="s">
        <v>76</v>
      </c>
      <c r="V145" t="s">
        <v>39</v>
      </c>
      <c r="W145" s="7" t="s">
        <v>60</v>
      </c>
    </row>
    <row r="146" spans="1:23" x14ac:dyDescent="0.3">
      <c r="A146" s="6">
        <v>8777</v>
      </c>
      <c r="B146" s="7" t="s">
        <v>272</v>
      </c>
      <c r="C146" s="1">
        <v>45598</v>
      </c>
      <c r="D146" t="s">
        <v>99</v>
      </c>
      <c r="E146" s="8">
        <v>11.99</v>
      </c>
      <c r="F146" s="6">
        <v>395</v>
      </c>
      <c r="G146" s="7" t="s">
        <v>48</v>
      </c>
      <c r="H146" s="6">
        <v>4</v>
      </c>
      <c r="I146" s="6">
        <v>4</v>
      </c>
      <c r="J146" s="7" t="b">
        <v>0</v>
      </c>
      <c r="K146" s="6">
        <v>190</v>
      </c>
      <c r="L146" s="6">
        <v>105</v>
      </c>
      <c r="M146" s="7" t="s">
        <v>92</v>
      </c>
      <c r="N146" s="7" t="s">
        <v>56</v>
      </c>
      <c r="O146" s="7" t="s">
        <v>37</v>
      </c>
      <c r="P146" s="5">
        <v>67</v>
      </c>
      <c r="Q146" s="4">
        <v>4.0999999999999996</v>
      </c>
      <c r="R146" s="7" t="b">
        <v>0</v>
      </c>
      <c r="S146" s="7" t="s">
        <v>30</v>
      </c>
      <c r="T146" s="5">
        <v>1040</v>
      </c>
      <c r="U146" s="7" t="s">
        <v>31</v>
      </c>
      <c r="V146" t="s">
        <v>69</v>
      </c>
      <c r="W146" s="7" t="s">
        <v>40</v>
      </c>
    </row>
    <row r="147" spans="1:23" x14ac:dyDescent="0.3">
      <c r="A147" s="6">
        <v>1576</v>
      </c>
      <c r="B147" s="7" t="s">
        <v>166</v>
      </c>
      <c r="C147" t="s">
        <v>273</v>
      </c>
      <c r="D147" t="s">
        <v>84</v>
      </c>
      <c r="E147" s="8">
        <v>11.99</v>
      </c>
      <c r="F147" s="6">
        <v>385</v>
      </c>
      <c r="G147" s="7" t="s">
        <v>36</v>
      </c>
      <c r="H147" s="6">
        <v>4</v>
      </c>
      <c r="I147" s="6">
        <v>1</v>
      </c>
      <c r="J147" s="7" t="b">
        <v>1</v>
      </c>
      <c r="K147" s="6">
        <v>390</v>
      </c>
      <c r="L147" s="6">
        <v>163</v>
      </c>
      <c r="M147" s="7" t="s">
        <v>68</v>
      </c>
      <c r="N147" s="7" t="s">
        <v>75</v>
      </c>
      <c r="O147" s="7" t="s">
        <v>78</v>
      </c>
      <c r="P147" s="5">
        <v>43</v>
      </c>
      <c r="Q147" s="4">
        <v>3.3</v>
      </c>
      <c r="R147" s="7" t="b">
        <v>0</v>
      </c>
      <c r="S147" s="7" t="s">
        <v>30</v>
      </c>
      <c r="T147" s="5">
        <v>3574</v>
      </c>
      <c r="U147" s="7" t="s">
        <v>58</v>
      </c>
      <c r="V147" t="s">
        <v>39</v>
      </c>
      <c r="W147" s="7" t="s">
        <v>93</v>
      </c>
    </row>
    <row r="148" spans="1:23" x14ac:dyDescent="0.3">
      <c r="A148" s="6">
        <v>7979</v>
      </c>
      <c r="B148" s="7" t="s">
        <v>274</v>
      </c>
      <c r="C148" s="1">
        <v>44990</v>
      </c>
      <c r="D148" t="s">
        <v>99</v>
      </c>
      <c r="E148" s="8">
        <v>11.99</v>
      </c>
      <c r="F148" s="6">
        <v>280</v>
      </c>
      <c r="G148" s="7" t="s">
        <v>48</v>
      </c>
      <c r="H148" s="6">
        <v>4</v>
      </c>
      <c r="I148" s="6">
        <v>5</v>
      </c>
      <c r="J148" s="7" t="b">
        <v>1</v>
      </c>
      <c r="K148" s="6">
        <v>203</v>
      </c>
      <c r="L148" s="6">
        <v>50</v>
      </c>
      <c r="M148" s="7" t="s">
        <v>92</v>
      </c>
      <c r="N148" s="7" t="s">
        <v>28</v>
      </c>
      <c r="O148" s="7" t="s">
        <v>57</v>
      </c>
      <c r="P148" s="5">
        <v>12</v>
      </c>
      <c r="Q148" s="4">
        <v>3.4</v>
      </c>
      <c r="R148" s="7" t="b">
        <v>1</v>
      </c>
      <c r="S148" s="7" t="s">
        <v>30</v>
      </c>
      <c r="T148" s="5">
        <v>3659</v>
      </c>
      <c r="U148" s="7" t="s">
        <v>31</v>
      </c>
      <c r="V148" t="s">
        <v>39</v>
      </c>
      <c r="W148" s="7" t="s">
        <v>60</v>
      </c>
    </row>
    <row r="149" spans="1:23" x14ac:dyDescent="0.3">
      <c r="A149" s="6">
        <v>6300</v>
      </c>
      <c r="B149" s="7" t="s">
        <v>275</v>
      </c>
      <c r="C149" t="s">
        <v>102</v>
      </c>
      <c r="D149" s="1">
        <v>45547</v>
      </c>
      <c r="E149" s="8">
        <v>15.99</v>
      </c>
      <c r="F149" s="6">
        <v>164</v>
      </c>
      <c r="G149" s="7" t="s">
        <v>26</v>
      </c>
      <c r="H149" s="6">
        <v>3</v>
      </c>
      <c r="I149" s="6">
        <v>5</v>
      </c>
      <c r="J149" s="7" t="b">
        <v>0</v>
      </c>
      <c r="K149" s="6">
        <v>161</v>
      </c>
      <c r="L149" s="6">
        <v>77</v>
      </c>
      <c r="M149" s="7" t="s">
        <v>68</v>
      </c>
      <c r="N149" s="7" t="s">
        <v>75</v>
      </c>
      <c r="O149" s="7" t="s">
        <v>37</v>
      </c>
      <c r="P149" s="5">
        <v>97</v>
      </c>
      <c r="Q149" s="4">
        <v>3.7</v>
      </c>
      <c r="R149" s="7" t="b">
        <v>1</v>
      </c>
      <c r="S149" s="7" t="s">
        <v>30</v>
      </c>
      <c r="T149" s="5">
        <v>1991</v>
      </c>
      <c r="U149" s="7" t="s">
        <v>65</v>
      </c>
      <c r="V149" t="s">
        <v>69</v>
      </c>
      <c r="W149" s="7" t="s">
        <v>33</v>
      </c>
    </row>
    <row r="150" spans="1:23" x14ac:dyDescent="0.3">
      <c r="A150" s="6">
        <v>1003</v>
      </c>
      <c r="B150" s="7" t="s">
        <v>276</v>
      </c>
      <c r="C150" s="1">
        <v>45638</v>
      </c>
      <c r="D150" t="s">
        <v>82</v>
      </c>
      <c r="E150" s="8">
        <v>11.99</v>
      </c>
      <c r="F150" s="6">
        <v>433</v>
      </c>
      <c r="G150" s="7" t="s">
        <v>63</v>
      </c>
      <c r="H150" s="6">
        <v>5</v>
      </c>
      <c r="I150" s="6">
        <v>4</v>
      </c>
      <c r="J150" s="7" t="b">
        <v>0</v>
      </c>
      <c r="K150" s="6">
        <v>350</v>
      </c>
      <c r="L150" s="6">
        <v>2</v>
      </c>
      <c r="M150" s="7" t="s">
        <v>74</v>
      </c>
      <c r="N150" s="7" t="s">
        <v>75</v>
      </c>
      <c r="O150" s="7" t="s">
        <v>57</v>
      </c>
      <c r="P150" s="5">
        <v>41</v>
      </c>
      <c r="Q150" s="4">
        <v>3.1</v>
      </c>
      <c r="R150" s="7" t="b">
        <v>1</v>
      </c>
      <c r="S150" s="7" t="s">
        <v>30</v>
      </c>
      <c r="T150" s="5">
        <v>2043</v>
      </c>
      <c r="U150" s="7" t="s">
        <v>31</v>
      </c>
      <c r="V150" t="s">
        <v>32</v>
      </c>
      <c r="W150" s="7" t="s">
        <v>33</v>
      </c>
    </row>
    <row r="151" spans="1:23" x14ac:dyDescent="0.3">
      <c r="A151" s="6">
        <v>8238</v>
      </c>
      <c r="B151" s="7" t="s">
        <v>277</v>
      </c>
      <c r="C151" s="1">
        <v>45627</v>
      </c>
      <c r="D151" t="s">
        <v>105</v>
      </c>
      <c r="E151" s="8">
        <v>7.99</v>
      </c>
      <c r="F151" s="6">
        <v>460</v>
      </c>
      <c r="G151" s="7" t="s">
        <v>73</v>
      </c>
      <c r="H151" s="6">
        <v>3</v>
      </c>
      <c r="I151" s="6">
        <v>5</v>
      </c>
      <c r="J151" s="7" t="b">
        <v>0</v>
      </c>
      <c r="K151" s="6">
        <v>26</v>
      </c>
      <c r="L151" s="6">
        <v>2</v>
      </c>
      <c r="M151" s="7" t="s">
        <v>92</v>
      </c>
      <c r="N151" s="7" t="s">
        <v>28</v>
      </c>
      <c r="O151" s="7" t="s">
        <v>37</v>
      </c>
      <c r="P151" s="5">
        <v>39</v>
      </c>
      <c r="Q151" s="4">
        <v>4.8</v>
      </c>
      <c r="R151" s="7" t="b">
        <v>0</v>
      </c>
      <c r="S151" s="7" t="s">
        <v>30</v>
      </c>
      <c r="T151" s="5">
        <v>882</v>
      </c>
      <c r="U151" s="7" t="s">
        <v>31</v>
      </c>
      <c r="V151" t="s">
        <v>69</v>
      </c>
      <c r="W151" s="7" t="s">
        <v>33</v>
      </c>
    </row>
    <row r="152" spans="1:23" x14ac:dyDescent="0.3">
      <c r="A152" s="6">
        <v>8261</v>
      </c>
      <c r="B152" s="7" t="s">
        <v>153</v>
      </c>
      <c r="C152" t="s">
        <v>278</v>
      </c>
      <c r="D152" s="1">
        <v>45394</v>
      </c>
      <c r="E152" s="8">
        <v>7.99</v>
      </c>
      <c r="F152" s="6">
        <v>374</v>
      </c>
      <c r="G152" s="7" t="s">
        <v>73</v>
      </c>
      <c r="H152" s="6">
        <v>1</v>
      </c>
      <c r="I152" s="6">
        <v>3</v>
      </c>
      <c r="J152" s="7" t="b">
        <v>1</v>
      </c>
      <c r="K152" s="6">
        <v>819</v>
      </c>
      <c r="L152" s="6">
        <v>18</v>
      </c>
      <c r="M152" s="7" t="s">
        <v>74</v>
      </c>
      <c r="N152" s="7" t="s">
        <v>44</v>
      </c>
      <c r="O152" s="7" t="s">
        <v>29</v>
      </c>
      <c r="P152" s="5">
        <v>12</v>
      </c>
      <c r="Q152" s="4">
        <v>3.4</v>
      </c>
      <c r="R152" s="7" t="b">
        <v>1</v>
      </c>
      <c r="S152" s="7" t="s">
        <v>30</v>
      </c>
      <c r="T152" s="5">
        <v>4243</v>
      </c>
      <c r="U152" s="7" t="s">
        <v>65</v>
      </c>
      <c r="V152" t="s">
        <v>39</v>
      </c>
      <c r="W152" s="7" t="s">
        <v>60</v>
      </c>
    </row>
    <row r="153" spans="1:23" x14ac:dyDescent="0.3">
      <c r="A153" s="6">
        <v>7729</v>
      </c>
      <c r="B153" s="7" t="s">
        <v>118</v>
      </c>
      <c r="C153" t="s">
        <v>279</v>
      </c>
      <c r="D153" s="1">
        <v>45608</v>
      </c>
      <c r="E153" s="8">
        <v>11.99</v>
      </c>
      <c r="F153" s="6">
        <v>147</v>
      </c>
      <c r="G153" s="7" t="s">
        <v>100</v>
      </c>
      <c r="H153" s="6">
        <v>5</v>
      </c>
      <c r="I153" s="6">
        <v>4</v>
      </c>
      <c r="J153" s="7" t="b">
        <v>0</v>
      </c>
      <c r="K153" s="6">
        <v>27</v>
      </c>
      <c r="L153" s="6">
        <v>175</v>
      </c>
      <c r="M153" s="7" t="s">
        <v>74</v>
      </c>
      <c r="N153" s="7" t="s">
        <v>28</v>
      </c>
      <c r="O153" s="7" t="s">
        <v>29</v>
      </c>
      <c r="P153" s="5">
        <v>78</v>
      </c>
      <c r="Q153" s="4">
        <v>4</v>
      </c>
      <c r="R153" s="7" t="b">
        <v>1</v>
      </c>
      <c r="S153" s="7" t="s">
        <v>30</v>
      </c>
      <c r="T153" s="5">
        <v>2218</v>
      </c>
      <c r="U153" s="7" t="s">
        <v>38</v>
      </c>
      <c r="V153" t="s">
        <v>69</v>
      </c>
      <c r="W153" s="7" t="s">
        <v>93</v>
      </c>
    </row>
    <row r="154" spans="1:23" x14ac:dyDescent="0.3">
      <c r="A154" s="6">
        <v>8616</v>
      </c>
      <c r="B154" s="7" t="s">
        <v>224</v>
      </c>
      <c r="C154" s="1">
        <v>45303</v>
      </c>
      <c r="D154" s="1">
        <v>45394</v>
      </c>
      <c r="E154" s="8">
        <v>11.99</v>
      </c>
      <c r="F154" s="6">
        <v>129</v>
      </c>
      <c r="G154" s="7" t="s">
        <v>63</v>
      </c>
      <c r="H154" s="6">
        <v>4</v>
      </c>
      <c r="I154" s="6">
        <v>6</v>
      </c>
      <c r="J154" s="7" t="b">
        <v>0</v>
      </c>
      <c r="K154" s="6">
        <v>543</v>
      </c>
      <c r="L154" s="6">
        <v>126</v>
      </c>
      <c r="M154" s="7" t="s">
        <v>49</v>
      </c>
      <c r="N154" s="7" t="s">
        <v>44</v>
      </c>
      <c r="O154" s="7" t="s">
        <v>45</v>
      </c>
      <c r="P154" s="5">
        <v>95</v>
      </c>
      <c r="Q154" s="4">
        <v>3.4</v>
      </c>
      <c r="R154" s="7" t="b">
        <v>1</v>
      </c>
      <c r="S154" s="7" t="s">
        <v>30</v>
      </c>
      <c r="T154" s="5">
        <v>97</v>
      </c>
      <c r="U154" s="7" t="s">
        <v>31</v>
      </c>
      <c r="V154" t="s">
        <v>32</v>
      </c>
      <c r="W154" s="7" t="s">
        <v>33</v>
      </c>
    </row>
    <row r="155" spans="1:23" x14ac:dyDescent="0.3">
      <c r="A155" s="6">
        <v>9734</v>
      </c>
      <c r="B155" s="7" t="s">
        <v>116</v>
      </c>
      <c r="C155" t="s">
        <v>156</v>
      </c>
      <c r="D155" t="s">
        <v>42</v>
      </c>
      <c r="E155" s="8">
        <v>15.99</v>
      </c>
      <c r="F155" s="6">
        <v>217</v>
      </c>
      <c r="G155" s="7" t="s">
        <v>26</v>
      </c>
      <c r="H155" s="6">
        <v>2</v>
      </c>
      <c r="I155" s="6">
        <v>2</v>
      </c>
      <c r="J155" s="7" t="b">
        <v>1</v>
      </c>
      <c r="K155" s="6">
        <v>872</v>
      </c>
      <c r="L155" s="6">
        <v>8</v>
      </c>
      <c r="M155" s="7" t="s">
        <v>43</v>
      </c>
      <c r="N155" s="7" t="s">
        <v>75</v>
      </c>
      <c r="O155" s="7" t="s">
        <v>78</v>
      </c>
      <c r="P155" s="5">
        <v>51</v>
      </c>
      <c r="Q155" s="4">
        <v>3.6</v>
      </c>
      <c r="R155" s="7" t="b">
        <v>1</v>
      </c>
      <c r="S155" s="7" t="s">
        <v>30</v>
      </c>
      <c r="T155" s="5">
        <v>4928</v>
      </c>
      <c r="U155" s="7" t="s">
        <v>65</v>
      </c>
      <c r="V155" t="s">
        <v>32</v>
      </c>
      <c r="W155" s="7" t="s">
        <v>33</v>
      </c>
    </row>
    <row r="156" spans="1:23" x14ac:dyDescent="0.3">
      <c r="A156" s="6">
        <v>2086</v>
      </c>
      <c r="B156" s="7" t="s">
        <v>280</v>
      </c>
      <c r="C156" s="1">
        <v>45265</v>
      </c>
      <c r="D156" t="s">
        <v>54</v>
      </c>
      <c r="E156" s="8">
        <v>7.99</v>
      </c>
      <c r="F156" s="6">
        <v>426</v>
      </c>
      <c r="G156" s="7" t="s">
        <v>36</v>
      </c>
      <c r="H156" s="6">
        <v>4</v>
      </c>
      <c r="I156" s="6">
        <v>1</v>
      </c>
      <c r="J156" s="7" t="b">
        <v>0</v>
      </c>
      <c r="K156" s="6">
        <v>606</v>
      </c>
      <c r="L156" s="6">
        <v>135</v>
      </c>
      <c r="M156" s="7" t="s">
        <v>27</v>
      </c>
      <c r="N156" s="7" t="s">
        <v>28</v>
      </c>
      <c r="O156" s="7" t="s">
        <v>37</v>
      </c>
      <c r="P156" s="5">
        <v>50</v>
      </c>
      <c r="Q156" s="4">
        <v>3.8</v>
      </c>
      <c r="R156" s="7" t="b">
        <v>1</v>
      </c>
      <c r="S156" s="7" t="s">
        <v>30</v>
      </c>
      <c r="T156" s="5">
        <v>1982</v>
      </c>
      <c r="U156" s="7" t="s">
        <v>38</v>
      </c>
      <c r="V156" t="s">
        <v>79</v>
      </c>
      <c r="W156" s="7" t="s">
        <v>33</v>
      </c>
    </row>
    <row r="157" spans="1:23" x14ac:dyDescent="0.3">
      <c r="A157" s="6">
        <v>8721</v>
      </c>
      <c r="B157" s="7" t="s">
        <v>281</v>
      </c>
      <c r="C157" t="s">
        <v>282</v>
      </c>
      <c r="D157" s="1">
        <v>45303</v>
      </c>
      <c r="E157" s="8">
        <v>15.99</v>
      </c>
      <c r="F157" s="6">
        <v>81</v>
      </c>
      <c r="G157" s="7" t="s">
        <v>36</v>
      </c>
      <c r="H157" s="6">
        <v>3</v>
      </c>
      <c r="I157" s="6">
        <v>5</v>
      </c>
      <c r="J157" s="7" t="b">
        <v>0</v>
      </c>
      <c r="K157" s="6">
        <v>394</v>
      </c>
      <c r="L157" s="6">
        <v>168</v>
      </c>
      <c r="M157" s="7" t="s">
        <v>43</v>
      </c>
      <c r="N157" s="7" t="s">
        <v>75</v>
      </c>
      <c r="O157" s="7" t="s">
        <v>45</v>
      </c>
      <c r="P157" s="5">
        <v>21</v>
      </c>
      <c r="Q157" s="4">
        <v>4.7</v>
      </c>
      <c r="R157" s="7" t="b">
        <v>1</v>
      </c>
      <c r="S157" s="7" t="s">
        <v>30</v>
      </c>
      <c r="T157" s="5">
        <v>510</v>
      </c>
      <c r="U157" s="7" t="s">
        <v>58</v>
      </c>
      <c r="V157" t="s">
        <v>59</v>
      </c>
      <c r="W157" s="7" t="s">
        <v>33</v>
      </c>
    </row>
    <row r="158" spans="1:23" x14ac:dyDescent="0.3">
      <c r="A158" s="6">
        <v>1075</v>
      </c>
      <c r="B158" s="7" t="s">
        <v>283</v>
      </c>
      <c r="C158" s="1">
        <v>45051</v>
      </c>
      <c r="D158" t="s">
        <v>105</v>
      </c>
      <c r="E158" s="8">
        <v>7.99</v>
      </c>
      <c r="F158" s="6">
        <v>296</v>
      </c>
      <c r="G158" s="7" t="s">
        <v>100</v>
      </c>
      <c r="H158" s="6">
        <v>3</v>
      </c>
      <c r="I158" s="6">
        <v>2</v>
      </c>
      <c r="J158" s="7" t="b">
        <v>1</v>
      </c>
      <c r="K158" s="6">
        <v>411</v>
      </c>
      <c r="L158" s="6">
        <v>96</v>
      </c>
      <c r="M158" s="7" t="s">
        <v>27</v>
      </c>
      <c r="N158" s="7" t="s">
        <v>75</v>
      </c>
      <c r="O158" s="7" t="s">
        <v>64</v>
      </c>
      <c r="P158" s="5">
        <v>1</v>
      </c>
      <c r="Q158" s="4">
        <v>3.1</v>
      </c>
      <c r="R158" s="7" t="b">
        <v>0</v>
      </c>
      <c r="S158" s="7" t="s">
        <v>30</v>
      </c>
      <c r="T158" s="5">
        <v>2508</v>
      </c>
      <c r="U158" s="7" t="s">
        <v>76</v>
      </c>
      <c r="V158" t="s">
        <v>59</v>
      </c>
      <c r="W158" s="7" t="s">
        <v>40</v>
      </c>
    </row>
    <row r="159" spans="1:23" x14ac:dyDescent="0.3">
      <c r="A159" s="6">
        <v>2690</v>
      </c>
      <c r="B159" s="7" t="s">
        <v>177</v>
      </c>
      <c r="C159" s="1">
        <v>45055</v>
      </c>
      <c r="D159" t="s">
        <v>168</v>
      </c>
      <c r="E159" s="8">
        <v>15.99</v>
      </c>
      <c r="F159" s="6">
        <v>466</v>
      </c>
      <c r="G159" s="7" t="s">
        <v>48</v>
      </c>
      <c r="H159" s="6">
        <v>3</v>
      </c>
      <c r="I159" s="6">
        <v>2</v>
      </c>
      <c r="J159" s="7" t="b">
        <v>0</v>
      </c>
      <c r="K159" s="6">
        <v>977</v>
      </c>
      <c r="L159" s="6">
        <v>94</v>
      </c>
      <c r="M159" s="7" t="s">
        <v>92</v>
      </c>
      <c r="N159" s="7" t="s">
        <v>75</v>
      </c>
      <c r="O159" s="7" t="s">
        <v>45</v>
      </c>
      <c r="P159" s="5">
        <v>67</v>
      </c>
      <c r="Q159" s="4">
        <v>3.6</v>
      </c>
      <c r="R159" s="7" t="b">
        <v>1</v>
      </c>
      <c r="S159" s="7" t="s">
        <v>30</v>
      </c>
      <c r="T159" s="5">
        <v>4004</v>
      </c>
      <c r="U159" s="7" t="s">
        <v>31</v>
      </c>
      <c r="V159" t="s">
        <v>32</v>
      </c>
      <c r="W159" s="7" t="s">
        <v>93</v>
      </c>
    </row>
    <row r="160" spans="1:23" x14ac:dyDescent="0.3">
      <c r="A160" s="6">
        <v>7654</v>
      </c>
      <c r="B160" s="7" t="s">
        <v>120</v>
      </c>
      <c r="C160" t="s">
        <v>167</v>
      </c>
      <c r="D160" t="s">
        <v>99</v>
      </c>
      <c r="E160" s="8">
        <v>11.99</v>
      </c>
      <c r="F160" s="6">
        <v>424</v>
      </c>
      <c r="G160" s="7" t="s">
        <v>63</v>
      </c>
      <c r="H160" s="6">
        <v>5</v>
      </c>
      <c r="I160" s="6">
        <v>2</v>
      </c>
      <c r="J160" s="7" t="b">
        <v>0</v>
      </c>
      <c r="K160" s="6">
        <v>406</v>
      </c>
      <c r="L160" s="6">
        <v>150</v>
      </c>
      <c r="M160" s="7" t="s">
        <v>43</v>
      </c>
      <c r="N160" s="7" t="s">
        <v>44</v>
      </c>
      <c r="O160" s="7" t="s">
        <v>57</v>
      </c>
      <c r="P160" s="5">
        <v>50</v>
      </c>
      <c r="Q160" s="4">
        <v>3.5</v>
      </c>
      <c r="R160" s="7" t="b">
        <v>0</v>
      </c>
      <c r="S160" s="7" t="s">
        <v>30</v>
      </c>
      <c r="T160" s="5">
        <v>494</v>
      </c>
      <c r="U160" s="7" t="s">
        <v>58</v>
      </c>
      <c r="V160" t="s">
        <v>39</v>
      </c>
      <c r="W160" s="7" t="s">
        <v>33</v>
      </c>
    </row>
    <row r="161" spans="1:23" x14ac:dyDescent="0.3">
      <c r="A161" s="6">
        <v>7577</v>
      </c>
      <c r="B161" s="7" t="s">
        <v>284</v>
      </c>
      <c r="C161" t="s">
        <v>285</v>
      </c>
      <c r="D161" s="1">
        <v>45363</v>
      </c>
      <c r="E161" s="8">
        <v>15.99</v>
      </c>
      <c r="F161" s="6">
        <v>233</v>
      </c>
      <c r="G161" s="7" t="s">
        <v>48</v>
      </c>
      <c r="H161" s="6">
        <v>2</v>
      </c>
      <c r="I161" s="6">
        <v>5</v>
      </c>
      <c r="J161" s="7" t="b">
        <v>1</v>
      </c>
      <c r="K161" s="6">
        <v>781</v>
      </c>
      <c r="L161" s="6">
        <v>23</v>
      </c>
      <c r="M161" s="7" t="s">
        <v>92</v>
      </c>
      <c r="N161" s="7" t="s">
        <v>56</v>
      </c>
      <c r="O161" s="7" t="s">
        <v>29</v>
      </c>
      <c r="P161" s="5">
        <v>89</v>
      </c>
      <c r="Q161" s="4">
        <v>3.3</v>
      </c>
      <c r="R161" s="7" t="b">
        <v>0</v>
      </c>
      <c r="S161" s="7" t="s">
        <v>30</v>
      </c>
      <c r="T161" s="5">
        <v>460</v>
      </c>
      <c r="U161" s="7" t="s">
        <v>76</v>
      </c>
      <c r="V161" t="s">
        <v>69</v>
      </c>
      <c r="W161" s="7" t="s">
        <v>60</v>
      </c>
    </row>
    <row r="162" spans="1:23" x14ac:dyDescent="0.3">
      <c r="A162" s="6">
        <v>9814</v>
      </c>
      <c r="B162" s="7" t="s">
        <v>286</v>
      </c>
      <c r="C162" s="1">
        <v>45604</v>
      </c>
      <c r="D162" t="s">
        <v>99</v>
      </c>
      <c r="E162" s="8">
        <v>11.99</v>
      </c>
      <c r="F162" s="6">
        <v>413</v>
      </c>
      <c r="G162" s="7" t="s">
        <v>73</v>
      </c>
      <c r="H162" s="6">
        <v>1</v>
      </c>
      <c r="I162" s="6">
        <v>6</v>
      </c>
      <c r="J162" s="7" t="b">
        <v>1</v>
      </c>
      <c r="K162" s="6">
        <v>330</v>
      </c>
      <c r="L162" s="6">
        <v>63</v>
      </c>
      <c r="M162" s="7" t="s">
        <v>27</v>
      </c>
      <c r="N162" s="7" t="s">
        <v>28</v>
      </c>
      <c r="O162" s="7" t="s">
        <v>78</v>
      </c>
      <c r="P162" s="5">
        <v>50</v>
      </c>
      <c r="Q162" s="4">
        <v>4.0999999999999996</v>
      </c>
      <c r="R162" s="7" t="b">
        <v>1</v>
      </c>
      <c r="S162" s="7" t="s">
        <v>30</v>
      </c>
      <c r="T162" s="5">
        <v>1416</v>
      </c>
      <c r="U162" s="7" t="s">
        <v>58</v>
      </c>
      <c r="V162" t="s">
        <v>69</v>
      </c>
      <c r="W162" s="7" t="s">
        <v>33</v>
      </c>
    </row>
    <row r="163" spans="1:23" x14ac:dyDescent="0.3">
      <c r="A163" s="6">
        <v>5423</v>
      </c>
      <c r="B163" s="7" t="s">
        <v>50</v>
      </c>
      <c r="C163" t="s">
        <v>287</v>
      </c>
      <c r="D163" t="s">
        <v>54</v>
      </c>
      <c r="E163" s="8">
        <v>7.99</v>
      </c>
      <c r="F163" s="6">
        <v>278</v>
      </c>
      <c r="G163" s="7" t="s">
        <v>26</v>
      </c>
      <c r="H163" s="6">
        <v>1</v>
      </c>
      <c r="I163" s="6">
        <v>5</v>
      </c>
      <c r="J163" s="7" t="b">
        <v>1</v>
      </c>
      <c r="K163" s="6">
        <v>163</v>
      </c>
      <c r="L163" s="6">
        <v>88</v>
      </c>
      <c r="M163" s="7" t="s">
        <v>68</v>
      </c>
      <c r="N163" s="7" t="s">
        <v>28</v>
      </c>
      <c r="O163" s="7" t="s">
        <v>45</v>
      </c>
      <c r="P163" s="5">
        <v>62</v>
      </c>
      <c r="Q163" s="4">
        <v>3.2</v>
      </c>
      <c r="R163" s="7" t="b">
        <v>0</v>
      </c>
      <c r="S163" s="7" t="s">
        <v>30</v>
      </c>
      <c r="T163" s="5">
        <v>4798</v>
      </c>
      <c r="U163" s="7" t="s">
        <v>31</v>
      </c>
      <c r="V163" t="s">
        <v>69</v>
      </c>
      <c r="W163" s="7" t="s">
        <v>93</v>
      </c>
    </row>
    <row r="164" spans="1:23" x14ac:dyDescent="0.3">
      <c r="A164" s="6">
        <v>2660</v>
      </c>
      <c r="B164" s="7" t="s">
        <v>288</v>
      </c>
      <c r="C164" t="s">
        <v>289</v>
      </c>
      <c r="D164" s="1">
        <v>45394</v>
      </c>
      <c r="E164" s="8">
        <v>11.99</v>
      </c>
      <c r="F164" s="6">
        <v>351</v>
      </c>
      <c r="G164" s="7" t="s">
        <v>63</v>
      </c>
      <c r="H164" s="6">
        <v>1</v>
      </c>
      <c r="I164" s="6">
        <v>1</v>
      </c>
      <c r="J164" s="7" t="b">
        <v>1</v>
      </c>
      <c r="K164" s="6">
        <v>80</v>
      </c>
      <c r="L164" s="6">
        <v>70</v>
      </c>
      <c r="M164" s="7" t="s">
        <v>27</v>
      </c>
      <c r="N164" s="7" t="s">
        <v>56</v>
      </c>
      <c r="O164" s="7" t="s">
        <v>37</v>
      </c>
      <c r="P164" s="5">
        <v>54</v>
      </c>
      <c r="Q164" s="4">
        <v>4.5</v>
      </c>
      <c r="R164" s="7" t="b">
        <v>1</v>
      </c>
      <c r="S164" s="7" t="s">
        <v>30</v>
      </c>
      <c r="T164" s="5">
        <v>732</v>
      </c>
      <c r="U164" s="7" t="s">
        <v>76</v>
      </c>
      <c r="V164" t="s">
        <v>32</v>
      </c>
      <c r="W164" s="7" t="s">
        <v>40</v>
      </c>
    </row>
    <row r="165" spans="1:23" x14ac:dyDescent="0.3">
      <c r="A165" s="6">
        <v>4206</v>
      </c>
      <c r="B165" s="7" t="s">
        <v>190</v>
      </c>
      <c r="C165" s="1">
        <v>45386</v>
      </c>
      <c r="D165" s="1">
        <v>45455</v>
      </c>
      <c r="E165" s="8">
        <v>11.99</v>
      </c>
      <c r="F165" s="6">
        <v>354</v>
      </c>
      <c r="G165" s="7" t="s">
        <v>100</v>
      </c>
      <c r="H165" s="6">
        <v>1</v>
      </c>
      <c r="I165" s="6">
        <v>3</v>
      </c>
      <c r="J165" s="7" t="b">
        <v>0</v>
      </c>
      <c r="K165" s="6">
        <v>885</v>
      </c>
      <c r="L165" s="6">
        <v>65</v>
      </c>
      <c r="M165" s="7" t="s">
        <v>49</v>
      </c>
      <c r="N165" s="7" t="s">
        <v>56</v>
      </c>
      <c r="O165" s="7" t="s">
        <v>64</v>
      </c>
      <c r="P165" s="5">
        <v>70</v>
      </c>
      <c r="Q165" s="4">
        <v>4.7</v>
      </c>
      <c r="R165" s="7" t="b">
        <v>0</v>
      </c>
      <c r="S165" s="7" t="s">
        <v>30</v>
      </c>
      <c r="T165" s="5">
        <v>4008</v>
      </c>
      <c r="U165" s="7" t="s">
        <v>58</v>
      </c>
      <c r="V165" t="s">
        <v>59</v>
      </c>
      <c r="W165" s="7" t="s">
        <v>93</v>
      </c>
    </row>
    <row r="166" spans="1:23" x14ac:dyDescent="0.3">
      <c r="A166" s="6">
        <v>5269</v>
      </c>
      <c r="B166" s="7" t="s">
        <v>50</v>
      </c>
      <c r="C166" s="1">
        <v>45080</v>
      </c>
      <c r="D166" s="1">
        <v>45394</v>
      </c>
      <c r="E166" s="8">
        <v>11.99</v>
      </c>
      <c r="F166" s="6">
        <v>192</v>
      </c>
      <c r="G166" s="7" t="s">
        <v>73</v>
      </c>
      <c r="H166" s="6">
        <v>5</v>
      </c>
      <c r="I166" s="6">
        <v>4</v>
      </c>
      <c r="J166" s="7" t="b">
        <v>0</v>
      </c>
      <c r="K166" s="6">
        <v>123</v>
      </c>
      <c r="L166" s="6">
        <v>34</v>
      </c>
      <c r="M166" s="7" t="s">
        <v>55</v>
      </c>
      <c r="N166" s="7" t="s">
        <v>75</v>
      </c>
      <c r="O166" s="7" t="s">
        <v>64</v>
      </c>
      <c r="P166" s="5">
        <v>73</v>
      </c>
      <c r="Q166" s="4">
        <v>3.8</v>
      </c>
      <c r="R166" s="7" t="b">
        <v>1</v>
      </c>
      <c r="S166" s="7" t="s">
        <v>30</v>
      </c>
      <c r="T166" s="5">
        <v>4868</v>
      </c>
      <c r="U166" s="7" t="s">
        <v>76</v>
      </c>
      <c r="V166" t="s">
        <v>69</v>
      </c>
      <c r="W166" s="7" t="s">
        <v>60</v>
      </c>
    </row>
    <row r="167" spans="1:23" x14ac:dyDescent="0.3">
      <c r="A167" s="6">
        <v>7922</v>
      </c>
      <c r="B167" s="7" t="s">
        <v>290</v>
      </c>
      <c r="C167" t="s">
        <v>182</v>
      </c>
      <c r="D167" t="s">
        <v>103</v>
      </c>
      <c r="E167" s="8">
        <v>7.99</v>
      </c>
      <c r="F167" s="6">
        <v>176</v>
      </c>
      <c r="G167" s="7" t="s">
        <v>51</v>
      </c>
      <c r="H167" s="6">
        <v>4</v>
      </c>
      <c r="I167" s="6">
        <v>6</v>
      </c>
      <c r="J167" s="7" t="b">
        <v>1</v>
      </c>
      <c r="K167" s="6">
        <v>830</v>
      </c>
      <c r="L167" s="6">
        <v>74</v>
      </c>
      <c r="M167" s="7" t="s">
        <v>49</v>
      </c>
      <c r="N167" s="7" t="s">
        <v>28</v>
      </c>
      <c r="O167" s="7" t="s">
        <v>37</v>
      </c>
      <c r="P167" s="5">
        <v>66</v>
      </c>
      <c r="Q167" s="4">
        <v>3.5</v>
      </c>
      <c r="R167" s="7" t="b">
        <v>1</v>
      </c>
      <c r="S167" s="7" t="s">
        <v>30</v>
      </c>
      <c r="T167" s="5">
        <v>2600</v>
      </c>
      <c r="U167" s="7" t="s">
        <v>76</v>
      </c>
      <c r="V167" t="s">
        <v>32</v>
      </c>
      <c r="W167" s="7" t="s">
        <v>40</v>
      </c>
    </row>
    <row r="168" spans="1:23" x14ac:dyDescent="0.3">
      <c r="A168" s="6">
        <v>7829</v>
      </c>
      <c r="B168" s="7" t="s">
        <v>291</v>
      </c>
      <c r="C168" t="s">
        <v>292</v>
      </c>
      <c r="D168" t="s">
        <v>103</v>
      </c>
      <c r="E168" s="8">
        <v>7.99</v>
      </c>
      <c r="F168" s="6">
        <v>482</v>
      </c>
      <c r="G168" s="7" t="s">
        <v>73</v>
      </c>
      <c r="H168" s="6">
        <v>1</v>
      </c>
      <c r="I168" s="6">
        <v>4</v>
      </c>
      <c r="J168" s="7" t="b">
        <v>1</v>
      </c>
      <c r="K168" s="6">
        <v>770</v>
      </c>
      <c r="L168" s="6">
        <v>129</v>
      </c>
      <c r="M168" s="7" t="s">
        <v>43</v>
      </c>
      <c r="N168" s="7" t="s">
        <v>28</v>
      </c>
      <c r="O168" s="7" t="s">
        <v>45</v>
      </c>
      <c r="P168" s="5">
        <v>0</v>
      </c>
      <c r="Q168" s="4">
        <v>3.7</v>
      </c>
      <c r="R168" s="7" t="b">
        <v>1</v>
      </c>
      <c r="S168" s="7" t="s">
        <v>30</v>
      </c>
      <c r="T168" s="5">
        <v>3247</v>
      </c>
      <c r="U168" s="7" t="s">
        <v>65</v>
      </c>
      <c r="V168" t="s">
        <v>39</v>
      </c>
      <c r="W168" s="7" t="s">
        <v>60</v>
      </c>
    </row>
    <row r="169" spans="1:23" x14ac:dyDescent="0.3">
      <c r="A169" s="6">
        <v>1715</v>
      </c>
      <c r="B169" s="7" t="s">
        <v>254</v>
      </c>
      <c r="C169" t="s">
        <v>293</v>
      </c>
      <c r="D169" s="1">
        <v>45394</v>
      </c>
      <c r="E169" s="8">
        <v>7.99</v>
      </c>
      <c r="F169" s="6">
        <v>87</v>
      </c>
      <c r="G169" s="7" t="s">
        <v>36</v>
      </c>
      <c r="H169" s="6">
        <v>3</v>
      </c>
      <c r="I169" s="6">
        <v>5</v>
      </c>
      <c r="J169" s="7" t="b">
        <v>1</v>
      </c>
      <c r="K169" s="6">
        <v>753</v>
      </c>
      <c r="L169" s="6">
        <v>181</v>
      </c>
      <c r="M169" s="7" t="s">
        <v>49</v>
      </c>
      <c r="N169" s="7" t="s">
        <v>44</v>
      </c>
      <c r="O169" s="7" t="s">
        <v>29</v>
      </c>
      <c r="P169" s="5">
        <v>51</v>
      </c>
      <c r="Q169" s="4">
        <v>3.1</v>
      </c>
      <c r="R169" s="7" t="b">
        <v>1</v>
      </c>
      <c r="S169" s="7" t="s">
        <v>30</v>
      </c>
      <c r="T169" s="5">
        <v>941</v>
      </c>
      <c r="U169" s="7" t="s">
        <v>31</v>
      </c>
      <c r="V169" t="s">
        <v>59</v>
      </c>
      <c r="W169" s="7" t="s">
        <v>93</v>
      </c>
    </row>
    <row r="170" spans="1:23" x14ac:dyDescent="0.3">
      <c r="A170" s="6">
        <v>2639</v>
      </c>
      <c r="B170" s="7" t="s">
        <v>294</v>
      </c>
      <c r="C170" t="s">
        <v>155</v>
      </c>
      <c r="D170" s="1">
        <v>45485</v>
      </c>
      <c r="E170" s="8">
        <v>11.99</v>
      </c>
      <c r="F170" s="6">
        <v>163</v>
      </c>
      <c r="G170" s="7" t="s">
        <v>36</v>
      </c>
      <c r="H170" s="6">
        <v>5</v>
      </c>
      <c r="I170" s="6">
        <v>1</v>
      </c>
      <c r="J170" s="7" t="b">
        <v>1</v>
      </c>
      <c r="K170" s="6">
        <v>38</v>
      </c>
      <c r="L170" s="6">
        <v>53</v>
      </c>
      <c r="M170" s="7" t="s">
        <v>68</v>
      </c>
      <c r="N170" s="7" t="s">
        <v>44</v>
      </c>
      <c r="O170" s="7" t="s">
        <v>64</v>
      </c>
      <c r="P170" s="5">
        <v>37</v>
      </c>
      <c r="Q170" s="4">
        <v>4.5999999999999996</v>
      </c>
      <c r="R170" s="7" t="b">
        <v>0</v>
      </c>
      <c r="S170" s="7" t="s">
        <v>30</v>
      </c>
      <c r="T170" s="5">
        <v>1934</v>
      </c>
      <c r="U170" s="7" t="s">
        <v>31</v>
      </c>
      <c r="V170" t="s">
        <v>32</v>
      </c>
      <c r="W170" s="7" t="s">
        <v>40</v>
      </c>
    </row>
    <row r="171" spans="1:23" x14ac:dyDescent="0.3">
      <c r="A171" s="6">
        <v>1801</v>
      </c>
      <c r="B171" s="7" t="s">
        <v>174</v>
      </c>
      <c r="C171" t="s">
        <v>295</v>
      </c>
      <c r="D171" t="s">
        <v>25</v>
      </c>
      <c r="E171" s="8">
        <v>11.99</v>
      </c>
      <c r="F171" s="6">
        <v>419</v>
      </c>
      <c r="G171" s="7" t="s">
        <v>63</v>
      </c>
      <c r="H171" s="6">
        <v>4</v>
      </c>
      <c r="I171" s="6">
        <v>5</v>
      </c>
      <c r="J171" s="7" t="b">
        <v>0</v>
      </c>
      <c r="K171" s="6">
        <v>386</v>
      </c>
      <c r="L171" s="6">
        <v>122</v>
      </c>
      <c r="M171" s="7" t="s">
        <v>74</v>
      </c>
      <c r="N171" s="7" t="s">
        <v>56</v>
      </c>
      <c r="O171" s="7" t="s">
        <v>37</v>
      </c>
      <c r="P171" s="5">
        <v>9</v>
      </c>
      <c r="Q171" s="4">
        <v>4.5999999999999996</v>
      </c>
      <c r="R171" s="7" t="b">
        <v>0</v>
      </c>
      <c r="S171" s="7" t="s">
        <v>30</v>
      </c>
      <c r="T171" s="5">
        <v>4650</v>
      </c>
      <c r="U171" s="7" t="s">
        <v>38</v>
      </c>
      <c r="V171" t="s">
        <v>69</v>
      </c>
      <c r="W171" s="7" t="s">
        <v>33</v>
      </c>
    </row>
    <row r="172" spans="1:23" x14ac:dyDescent="0.3">
      <c r="A172" s="6">
        <v>9163</v>
      </c>
      <c r="B172" s="7" t="s">
        <v>274</v>
      </c>
      <c r="C172" s="1">
        <v>45020</v>
      </c>
      <c r="D172" t="s">
        <v>99</v>
      </c>
      <c r="E172" s="8">
        <v>11.99</v>
      </c>
      <c r="F172" s="6">
        <v>203</v>
      </c>
      <c r="G172" s="7" t="s">
        <v>48</v>
      </c>
      <c r="H172" s="6">
        <v>4</v>
      </c>
      <c r="I172" s="6">
        <v>4</v>
      </c>
      <c r="J172" s="7" t="b">
        <v>1</v>
      </c>
      <c r="K172" s="6">
        <v>874</v>
      </c>
      <c r="L172" s="6">
        <v>67</v>
      </c>
      <c r="M172" s="7" t="s">
        <v>55</v>
      </c>
      <c r="N172" s="7" t="s">
        <v>44</v>
      </c>
      <c r="O172" s="7" t="s">
        <v>78</v>
      </c>
      <c r="P172" s="5">
        <v>94</v>
      </c>
      <c r="Q172" s="4">
        <v>3.9</v>
      </c>
      <c r="R172" s="7" t="b">
        <v>1</v>
      </c>
      <c r="S172" s="7" t="s">
        <v>30</v>
      </c>
      <c r="T172" s="5">
        <v>4450</v>
      </c>
      <c r="U172" s="7" t="s">
        <v>31</v>
      </c>
      <c r="V172" t="s">
        <v>32</v>
      </c>
      <c r="W172" s="7" t="s">
        <v>93</v>
      </c>
    </row>
    <row r="173" spans="1:23" x14ac:dyDescent="0.3">
      <c r="A173" s="6">
        <v>1284</v>
      </c>
      <c r="B173" s="7" t="s">
        <v>157</v>
      </c>
      <c r="C173" s="1">
        <v>45394</v>
      </c>
      <c r="D173" s="1">
        <v>45303</v>
      </c>
      <c r="E173" s="8">
        <v>7.99</v>
      </c>
      <c r="F173" s="6">
        <v>405</v>
      </c>
      <c r="G173" s="7" t="s">
        <v>73</v>
      </c>
      <c r="H173" s="6">
        <v>4</v>
      </c>
      <c r="I173" s="6">
        <v>3</v>
      </c>
      <c r="J173" s="7" t="b">
        <v>1</v>
      </c>
      <c r="K173" s="6">
        <v>695</v>
      </c>
      <c r="L173" s="6">
        <v>85</v>
      </c>
      <c r="M173" s="7" t="s">
        <v>68</v>
      </c>
      <c r="N173" s="7" t="s">
        <v>56</v>
      </c>
      <c r="O173" s="7" t="s">
        <v>78</v>
      </c>
      <c r="P173" s="5">
        <v>42</v>
      </c>
      <c r="Q173" s="4">
        <v>3.7</v>
      </c>
      <c r="R173" s="7" t="b">
        <v>0</v>
      </c>
      <c r="S173" s="7" t="s">
        <v>30</v>
      </c>
      <c r="T173" s="5">
        <v>2395</v>
      </c>
      <c r="U173" s="7" t="s">
        <v>65</v>
      </c>
      <c r="V173" t="s">
        <v>39</v>
      </c>
      <c r="W173" s="7" t="s">
        <v>60</v>
      </c>
    </row>
    <row r="174" spans="1:23" x14ac:dyDescent="0.3">
      <c r="A174" s="6">
        <v>8774</v>
      </c>
      <c r="B174" s="7" t="s">
        <v>296</v>
      </c>
      <c r="C174" s="1">
        <v>44996</v>
      </c>
      <c r="D174" s="1">
        <v>45516</v>
      </c>
      <c r="E174" s="8">
        <v>15.99</v>
      </c>
      <c r="F174" s="6">
        <v>496</v>
      </c>
      <c r="G174" s="7" t="s">
        <v>73</v>
      </c>
      <c r="H174" s="6">
        <v>5</v>
      </c>
      <c r="I174" s="6">
        <v>6</v>
      </c>
      <c r="J174" s="7" t="b">
        <v>0</v>
      </c>
      <c r="K174" s="6">
        <v>803</v>
      </c>
      <c r="L174" s="6">
        <v>130</v>
      </c>
      <c r="M174" s="7" t="s">
        <v>27</v>
      </c>
      <c r="N174" s="7" t="s">
        <v>75</v>
      </c>
      <c r="O174" s="7" t="s">
        <v>78</v>
      </c>
      <c r="P174" s="5">
        <v>4</v>
      </c>
      <c r="Q174" s="4">
        <v>4.8</v>
      </c>
      <c r="R174" s="7" t="b">
        <v>0</v>
      </c>
      <c r="S174" s="7" t="s">
        <v>30</v>
      </c>
      <c r="T174" s="5">
        <v>4504</v>
      </c>
      <c r="U174" s="7" t="s">
        <v>58</v>
      </c>
      <c r="V174" t="s">
        <v>69</v>
      </c>
      <c r="W174" s="7" t="s">
        <v>60</v>
      </c>
    </row>
    <row r="175" spans="1:23" x14ac:dyDescent="0.3">
      <c r="A175" s="6">
        <v>3866</v>
      </c>
      <c r="B175" s="7" t="s">
        <v>297</v>
      </c>
      <c r="C175" s="1">
        <v>45293</v>
      </c>
      <c r="D175" t="s">
        <v>105</v>
      </c>
      <c r="E175" s="8">
        <v>15.99</v>
      </c>
      <c r="F175" s="6">
        <v>328</v>
      </c>
      <c r="G175" s="7" t="s">
        <v>48</v>
      </c>
      <c r="H175" s="6">
        <v>2</v>
      </c>
      <c r="I175" s="6">
        <v>2</v>
      </c>
      <c r="J175" s="7" t="b">
        <v>0</v>
      </c>
      <c r="K175" s="6">
        <v>268</v>
      </c>
      <c r="L175" s="6">
        <v>50</v>
      </c>
      <c r="M175" s="7" t="s">
        <v>74</v>
      </c>
      <c r="N175" s="7" t="s">
        <v>44</v>
      </c>
      <c r="O175" s="7" t="s">
        <v>45</v>
      </c>
      <c r="P175" s="5">
        <v>3</v>
      </c>
      <c r="Q175" s="4">
        <v>4.4000000000000004</v>
      </c>
      <c r="R175" s="7" t="b">
        <v>1</v>
      </c>
      <c r="S175" s="7" t="s">
        <v>30</v>
      </c>
      <c r="T175" s="5">
        <v>3015</v>
      </c>
      <c r="U175" s="7" t="s">
        <v>65</v>
      </c>
      <c r="V175" t="s">
        <v>59</v>
      </c>
      <c r="W175" s="7" t="s">
        <v>40</v>
      </c>
    </row>
    <row r="176" spans="1:23" x14ac:dyDescent="0.3">
      <c r="A176" s="6">
        <v>4477</v>
      </c>
      <c r="B176" s="7" t="s">
        <v>272</v>
      </c>
      <c r="C176" t="s">
        <v>298</v>
      </c>
      <c r="D176" t="s">
        <v>109</v>
      </c>
      <c r="E176" s="8">
        <v>7.99</v>
      </c>
      <c r="F176" s="6">
        <v>85</v>
      </c>
      <c r="G176" s="7" t="s">
        <v>36</v>
      </c>
      <c r="H176" s="6">
        <v>5</v>
      </c>
      <c r="I176" s="6">
        <v>1</v>
      </c>
      <c r="J176" s="7" t="b">
        <v>0</v>
      </c>
      <c r="K176" s="6">
        <v>429</v>
      </c>
      <c r="L176" s="6">
        <v>52</v>
      </c>
      <c r="M176" s="7" t="s">
        <v>49</v>
      </c>
      <c r="N176" s="7" t="s">
        <v>28</v>
      </c>
      <c r="O176" s="7" t="s">
        <v>37</v>
      </c>
      <c r="P176" s="5">
        <v>16</v>
      </c>
      <c r="Q176" s="4">
        <v>3.8</v>
      </c>
      <c r="R176" s="7" t="b">
        <v>0</v>
      </c>
      <c r="S176" s="7" t="s">
        <v>30</v>
      </c>
      <c r="T176" s="5">
        <v>4971</v>
      </c>
      <c r="U176" s="7" t="s">
        <v>31</v>
      </c>
      <c r="V176" t="s">
        <v>69</v>
      </c>
      <c r="W176" s="7" t="s">
        <v>40</v>
      </c>
    </row>
    <row r="177" spans="1:23" x14ac:dyDescent="0.3">
      <c r="A177" s="6">
        <v>4829</v>
      </c>
      <c r="B177" s="7" t="s">
        <v>299</v>
      </c>
      <c r="C177" t="s">
        <v>300</v>
      </c>
      <c r="D177" t="s">
        <v>72</v>
      </c>
      <c r="E177" s="8">
        <v>11.99</v>
      </c>
      <c r="F177" s="6">
        <v>386</v>
      </c>
      <c r="G177" s="7" t="s">
        <v>48</v>
      </c>
      <c r="H177" s="6">
        <v>3</v>
      </c>
      <c r="I177" s="6">
        <v>4</v>
      </c>
      <c r="J177" s="7" t="b">
        <v>0</v>
      </c>
      <c r="K177" s="6">
        <v>62</v>
      </c>
      <c r="L177" s="6">
        <v>50</v>
      </c>
      <c r="M177" s="7" t="s">
        <v>74</v>
      </c>
      <c r="N177" s="7" t="s">
        <v>56</v>
      </c>
      <c r="O177" s="7" t="s">
        <v>29</v>
      </c>
      <c r="P177" s="5">
        <v>44</v>
      </c>
      <c r="Q177" s="4">
        <v>4.7</v>
      </c>
      <c r="R177" s="7" t="b">
        <v>0</v>
      </c>
      <c r="S177" s="7" t="s">
        <v>30</v>
      </c>
      <c r="T177" s="5">
        <v>2377</v>
      </c>
      <c r="U177" s="7" t="s">
        <v>31</v>
      </c>
      <c r="V177" t="s">
        <v>32</v>
      </c>
      <c r="W177" s="7" t="s">
        <v>60</v>
      </c>
    </row>
    <row r="178" spans="1:23" x14ac:dyDescent="0.3">
      <c r="A178" s="6">
        <v>1257</v>
      </c>
      <c r="B178" s="7" t="s">
        <v>257</v>
      </c>
      <c r="C178" s="1">
        <v>45140</v>
      </c>
      <c r="D178" s="1">
        <v>45516</v>
      </c>
      <c r="E178" s="8">
        <v>7.99</v>
      </c>
      <c r="F178" s="6">
        <v>245</v>
      </c>
      <c r="G178" s="7" t="s">
        <v>26</v>
      </c>
      <c r="H178" s="6">
        <v>3</v>
      </c>
      <c r="I178" s="6">
        <v>4</v>
      </c>
      <c r="J178" s="7" t="b">
        <v>0</v>
      </c>
      <c r="K178" s="6">
        <v>831</v>
      </c>
      <c r="L178" s="6">
        <v>15</v>
      </c>
      <c r="M178" s="7" t="s">
        <v>43</v>
      </c>
      <c r="N178" s="7" t="s">
        <v>28</v>
      </c>
      <c r="O178" s="7" t="s">
        <v>37</v>
      </c>
      <c r="P178" s="5">
        <v>64</v>
      </c>
      <c r="Q178" s="4">
        <v>4.9000000000000004</v>
      </c>
      <c r="R178" s="7" t="b">
        <v>0</v>
      </c>
      <c r="S178" s="7" t="s">
        <v>30</v>
      </c>
      <c r="T178" s="5">
        <v>212</v>
      </c>
      <c r="U178" s="7" t="s">
        <v>76</v>
      </c>
      <c r="V178" t="s">
        <v>69</v>
      </c>
      <c r="W178" s="7" t="s">
        <v>93</v>
      </c>
    </row>
    <row r="179" spans="1:23" x14ac:dyDescent="0.3">
      <c r="A179" s="6">
        <v>1897</v>
      </c>
      <c r="B179" s="7" t="s">
        <v>301</v>
      </c>
      <c r="C179" t="s">
        <v>273</v>
      </c>
      <c r="D179" t="s">
        <v>129</v>
      </c>
      <c r="E179" s="8">
        <v>11.99</v>
      </c>
      <c r="F179" s="6">
        <v>97</v>
      </c>
      <c r="G179" s="7" t="s">
        <v>63</v>
      </c>
      <c r="H179" s="6">
        <v>5</v>
      </c>
      <c r="I179" s="6">
        <v>5</v>
      </c>
      <c r="J179" s="7" t="b">
        <v>1</v>
      </c>
      <c r="K179" s="6">
        <v>737</v>
      </c>
      <c r="L179" s="6">
        <v>85</v>
      </c>
      <c r="M179" s="7" t="s">
        <v>55</v>
      </c>
      <c r="N179" s="7" t="s">
        <v>28</v>
      </c>
      <c r="O179" s="7" t="s">
        <v>78</v>
      </c>
      <c r="P179" s="5">
        <v>80</v>
      </c>
      <c r="Q179" s="4">
        <v>3.6</v>
      </c>
      <c r="R179" s="7" t="b">
        <v>1</v>
      </c>
      <c r="S179" s="7" t="s">
        <v>30</v>
      </c>
      <c r="T179" s="5">
        <v>188</v>
      </c>
      <c r="U179" s="7" t="s">
        <v>31</v>
      </c>
      <c r="V179" t="s">
        <v>79</v>
      </c>
      <c r="W179" s="7" t="s">
        <v>93</v>
      </c>
    </row>
    <row r="180" spans="1:23" x14ac:dyDescent="0.3">
      <c r="A180" s="6">
        <v>3603</v>
      </c>
      <c r="B180" s="7" t="s">
        <v>302</v>
      </c>
      <c r="C180" s="1">
        <v>45020</v>
      </c>
      <c r="D180" t="s">
        <v>84</v>
      </c>
      <c r="E180" s="8">
        <v>7.99</v>
      </c>
      <c r="F180" s="6">
        <v>216</v>
      </c>
      <c r="G180" s="7" t="s">
        <v>51</v>
      </c>
      <c r="H180" s="6">
        <v>4</v>
      </c>
      <c r="I180" s="6">
        <v>3</v>
      </c>
      <c r="J180" s="7" t="b">
        <v>1</v>
      </c>
      <c r="K180" s="6">
        <v>923</v>
      </c>
      <c r="L180" s="6">
        <v>143</v>
      </c>
      <c r="M180" s="7" t="s">
        <v>27</v>
      </c>
      <c r="N180" s="7" t="s">
        <v>56</v>
      </c>
      <c r="O180" s="7" t="s">
        <v>45</v>
      </c>
      <c r="P180" s="5">
        <v>20</v>
      </c>
      <c r="Q180" s="4">
        <v>3.4</v>
      </c>
      <c r="R180" s="7" t="b">
        <v>0</v>
      </c>
      <c r="S180" s="7" t="s">
        <v>30</v>
      </c>
      <c r="T180" s="5">
        <v>4435</v>
      </c>
      <c r="U180" s="7" t="s">
        <v>38</v>
      </c>
      <c r="V180" t="s">
        <v>79</v>
      </c>
      <c r="W180" s="7" t="s">
        <v>33</v>
      </c>
    </row>
    <row r="181" spans="1:23" x14ac:dyDescent="0.3">
      <c r="A181" s="6">
        <v>9256</v>
      </c>
      <c r="B181" s="7" t="s">
        <v>257</v>
      </c>
      <c r="C181" s="1">
        <v>45109</v>
      </c>
      <c r="D181" t="s">
        <v>82</v>
      </c>
      <c r="E181" s="8">
        <v>7.99</v>
      </c>
      <c r="F181" s="6">
        <v>331</v>
      </c>
      <c r="G181" s="7" t="s">
        <v>100</v>
      </c>
      <c r="H181" s="6">
        <v>5</v>
      </c>
      <c r="I181" s="6">
        <v>1</v>
      </c>
      <c r="J181" s="7" t="b">
        <v>0</v>
      </c>
      <c r="K181" s="6">
        <v>85</v>
      </c>
      <c r="L181" s="6">
        <v>117</v>
      </c>
      <c r="M181" s="7" t="s">
        <v>92</v>
      </c>
      <c r="N181" s="7" t="s">
        <v>56</v>
      </c>
      <c r="O181" s="7" t="s">
        <v>78</v>
      </c>
      <c r="P181" s="5">
        <v>21</v>
      </c>
      <c r="Q181" s="4">
        <v>4.8</v>
      </c>
      <c r="R181" s="7" t="b">
        <v>1</v>
      </c>
      <c r="S181" s="7" t="s">
        <v>30</v>
      </c>
      <c r="T181" s="5">
        <v>1454</v>
      </c>
      <c r="U181" s="7" t="s">
        <v>58</v>
      </c>
      <c r="V181" t="s">
        <v>39</v>
      </c>
      <c r="W181" s="7" t="s">
        <v>93</v>
      </c>
    </row>
    <row r="182" spans="1:23" x14ac:dyDescent="0.3">
      <c r="A182" s="6">
        <v>9469</v>
      </c>
      <c r="B182" s="7" t="s">
        <v>101</v>
      </c>
      <c r="C182" s="1">
        <v>45205</v>
      </c>
      <c r="D182" t="s">
        <v>87</v>
      </c>
      <c r="E182" s="8">
        <v>11.99</v>
      </c>
      <c r="F182" s="6">
        <v>451</v>
      </c>
      <c r="G182" s="7" t="s">
        <v>48</v>
      </c>
      <c r="H182" s="6">
        <v>2</v>
      </c>
      <c r="I182" s="6">
        <v>3</v>
      </c>
      <c r="J182" s="7" t="b">
        <v>0</v>
      </c>
      <c r="K182" s="6">
        <v>59</v>
      </c>
      <c r="L182" s="6">
        <v>38</v>
      </c>
      <c r="M182" s="7" t="s">
        <v>74</v>
      </c>
      <c r="N182" s="7" t="s">
        <v>56</v>
      </c>
      <c r="O182" s="7" t="s">
        <v>37</v>
      </c>
      <c r="P182" s="5">
        <v>94</v>
      </c>
      <c r="Q182" s="4">
        <v>3</v>
      </c>
      <c r="R182" s="7" t="b">
        <v>1</v>
      </c>
      <c r="S182" s="7" t="s">
        <v>30</v>
      </c>
      <c r="T182" s="5">
        <v>2841</v>
      </c>
      <c r="U182" s="7" t="s">
        <v>65</v>
      </c>
      <c r="V182" t="s">
        <v>69</v>
      </c>
      <c r="W182" s="7" t="s">
        <v>40</v>
      </c>
    </row>
    <row r="183" spans="1:23" x14ac:dyDescent="0.3">
      <c r="A183" s="6">
        <v>7136</v>
      </c>
      <c r="B183" s="7" t="s">
        <v>143</v>
      </c>
      <c r="C183" t="s">
        <v>303</v>
      </c>
      <c r="D183" t="s">
        <v>42</v>
      </c>
      <c r="E183" s="8">
        <v>7.99</v>
      </c>
      <c r="F183" s="6">
        <v>326</v>
      </c>
      <c r="G183" s="7" t="s">
        <v>26</v>
      </c>
      <c r="H183" s="6">
        <v>5</v>
      </c>
      <c r="I183" s="6">
        <v>1</v>
      </c>
      <c r="J183" s="7" t="b">
        <v>0</v>
      </c>
      <c r="K183" s="6">
        <v>590</v>
      </c>
      <c r="L183" s="6">
        <v>105</v>
      </c>
      <c r="M183" s="7" t="s">
        <v>92</v>
      </c>
      <c r="N183" s="7" t="s">
        <v>28</v>
      </c>
      <c r="O183" s="7" t="s">
        <v>29</v>
      </c>
      <c r="P183" s="5">
        <v>56</v>
      </c>
      <c r="Q183" s="4">
        <v>3.3</v>
      </c>
      <c r="R183" s="7" t="b">
        <v>0</v>
      </c>
      <c r="S183" s="7" t="s">
        <v>30</v>
      </c>
      <c r="T183" s="5">
        <v>1626</v>
      </c>
      <c r="U183" s="7" t="s">
        <v>31</v>
      </c>
      <c r="V183" t="s">
        <v>39</v>
      </c>
      <c r="W183" s="7" t="s">
        <v>93</v>
      </c>
    </row>
    <row r="184" spans="1:23" x14ac:dyDescent="0.3">
      <c r="A184" s="6">
        <v>2321</v>
      </c>
      <c r="B184" s="7" t="s">
        <v>304</v>
      </c>
      <c r="C184" t="s">
        <v>305</v>
      </c>
      <c r="D184" t="s">
        <v>42</v>
      </c>
      <c r="E184" s="8">
        <v>15.99</v>
      </c>
      <c r="F184" s="6">
        <v>358</v>
      </c>
      <c r="G184" s="7" t="s">
        <v>36</v>
      </c>
      <c r="H184" s="6">
        <v>3</v>
      </c>
      <c r="I184" s="6">
        <v>1</v>
      </c>
      <c r="J184" s="7" t="b">
        <v>0</v>
      </c>
      <c r="K184" s="6">
        <v>348</v>
      </c>
      <c r="L184" s="6">
        <v>49</v>
      </c>
      <c r="M184" s="7" t="s">
        <v>92</v>
      </c>
      <c r="N184" s="7" t="s">
        <v>44</v>
      </c>
      <c r="O184" s="7" t="s">
        <v>29</v>
      </c>
      <c r="P184" s="5">
        <v>14</v>
      </c>
      <c r="Q184" s="4">
        <v>4.2</v>
      </c>
      <c r="R184" s="7" t="b">
        <v>0</v>
      </c>
      <c r="S184" s="7" t="s">
        <v>30</v>
      </c>
      <c r="T184" s="5">
        <v>111</v>
      </c>
      <c r="U184" s="7" t="s">
        <v>38</v>
      </c>
      <c r="V184" t="s">
        <v>32</v>
      </c>
      <c r="W184" s="7" t="s">
        <v>60</v>
      </c>
    </row>
    <row r="185" spans="1:23" x14ac:dyDescent="0.3">
      <c r="A185" s="6">
        <v>4243</v>
      </c>
      <c r="B185" s="7" t="s">
        <v>272</v>
      </c>
      <c r="C185" t="s">
        <v>306</v>
      </c>
      <c r="D185" t="s">
        <v>168</v>
      </c>
      <c r="E185" s="8">
        <v>15.99</v>
      </c>
      <c r="F185" s="6">
        <v>91</v>
      </c>
      <c r="G185" s="7" t="s">
        <v>26</v>
      </c>
      <c r="H185" s="6">
        <v>2</v>
      </c>
      <c r="I185" s="6">
        <v>1</v>
      </c>
      <c r="J185" s="7" t="b">
        <v>1</v>
      </c>
      <c r="K185" s="6">
        <v>561</v>
      </c>
      <c r="L185" s="6">
        <v>153</v>
      </c>
      <c r="M185" s="7" t="s">
        <v>43</v>
      </c>
      <c r="N185" s="7" t="s">
        <v>75</v>
      </c>
      <c r="O185" s="7" t="s">
        <v>64</v>
      </c>
      <c r="P185" s="5">
        <v>7</v>
      </c>
      <c r="Q185" s="4">
        <v>4.0999999999999996</v>
      </c>
      <c r="R185" s="7" t="b">
        <v>0</v>
      </c>
      <c r="S185" s="7" t="s">
        <v>30</v>
      </c>
      <c r="T185" s="5">
        <v>450</v>
      </c>
      <c r="U185" s="7" t="s">
        <v>76</v>
      </c>
      <c r="V185" t="s">
        <v>79</v>
      </c>
      <c r="W185" s="7" t="s">
        <v>60</v>
      </c>
    </row>
    <row r="186" spans="1:23" x14ac:dyDescent="0.3">
      <c r="A186" s="6">
        <v>8015</v>
      </c>
      <c r="B186" s="7" t="s">
        <v>307</v>
      </c>
      <c r="C186" t="s">
        <v>225</v>
      </c>
      <c r="D186" t="s">
        <v>103</v>
      </c>
      <c r="E186" s="8">
        <v>7.99</v>
      </c>
      <c r="F186" s="6">
        <v>478</v>
      </c>
      <c r="G186" s="7" t="s">
        <v>26</v>
      </c>
      <c r="H186" s="6">
        <v>2</v>
      </c>
      <c r="I186" s="6">
        <v>2</v>
      </c>
      <c r="J186" s="7" t="b">
        <v>1</v>
      </c>
      <c r="K186" s="6">
        <v>214</v>
      </c>
      <c r="L186" s="6">
        <v>191</v>
      </c>
      <c r="M186" s="7" t="s">
        <v>49</v>
      </c>
      <c r="N186" s="7" t="s">
        <v>44</v>
      </c>
      <c r="O186" s="7" t="s">
        <v>57</v>
      </c>
      <c r="P186" s="5">
        <v>44</v>
      </c>
      <c r="Q186" s="4">
        <v>3.6</v>
      </c>
      <c r="R186" s="7" t="b">
        <v>0</v>
      </c>
      <c r="S186" s="7" t="s">
        <v>30</v>
      </c>
      <c r="T186" s="5">
        <v>3325</v>
      </c>
      <c r="U186" s="7" t="s">
        <v>38</v>
      </c>
      <c r="V186" t="s">
        <v>32</v>
      </c>
      <c r="W186" s="7" t="s">
        <v>93</v>
      </c>
    </row>
    <row r="187" spans="1:23" x14ac:dyDescent="0.3">
      <c r="A187" s="6">
        <v>3440</v>
      </c>
      <c r="B187" s="7" t="s">
        <v>101</v>
      </c>
      <c r="C187" t="s">
        <v>308</v>
      </c>
      <c r="D187" t="s">
        <v>82</v>
      </c>
      <c r="E187" s="8">
        <v>7.99</v>
      </c>
      <c r="F187" s="6">
        <v>16</v>
      </c>
      <c r="G187" s="7" t="s">
        <v>51</v>
      </c>
      <c r="H187" s="6">
        <v>3</v>
      </c>
      <c r="I187" s="6">
        <v>4</v>
      </c>
      <c r="J187" s="7" t="b">
        <v>0</v>
      </c>
      <c r="K187" s="6">
        <v>964</v>
      </c>
      <c r="L187" s="6">
        <v>111</v>
      </c>
      <c r="M187" s="7" t="s">
        <v>92</v>
      </c>
      <c r="N187" s="7" t="s">
        <v>28</v>
      </c>
      <c r="O187" s="7" t="s">
        <v>45</v>
      </c>
      <c r="P187" s="5">
        <v>52</v>
      </c>
      <c r="Q187" s="4">
        <v>3.1</v>
      </c>
      <c r="R187" s="7" t="b">
        <v>1</v>
      </c>
      <c r="S187" s="7" t="s">
        <v>30</v>
      </c>
      <c r="T187" s="5">
        <v>3059</v>
      </c>
      <c r="U187" s="7" t="s">
        <v>76</v>
      </c>
      <c r="V187" t="s">
        <v>59</v>
      </c>
      <c r="W187" s="7" t="s">
        <v>60</v>
      </c>
    </row>
    <row r="188" spans="1:23" x14ac:dyDescent="0.3">
      <c r="A188" s="6">
        <v>9914</v>
      </c>
      <c r="B188" s="7" t="s">
        <v>197</v>
      </c>
      <c r="C188" t="s">
        <v>309</v>
      </c>
      <c r="D188" s="1">
        <v>45516</v>
      </c>
      <c r="E188" s="8">
        <v>11.99</v>
      </c>
      <c r="F188" s="6">
        <v>44</v>
      </c>
      <c r="G188" s="7" t="s">
        <v>73</v>
      </c>
      <c r="H188" s="6">
        <v>2</v>
      </c>
      <c r="I188" s="6">
        <v>1</v>
      </c>
      <c r="J188" s="7" t="b">
        <v>1</v>
      </c>
      <c r="K188" s="6">
        <v>897</v>
      </c>
      <c r="L188" s="6">
        <v>62</v>
      </c>
      <c r="M188" s="7" t="s">
        <v>74</v>
      </c>
      <c r="N188" s="7" t="s">
        <v>28</v>
      </c>
      <c r="O188" s="7" t="s">
        <v>64</v>
      </c>
      <c r="P188" s="5">
        <v>18</v>
      </c>
      <c r="Q188" s="4">
        <v>4.4000000000000004</v>
      </c>
      <c r="R188" s="7" t="b">
        <v>0</v>
      </c>
      <c r="S188" s="7" t="s">
        <v>30</v>
      </c>
      <c r="T188" s="5">
        <v>1065</v>
      </c>
      <c r="U188" s="7" t="s">
        <v>31</v>
      </c>
      <c r="V188" t="s">
        <v>32</v>
      </c>
      <c r="W188" s="7" t="s">
        <v>93</v>
      </c>
    </row>
    <row r="189" spans="1:23" x14ac:dyDescent="0.3">
      <c r="A189" s="6">
        <v>5045</v>
      </c>
      <c r="B189" s="7" t="s">
        <v>140</v>
      </c>
      <c r="C189" t="s">
        <v>62</v>
      </c>
      <c r="D189" t="s">
        <v>134</v>
      </c>
      <c r="E189" s="8">
        <v>11.99</v>
      </c>
      <c r="F189" s="6">
        <v>100</v>
      </c>
      <c r="G189" s="7" t="s">
        <v>73</v>
      </c>
      <c r="H189" s="6">
        <v>4</v>
      </c>
      <c r="I189" s="6">
        <v>1</v>
      </c>
      <c r="J189" s="7" t="b">
        <v>1</v>
      </c>
      <c r="K189" s="6">
        <v>983</v>
      </c>
      <c r="L189" s="6">
        <v>191</v>
      </c>
      <c r="M189" s="7" t="s">
        <v>92</v>
      </c>
      <c r="N189" s="7" t="s">
        <v>28</v>
      </c>
      <c r="O189" s="7" t="s">
        <v>45</v>
      </c>
      <c r="P189" s="5">
        <v>53</v>
      </c>
      <c r="Q189" s="4">
        <v>4.5</v>
      </c>
      <c r="R189" s="7" t="b">
        <v>0</v>
      </c>
      <c r="S189" s="7" t="s">
        <v>30</v>
      </c>
      <c r="T189" s="5">
        <v>2575</v>
      </c>
      <c r="U189" s="7" t="s">
        <v>76</v>
      </c>
      <c r="V189" t="s">
        <v>59</v>
      </c>
      <c r="W189" s="7" t="s">
        <v>93</v>
      </c>
    </row>
    <row r="190" spans="1:23" x14ac:dyDescent="0.3">
      <c r="A190" s="6">
        <v>1379</v>
      </c>
      <c r="B190" s="7" t="s">
        <v>240</v>
      </c>
      <c r="C190" t="s">
        <v>310</v>
      </c>
      <c r="D190" s="1">
        <v>45424</v>
      </c>
      <c r="E190" s="8">
        <v>11.99</v>
      </c>
      <c r="F190" s="6">
        <v>44</v>
      </c>
      <c r="G190" s="7" t="s">
        <v>36</v>
      </c>
      <c r="H190" s="6">
        <v>5</v>
      </c>
      <c r="I190" s="6">
        <v>4</v>
      </c>
      <c r="J190" s="7" t="b">
        <v>1</v>
      </c>
      <c r="K190" s="6">
        <v>432</v>
      </c>
      <c r="L190" s="6">
        <v>73</v>
      </c>
      <c r="M190" s="7" t="s">
        <v>49</v>
      </c>
      <c r="N190" s="7" t="s">
        <v>28</v>
      </c>
      <c r="O190" s="7" t="s">
        <v>64</v>
      </c>
      <c r="P190" s="5">
        <v>88</v>
      </c>
      <c r="Q190" s="4">
        <v>4.5999999999999996</v>
      </c>
      <c r="R190" s="7" t="b">
        <v>0</v>
      </c>
      <c r="S190" s="7" t="s">
        <v>30</v>
      </c>
      <c r="T190" s="5">
        <v>1690</v>
      </c>
      <c r="U190" s="7" t="s">
        <v>65</v>
      </c>
      <c r="V190" t="s">
        <v>32</v>
      </c>
      <c r="W190" s="7" t="s">
        <v>40</v>
      </c>
    </row>
    <row r="191" spans="1:23" x14ac:dyDescent="0.3">
      <c r="A191" s="6">
        <v>6099</v>
      </c>
      <c r="B191" s="7" t="s">
        <v>311</v>
      </c>
      <c r="C191" t="s">
        <v>312</v>
      </c>
      <c r="D191" t="s">
        <v>99</v>
      </c>
      <c r="E191" s="8">
        <v>11.99</v>
      </c>
      <c r="F191" s="6">
        <v>37</v>
      </c>
      <c r="G191" s="7" t="s">
        <v>73</v>
      </c>
      <c r="H191" s="6">
        <v>3</v>
      </c>
      <c r="I191" s="6">
        <v>1</v>
      </c>
      <c r="J191" s="7" t="b">
        <v>1</v>
      </c>
      <c r="K191" s="6">
        <v>881</v>
      </c>
      <c r="L191" s="6">
        <v>189</v>
      </c>
      <c r="M191" s="7" t="s">
        <v>43</v>
      </c>
      <c r="N191" s="7" t="s">
        <v>44</v>
      </c>
      <c r="O191" s="7" t="s">
        <v>78</v>
      </c>
      <c r="P191" s="5">
        <v>32</v>
      </c>
      <c r="Q191" s="4">
        <v>3.9</v>
      </c>
      <c r="R191" s="7" t="b">
        <v>0</v>
      </c>
      <c r="S191" s="7" t="s">
        <v>30</v>
      </c>
      <c r="T191" s="5">
        <v>1382</v>
      </c>
      <c r="U191" s="7" t="s">
        <v>31</v>
      </c>
      <c r="V191" t="s">
        <v>32</v>
      </c>
      <c r="W191" s="7" t="s">
        <v>60</v>
      </c>
    </row>
    <row r="192" spans="1:23" x14ac:dyDescent="0.3">
      <c r="A192" s="6">
        <v>4696</v>
      </c>
      <c r="B192" s="7" t="s">
        <v>313</v>
      </c>
      <c r="C192" t="s">
        <v>314</v>
      </c>
      <c r="D192" s="1">
        <v>45394</v>
      </c>
      <c r="E192" s="8">
        <v>15.99</v>
      </c>
      <c r="F192" s="6">
        <v>48</v>
      </c>
      <c r="G192" s="7" t="s">
        <v>26</v>
      </c>
      <c r="H192" s="6">
        <v>5</v>
      </c>
      <c r="I192" s="6">
        <v>2</v>
      </c>
      <c r="J192" s="7" t="b">
        <v>0</v>
      </c>
      <c r="K192" s="6">
        <v>331</v>
      </c>
      <c r="L192" s="6">
        <v>93</v>
      </c>
      <c r="M192" s="7" t="s">
        <v>27</v>
      </c>
      <c r="N192" s="7" t="s">
        <v>75</v>
      </c>
      <c r="O192" s="7" t="s">
        <v>78</v>
      </c>
      <c r="P192" s="5">
        <v>66</v>
      </c>
      <c r="Q192" s="4">
        <v>3.7</v>
      </c>
      <c r="R192" s="7" t="b">
        <v>0</v>
      </c>
      <c r="S192" s="7" t="s">
        <v>30</v>
      </c>
      <c r="T192" s="5">
        <v>1050</v>
      </c>
      <c r="U192" s="7" t="s">
        <v>65</v>
      </c>
      <c r="V192" t="s">
        <v>39</v>
      </c>
      <c r="W192" s="7" t="s">
        <v>33</v>
      </c>
    </row>
    <row r="193" spans="1:23" x14ac:dyDescent="0.3">
      <c r="A193" s="6">
        <v>4808</v>
      </c>
      <c r="B193" s="7" t="s">
        <v>280</v>
      </c>
      <c r="C193" t="s">
        <v>315</v>
      </c>
      <c r="D193" t="s">
        <v>99</v>
      </c>
      <c r="E193" s="8">
        <v>7.99</v>
      </c>
      <c r="F193" s="6">
        <v>371</v>
      </c>
      <c r="G193" s="7" t="s">
        <v>100</v>
      </c>
      <c r="H193" s="6">
        <v>1</v>
      </c>
      <c r="I193" s="6">
        <v>1</v>
      </c>
      <c r="J193" s="7" t="b">
        <v>1</v>
      </c>
      <c r="K193" s="6">
        <v>819</v>
      </c>
      <c r="L193" s="6">
        <v>71</v>
      </c>
      <c r="M193" s="7" t="s">
        <v>43</v>
      </c>
      <c r="N193" s="7" t="s">
        <v>28</v>
      </c>
      <c r="O193" s="7" t="s">
        <v>57</v>
      </c>
      <c r="P193" s="5">
        <v>36</v>
      </c>
      <c r="Q193" s="4">
        <v>4.0999999999999996</v>
      </c>
      <c r="R193" s="7" t="b">
        <v>1</v>
      </c>
      <c r="S193" s="7" t="s">
        <v>30</v>
      </c>
      <c r="T193" s="5">
        <v>2328</v>
      </c>
      <c r="U193" s="7" t="s">
        <v>38</v>
      </c>
      <c r="V193" t="s">
        <v>69</v>
      </c>
      <c r="W193" s="7" t="s">
        <v>33</v>
      </c>
    </row>
    <row r="194" spans="1:23" x14ac:dyDescent="0.3">
      <c r="A194" s="6">
        <v>3633</v>
      </c>
      <c r="B194" s="7" t="s">
        <v>316</v>
      </c>
      <c r="C194" t="s">
        <v>103</v>
      </c>
      <c r="D194" s="1">
        <v>45577</v>
      </c>
      <c r="E194" s="8">
        <v>7.99</v>
      </c>
      <c r="F194" s="6">
        <v>176</v>
      </c>
      <c r="G194" s="7" t="s">
        <v>26</v>
      </c>
      <c r="H194" s="6">
        <v>5</v>
      </c>
      <c r="I194" s="6">
        <v>1</v>
      </c>
      <c r="J194" s="7" t="b">
        <v>1</v>
      </c>
      <c r="K194" s="6">
        <v>936</v>
      </c>
      <c r="L194" s="6">
        <v>11</v>
      </c>
      <c r="M194" s="7" t="s">
        <v>92</v>
      </c>
      <c r="N194" s="7" t="s">
        <v>75</v>
      </c>
      <c r="O194" s="7" t="s">
        <v>64</v>
      </c>
      <c r="P194" s="5">
        <v>42</v>
      </c>
      <c r="Q194" s="4">
        <v>3.2</v>
      </c>
      <c r="R194" s="7" t="b">
        <v>0</v>
      </c>
      <c r="S194" s="7" t="s">
        <v>30</v>
      </c>
      <c r="T194" s="5">
        <v>4414</v>
      </c>
      <c r="U194" s="7" t="s">
        <v>31</v>
      </c>
      <c r="V194" t="s">
        <v>32</v>
      </c>
      <c r="W194" s="7" t="s">
        <v>33</v>
      </c>
    </row>
    <row r="195" spans="1:23" x14ac:dyDescent="0.3">
      <c r="A195" s="6">
        <v>4979</v>
      </c>
      <c r="B195" s="7" t="s">
        <v>255</v>
      </c>
      <c r="C195" t="s">
        <v>317</v>
      </c>
      <c r="D195" t="s">
        <v>156</v>
      </c>
      <c r="E195" s="8">
        <v>15.99</v>
      </c>
      <c r="F195" s="6">
        <v>312</v>
      </c>
      <c r="G195" s="7" t="s">
        <v>36</v>
      </c>
      <c r="H195" s="6">
        <v>4</v>
      </c>
      <c r="I195" s="6">
        <v>4</v>
      </c>
      <c r="J195" s="7" t="b">
        <v>0</v>
      </c>
      <c r="K195" s="6">
        <v>321</v>
      </c>
      <c r="L195" s="6">
        <v>19</v>
      </c>
      <c r="M195" s="7" t="s">
        <v>68</v>
      </c>
      <c r="N195" s="7" t="s">
        <v>28</v>
      </c>
      <c r="O195" s="7" t="s">
        <v>57</v>
      </c>
      <c r="P195" s="5">
        <v>18</v>
      </c>
      <c r="Q195" s="4">
        <v>4.3</v>
      </c>
      <c r="R195" s="7" t="b">
        <v>1</v>
      </c>
      <c r="S195" s="7" t="s">
        <v>30</v>
      </c>
      <c r="T195" s="5">
        <v>3980</v>
      </c>
      <c r="U195" s="7" t="s">
        <v>65</v>
      </c>
      <c r="V195" t="s">
        <v>39</v>
      </c>
      <c r="W195" s="7" t="s">
        <v>40</v>
      </c>
    </row>
    <row r="196" spans="1:23" x14ac:dyDescent="0.3">
      <c r="A196" s="6">
        <v>2214</v>
      </c>
      <c r="B196" s="7" t="s">
        <v>318</v>
      </c>
      <c r="C196" t="s">
        <v>319</v>
      </c>
      <c r="D196" t="s">
        <v>156</v>
      </c>
      <c r="E196" s="8">
        <v>7.99</v>
      </c>
      <c r="F196" s="6">
        <v>375</v>
      </c>
      <c r="G196" s="7" t="s">
        <v>100</v>
      </c>
      <c r="H196" s="6">
        <v>1</v>
      </c>
      <c r="I196" s="6">
        <v>1</v>
      </c>
      <c r="J196" s="7" t="b">
        <v>1</v>
      </c>
      <c r="K196" s="6">
        <v>244</v>
      </c>
      <c r="L196" s="6">
        <v>106</v>
      </c>
      <c r="M196" s="7" t="s">
        <v>55</v>
      </c>
      <c r="N196" s="7" t="s">
        <v>28</v>
      </c>
      <c r="O196" s="7" t="s">
        <v>78</v>
      </c>
      <c r="P196" s="5">
        <v>16</v>
      </c>
      <c r="Q196" s="4">
        <v>3.9</v>
      </c>
      <c r="R196" s="7" t="b">
        <v>1</v>
      </c>
      <c r="S196" s="7" t="s">
        <v>30</v>
      </c>
      <c r="T196" s="5">
        <v>3596</v>
      </c>
      <c r="U196" s="7" t="s">
        <v>31</v>
      </c>
      <c r="V196" t="s">
        <v>39</v>
      </c>
      <c r="W196" s="7" t="s">
        <v>33</v>
      </c>
    </row>
    <row r="197" spans="1:23" x14ac:dyDescent="0.3">
      <c r="A197" s="6">
        <v>6606</v>
      </c>
      <c r="B197" s="7" t="s">
        <v>311</v>
      </c>
      <c r="C197" t="s">
        <v>320</v>
      </c>
      <c r="D197" t="s">
        <v>168</v>
      </c>
      <c r="E197" s="8">
        <v>15.99</v>
      </c>
      <c r="F197" s="6">
        <v>134</v>
      </c>
      <c r="G197" s="7" t="s">
        <v>48</v>
      </c>
      <c r="H197" s="6">
        <v>3</v>
      </c>
      <c r="I197" s="6">
        <v>5</v>
      </c>
      <c r="J197" s="7" t="b">
        <v>1</v>
      </c>
      <c r="K197" s="6">
        <v>826</v>
      </c>
      <c r="L197" s="6">
        <v>160</v>
      </c>
      <c r="M197" s="7" t="s">
        <v>92</v>
      </c>
      <c r="N197" s="7" t="s">
        <v>75</v>
      </c>
      <c r="O197" s="7" t="s">
        <v>64</v>
      </c>
      <c r="P197" s="5">
        <v>96</v>
      </c>
      <c r="Q197" s="4">
        <v>3.6</v>
      </c>
      <c r="R197" s="7" t="b">
        <v>1</v>
      </c>
      <c r="S197" s="7" t="s">
        <v>30</v>
      </c>
      <c r="T197" s="5">
        <v>1150</v>
      </c>
      <c r="U197" s="7" t="s">
        <v>31</v>
      </c>
      <c r="V197" t="s">
        <v>39</v>
      </c>
      <c r="W197" s="7" t="s">
        <v>33</v>
      </c>
    </row>
    <row r="198" spans="1:23" x14ac:dyDescent="0.3">
      <c r="A198" s="6">
        <v>4246</v>
      </c>
      <c r="B198" s="7" t="s">
        <v>259</v>
      </c>
      <c r="C198" t="s">
        <v>321</v>
      </c>
      <c r="D198" t="s">
        <v>35</v>
      </c>
      <c r="E198" s="8">
        <v>7.99</v>
      </c>
      <c r="F198" s="6">
        <v>91</v>
      </c>
      <c r="G198" s="7" t="s">
        <v>36</v>
      </c>
      <c r="H198" s="6">
        <v>5</v>
      </c>
      <c r="I198" s="6">
        <v>1</v>
      </c>
      <c r="J198" s="7" t="b">
        <v>0</v>
      </c>
      <c r="K198" s="6">
        <v>159</v>
      </c>
      <c r="L198" s="6">
        <v>14</v>
      </c>
      <c r="M198" s="7" t="s">
        <v>49</v>
      </c>
      <c r="N198" s="7" t="s">
        <v>28</v>
      </c>
      <c r="O198" s="7" t="s">
        <v>57</v>
      </c>
      <c r="P198" s="5">
        <v>85</v>
      </c>
      <c r="Q198" s="4">
        <v>4.4000000000000004</v>
      </c>
      <c r="R198" s="7" t="b">
        <v>0</v>
      </c>
      <c r="S198" s="7" t="s">
        <v>30</v>
      </c>
      <c r="T198" s="5">
        <v>1858</v>
      </c>
      <c r="U198" s="7" t="s">
        <v>58</v>
      </c>
      <c r="V198" t="s">
        <v>32</v>
      </c>
      <c r="W198" s="7" t="s">
        <v>33</v>
      </c>
    </row>
    <row r="199" spans="1:23" x14ac:dyDescent="0.3">
      <c r="A199" s="6">
        <v>2836</v>
      </c>
      <c r="B199" s="7" t="s">
        <v>232</v>
      </c>
      <c r="C199" s="1">
        <v>45475</v>
      </c>
      <c r="D199" t="s">
        <v>72</v>
      </c>
      <c r="E199" s="8">
        <v>7.99</v>
      </c>
      <c r="F199" s="6">
        <v>359</v>
      </c>
      <c r="G199" s="7" t="s">
        <v>63</v>
      </c>
      <c r="H199" s="6">
        <v>2</v>
      </c>
      <c r="I199" s="6">
        <v>6</v>
      </c>
      <c r="J199" s="7" t="b">
        <v>0</v>
      </c>
      <c r="K199" s="6">
        <v>305</v>
      </c>
      <c r="L199" s="6">
        <v>81</v>
      </c>
      <c r="M199" s="7" t="s">
        <v>68</v>
      </c>
      <c r="N199" s="7" t="s">
        <v>75</v>
      </c>
      <c r="O199" s="7" t="s">
        <v>37</v>
      </c>
      <c r="P199" s="5">
        <v>28</v>
      </c>
      <c r="Q199" s="4">
        <v>3.3</v>
      </c>
      <c r="R199" s="7" t="b">
        <v>0</v>
      </c>
      <c r="S199" s="7" t="s">
        <v>30</v>
      </c>
      <c r="T199" s="5">
        <v>1926</v>
      </c>
      <c r="U199" s="7" t="s">
        <v>38</v>
      </c>
      <c r="V199" t="s">
        <v>79</v>
      </c>
      <c r="W199" s="7" t="s">
        <v>60</v>
      </c>
    </row>
    <row r="200" spans="1:23" x14ac:dyDescent="0.3">
      <c r="A200" s="6">
        <v>6963</v>
      </c>
      <c r="B200" s="7" t="s">
        <v>322</v>
      </c>
      <c r="C200" s="1">
        <v>45084</v>
      </c>
      <c r="D200" t="s">
        <v>168</v>
      </c>
      <c r="E200" s="8">
        <v>15.99</v>
      </c>
      <c r="F200" s="6">
        <v>172</v>
      </c>
      <c r="G200" s="7" t="s">
        <v>73</v>
      </c>
      <c r="H200" s="6">
        <v>2</v>
      </c>
      <c r="I200" s="6">
        <v>6</v>
      </c>
      <c r="J200" s="7" t="b">
        <v>0</v>
      </c>
      <c r="K200" s="6">
        <v>841</v>
      </c>
      <c r="L200" s="6">
        <v>83</v>
      </c>
      <c r="M200" s="7" t="s">
        <v>49</v>
      </c>
      <c r="N200" s="7" t="s">
        <v>28</v>
      </c>
      <c r="O200" s="7" t="s">
        <v>78</v>
      </c>
      <c r="P200" s="5">
        <v>44</v>
      </c>
      <c r="Q200" s="4">
        <v>5</v>
      </c>
      <c r="R200" s="7" t="b">
        <v>1</v>
      </c>
      <c r="S200" s="7" t="s">
        <v>30</v>
      </c>
      <c r="T200" s="5">
        <v>2933</v>
      </c>
      <c r="U200" s="7" t="s">
        <v>76</v>
      </c>
      <c r="V200" t="s">
        <v>39</v>
      </c>
      <c r="W200" s="7" t="s">
        <v>40</v>
      </c>
    </row>
    <row r="201" spans="1:23" x14ac:dyDescent="0.3">
      <c r="A201" s="6">
        <v>2243</v>
      </c>
      <c r="B201" s="7" t="s">
        <v>323</v>
      </c>
      <c r="C201" t="s">
        <v>324</v>
      </c>
      <c r="D201" s="1">
        <v>45334</v>
      </c>
      <c r="E201" s="8">
        <v>11.99</v>
      </c>
      <c r="F201" s="6">
        <v>490</v>
      </c>
      <c r="G201" s="7" t="s">
        <v>73</v>
      </c>
      <c r="H201" s="6">
        <v>3</v>
      </c>
      <c r="I201" s="6">
        <v>3</v>
      </c>
      <c r="J201" s="7" t="b">
        <v>1</v>
      </c>
      <c r="K201" s="6">
        <v>123</v>
      </c>
      <c r="L201" s="6">
        <v>183</v>
      </c>
      <c r="M201" s="7" t="s">
        <v>92</v>
      </c>
      <c r="N201" s="7" t="s">
        <v>75</v>
      </c>
      <c r="O201" s="7" t="s">
        <v>37</v>
      </c>
      <c r="P201" s="5">
        <v>45</v>
      </c>
      <c r="Q201" s="4">
        <v>4.4000000000000004</v>
      </c>
      <c r="R201" s="7" t="b">
        <v>0</v>
      </c>
      <c r="S201" s="7" t="s">
        <v>30</v>
      </c>
      <c r="T201" s="5">
        <v>2397</v>
      </c>
      <c r="U201" s="7" t="s">
        <v>38</v>
      </c>
      <c r="V201" t="s">
        <v>59</v>
      </c>
      <c r="W201" s="7" t="s">
        <v>40</v>
      </c>
    </row>
    <row r="202" spans="1:23" x14ac:dyDescent="0.3">
      <c r="A202" s="6">
        <v>5081</v>
      </c>
      <c r="B202" s="7" t="s">
        <v>325</v>
      </c>
      <c r="C202" t="s">
        <v>326</v>
      </c>
      <c r="D202" t="s">
        <v>84</v>
      </c>
      <c r="E202" s="8">
        <v>11.99</v>
      </c>
      <c r="F202" s="6">
        <v>16</v>
      </c>
      <c r="G202" s="7" t="s">
        <v>100</v>
      </c>
      <c r="H202" s="6">
        <v>1</v>
      </c>
      <c r="I202" s="6">
        <v>5</v>
      </c>
      <c r="J202" s="7" t="b">
        <v>1</v>
      </c>
      <c r="K202" s="6">
        <v>803</v>
      </c>
      <c r="L202" s="6">
        <v>196</v>
      </c>
      <c r="M202" s="7" t="s">
        <v>68</v>
      </c>
      <c r="N202" s="7" t="s">
        <v>75</v>
      </c>
      <c r="O202" s="7" t="s">
        <v>29</v>
      </c>
      <c r="P202" s="5">
        <v>90</v>
      </c>
      <c r="Q202" s="4">
        <v>4.3</v>
      </c>
      <c r="R202" s="7" t="b">
        <v>1</v>
      </c>
      <c r="S202" s="7" t="s">
        <v>30</v>
      </c>
      <c r="T202" s="5">
        <v>1946</v>
      </c>
      <c r="U202" s="7" t="s">
        <v>58</v>
      </c>
      <c r="V202" t="s">
        <v>69</v>
      </c>
      <c r="W202" s="7" t="s">
        <v>33</v>
      </c>
    </row>
    <row r="203" spans="1:23" x14ac:dyDescent="0.3">
      <c r="A203" s="6">
        <v>4171</v>
      </c>
      <c r="B203" s="7" t="s">
        <v>224</v>
      </c>
      <c r="C203" s="1">
        <v>45389</v>
      </c>
      <c r="D203" t="s">
        <v>42</v>
      </c>
      <c r="E203" s="8">
        <v>11.99</v>
      </c>
      <c r="F203" s="6">
        <v>291</v>
      </c>
      <c r="G203" s="7" t="s">
        <v>48</v>
      </c>
      <c r="H203" s="6">
        <v>2</v>
      </c>
      <c r="I203" s="6">
        <v>1</v>
      </c>
      <c r="J203" s="7" t="b">
        <v>1</v>
      </c>
      <c r="K203" s="6">
        <v>380</v>
      </c>
      <c r="L203" s="6">
        <v>106</v>
      </c>
      <c r="M203" s="7" t="s">
        <v>43</v>
      </c>
      <c r="N203" s="7" t="s">
        <v>28</v>
      </c>
      <c r="O203" s="7" t="s">
        <v>57</v>
      </c>
      <c r="P203" s="5">
        <v>22</v>
      </c>
      <c r="Q203" s="4">
        <v>4.0999999999999996</v>
      </c>
      <c r="R203" s="7" t="b">
        <v>0</v>
      </c>
      <c r="S203" s="7" t="s">
        <v>30</v>
      </c>
      <c r="T203" s="5">
        <v>2576</v>
      </c>
      <c r="U203" s="7" t="s">
        <v>58</v>
      </c>
      <c r="V203" t="s">
        <v>69</v>
      </c>
      <c r="W203" s="7" t="s">
        <v>40</v>
      </c>
    </row>
    <row r="204" spans="1:23" x14ac:dyDescent="0.3">
      <c r="A204" s="6">
        <v>7399</v>
      </c>
      <c r="B204" s="7" t="s">
        <v>201</v>
      </c>
      <c r="C204" t="s">
        <v>327</v>
      </c>
      <c r="D204" s="1">
        <v>45547</v>
      </c>
      <c r="E204" s="8">
        <v>11.99</v>
      </c>
      <c r="F204" s="6">
        <v>119</v>
      </c>
      <c r="G204" s="7" t="s">
        <v>100</v>
      </c>
      <c r="H204" s="6">
        <v>2</v>
      </c>
      <c r="I204" s="6">
        <v>5</v>
      </c>
      <c r="J204" s="7" t="b">
        <v>1</v>
      </c>
      <c r="K204" s="6">
        <v>344</v>
      </c>
      <c r="L204" s="6">
        <v>93</v>
      </c>
      <c r="M204" s="7" t="s">
        <v>74</v>
      </c>
      <c r="N204" s="7" t="s">
        <v>44</v>
      </c>
      <c r="O204" s="7" t="s">
        <v>29</v>
      </c>
      <c r="P204" s="5">
        <v>0</v>
      </c>
      <c r="Q204" s="4">
        <v>4.2</v>
      </c>
      <c r="R204" s="7" t="b">
        <v>0</v>
      </c>
      <c r="S204" s="7" t="s">
        <v>30</v>
      </c>
      <c r="T204" s="5">
        <v>2259</v>
      </c>
      <c r="U204" s="7" t="s">
        <v>76</v>
      </c>
      <c r="V204" t="s">
        <v>69</v>
      </c>
      <c r="W204" s="7" t="s">
        <v>33</v>
      </c>
    </row>
    <row r="205" spans="1:23" x14ac:dyDescent="0.3">
      <c r="A205" s="6">
        <v>1110</v>
      </c>
      <c r="B205" s="7" t="s">
        <v>247</v>
      </c>
      <c r="C205" s="1">
        <v>45417</v>
      </c>
      <c r="D205" s="1">
        <v>45394</v>
      </c>
      <c r="E205" s="8">
        <v>11.99</v>
      </c>
      <c r="F205" s="6">
        <v>35</v>
      </c>
      <c r="G205" s="7" t="s">
        <v>26</v>
      </c>
      <c r="H205" s="6">
        <v>2</v>
      </c>
      <c r="I205" s="6">
        <v>3</v>
      </c>
      <c r="J205" s="7" t="b">
        <v>1</v>
      </c>
      <c r="K205" s="6">
        <v>908</v>
      </c>
      <c r="L205" s="6">
        <v>128</v>
      </c>
      <c r="M205" s="7" t="s">
        <v>27</v>
      </c>
      <c r="N205" s="7" t="s">
        <v>28</v>
      </c>
      <c r="O205" s="7" t="s">
        <v>57</v>
      </c>
      <c r="P205" s="5">
        <v>86</v>
      </c>
      <c r="Q205" s="4">
        <v>3.2</v>
      </c>
      <c r="R205" s="7" t="b">
        <v>1</v>
      </c>
      <c r="S205" s="7" t="s">
        <v>30</v>
      </c>
      <c r="T205" s="5">
        <v>1068</v>
      </c>
      <c r="U205" s="7" t="s">
        <v>76</v>
      </c>
      <c r="V205" t="s">
        <v>32</v>
      </c>
      <c r="W205" s="7" t="s">
        <v>40</v>
      </c>
    </row>
    <row r="206" spans="1:23" x14ac:dyDescent="0.3">
      <c r="A206" s="6">
        <v>5630</v>
      </c>
      <c r="B206" s="7" t="s">
        <v>328</v>
      </c>
      <c r="C206" s="1">
        <v>45028</v>
      </c>
      <c r="D206" t="s">
        <v>156</v>
      </c>
      <c r="E206" s="8">
        <v>7.99</v>
      </c>
      <c r="F206" s="6">
        <v>88</v>
      </c>
      <c r="G206" s="7" t="s">
        <v>36</v>
      </c>
      <c r="H206" s="6">
        <v>4</v>
      </c>
      <c r="I206" s="6">
        <v>6</v>
      </c>
      <c r="J206" s="7" t="b">
        <v>1</v>
      </c>
      <c r="K206" s="6">
        <v>782</v>
      </c>
      <c r="L206" s="6">
        <v>180</v>
      </c>
      <c r="M206" s="7" t="s">
        <v>27</v>
      </c>
      <c r="N206" s="7" t="s">
        <v>44</v>
      </c>
      <c r="O206" s="7" t="s">
        <v>78</v>
      </c>
      <c r="P206" s="5">
        <v>86</v>
      </c>
      <c r="Q206" s="4">
        <v>5</v>
      </c>
      <c r="R206" s="7" t="b">
        <v>1</v>
      </c>
      <c r="S206" s="7" t="s">
        <v>30</v>
      </c>
      <c r="T206" s="5">
        <v>2928</v>
      </c>
      <c r="U206" s="7" t="s">
        <v>58</v>
      </c>
      <c r="V206" t="s">
        <v>69</v>
      </c>
      <c r="W206" s="7" t="s">
        <v>33</v>
      </c>
    </row>
    <row r="207" spans="1:23" x14ac:dyDescent="0.3">
      <c r="A207" s="6">
        <v>9430</v>
      </c>
      <c r="B207" s="7" t="s">
        <v>329</v>
      </c>
      <c r="C207" s="1">
        <v>44996</v>
      </c>
      <c r="D207" t="s">
        <v>134</v>
      </c>
      <c r="E207" s="8">
        <v>7.99</v>
      </c>
      <c r="F207" s="6">
        <v>312</v>
      </c>
      <c r="G207" s="7" t="s">
        <v>48</v>
      </c>
      <c r="H207" s="6">
        <v>4</v>
      </c>
      <c r="I207" s="6">
        <v>1</v>
      </c>
      <c r="J207" s="7" t="b">
        <v>0</v>
      </c>
      <c r="K207" s="6">
        <v>769</v>
      </c>
      <c r="L207" s="6">
        <v>140</v>
      </c>
      <c r="M207" s="7" t="s">
        <v>49</v>
      </c>
      <c r="N207" s="7" t="s">
        <v>44</v>
      </c>
      <c r="O207" s="7" t="s">
        <v>45</v>
      </c>
      <c r="P207" s="5">
        <v>94</v>
      </c>
      <c r="Q207" s="4">
        <v>4.8</v>
      </c>
      <c r="R207" s="7" t="b">
        <v>1</v>
      </c>
      <c r="S207" s="7" t="s">
        <v>30</v>
      </c>
      <c r="T207" s="5">
        <v>3674</v>
      </c>
      <c r="U207" s="7" t="s">
        <v>58</v>
      </c>
      <c r="V207" t="s">
        <v>69</v>
      </c>
      <c r="W207" s="7" t="s">
        <v>40</v>
      </c>
    </row>
    <row r="208" spans="1:23" x14ac:dyDescent="0.3">
      <c r="A208" s="6">
        <v>7436</v>
      </c>
      <c r="B208" s="7" t="s">
        <v>330</v>
      </c>
      <c r="C208" t="s">
        <v>331</v>
      </c>
      <c r="D208" t="s">
        <v>72</v>
      </c>
      <c r="E208" s="8">
        <v>15.99</v>
      </c>
      <c r="F208" s="6">
        <v>238</v>
      </c>
      <c r="G208" s="7" t="s">
        <v>48</v>
      </c>
      <c r="H208" s="6">
        <v>4</v>
      </c>
      <c r="I208" s="6">
        <v>1</v>
      </c>
      <c r="J208" s="7" t="b">
        <v>1</v>
      </c>
      <c r="K208" s="6">
        <v>233</v>
      </c>
      <c r="L208" s="6">
        <v>102</v>
      </c>
      <c r="M208" s="7" t="s">
        <v>43</v>
      </c>
      <c r="N208" s="7" t="s">
        <v>44</v>
      </c>
      <c r="O208" s="7" t="s">
        <v>29</v>
      </c>
      <c r="P208" s="5">
        <v>78</v>
      </c>
      <c r="Q208" s="4">
        <v>3.1</v>
      </c>
      <c r="R208" s="7" t="b">
        <v>0</v>
      </c>
      <c r="S208" s="7" t="s">
        <v>30</v>
      </c>
      <c r="T208" s="5">
        <v>130</v>
      </c>
      <c r="U208" s="7" t="s">
        <v>58</v>
      </c>
      <c r="V208" t="s">
        <v>79</v>
      </c>
      <c r="W208" s="7" t="s">
        <v>33</v>
      </c>
    </row>
    <row r="209" spans="1:23" x14ac:dyDescent="0.3">
      <c r="A209" s="6">
        <v>2147</v>
      </c>
      <c r="B209" s="7" t="s">
        <v>332</v>
      </c>
      <c r="C209" s="1">
        <v>45627</v>
      </c>
      <c r="D209" s="1">
        <v>45608</v>
      </c>
      <c r="E209" s="8">
        <v>11.99</v>
      </c>
      <c r="F209" s="6">
        <v>132</v>
      </c>
      <c r="G209" s="7" t="s">
        <v>26</v>
      </c>
      <c r="H209" s="6">
        <v>4</v>
      </c>
      <c r="I209" s="6">
        <v>6</v>
      </c>
      <c r="J209" s="7" t="b">
        <v>1</v>
      </c>
      <c r="K209" s="6">
        <v>170</v>
      </c>
      <c r="L209" s="6">
        <v>164</v>
      </c>
      <c r="M209" s="7" t="s">
        <v>92</v>
      </c>
      <c r="N209" s="7" t="s">
        <v>44</v>
      </c>
      <c r="O209" s="7" t="s">
        <v>64</v>
      </c>
      <c r="P209" s="5">
        <v>71</v>
      </c>
      <c r="Q209" s="4">
        <v>3.3</v>
      </c>
      <c r="R209" s="7" t="b">
        <v>1</v>
      </c>
      <c r="S209" s="7" t="s">
        <v>30</v>
      </c>
      <c r="T209" s="5">
        <v>4873</v>
      </c>
      <c r="U209" s="7" t="s">
        <v>65</v>
      </c>
      <c r="V209" t="s">
        <v>69</v>
      </c>
      <c r="W209" s="7" t="s">
        <v>60</v>
      </c>
    </row>
    <row r="210" spans="1:23" x14ac:dyDescent="0.3">
      <c r="A210" s="6">
        <v>3264</v>
      </c>
      <c r="B210" s="7" t="s">
        <v>118</v>
      </c>
      <c r="C210" t="s">
        <v>333</v>
      </c>
      <c r="D210" s="1">
        <v>45547</v>
      </c>
      <c r="E210" s="8">
        <v>11.99</v>
      </c>
      <c r="F210" s="6">
        <v>456</v>
      </c>
      <c r="G210" s="7" t="s">
        <v>73</v>
      </c>
      <c r="H210" s="6">
        <v>1</v>
      </c>
      <c r="I210" s="6">
        <v>6</v>
      </c>
      <c r="J210" s="7" t="b">
        <v>1</v>
      </c>
      <c r="K210" s="6">
        <v>945</v>
      </c>
      <c r="L210" s="6">
        <v>114</v>
      </c>
      <c r="M210" s="7" t="s">
        <v>49</v>
      </c>
      <c r="N210" s="7" t="s">
        <v>56</v>
      </c>
      <c r="O210" s="7" t="s">
        <v>37</v>
      </c>
      <c r="P210" s="5">
        <v>44</v>
      </c>
      <c r="Q210" s="4">
        <v>3</v>
      </c>
      <c r="R210" s="7" t="b">
        <v>0</v>
      </c>
      <c r="S210" s="7" t="s">
        <v>30</v>
      </c>
      <c r="T210" s="5">
        <v>96</v>
      </c>
      <c r="U210" s="7" t="s">
        <v>31</v>
      </c>
      <c r="V210" t="s">
        <v>79</v>
      </c>
      <c r="W210" s="7" t="s">
        <v>33</v>
      </c>
    </row>
    <row r="211" spans="1:23" x14ac:dyDescent="0.3">
      <c r="A211" s="6">
        <v>1214</v>
      </c>
      <c r="B211" s="7" t="s">
        <v>334</v>
      </c>
      <c r="C211" s="1">
        <v>45144</v>
      </c>
      <c r="D211" s="1">
        <v>45608</v>
      </c>
      <c r="E211" s="8">
        <v>11.99</v>
      </c>
      <c r="F211" s="6">
        <v>281</v>
      </c>
      <c r="G211" s="7" t="s">
        <v>26</v>
      </c>
      <c r="H211" s="6">
        <v>5</v>
      </c>
      <c r="I211" s="6">
        <v>6</v>
      </c>
      <c r="J211" s="7" t="b">
        <v>1</v>
      </c>
      <c r="K211" s="6">
        <v>945</v>
      </c>
      <c r="L211" s="6">
        <v>108</v>
      </c>
      <c r="M211" s="7" t="s">
        <v>74</v>
      </c>
      <c r="N211" s="7" t="s">
        <v>28</v>
      </c>
      <c r="O211" s="7" t="s">
        <v>64</v>
      </c>
      <c r="P211" s="5">
        <v>98</v>
      </c>
      <c r="Q211" s="4">
        <v>3.8</v>
      </c>
      <c r="R211" s="7" t="b">
        <v>1</v>
      </c>
      <c r="S211" s="7" t="s">
        <v>30</v>
      </c>
      <c r="T211" s="5">
        <v>110</v>
      </c>
      <c r="U211" s="7" t="s">
        <v>65</v>
      </c>
      <c r="V211" t="s">
        <v>59</v>
      </c>
      <c r="W211" s="7" t="s">
        <v>93</v>
      </c>
    </row>
    <row r="212" spans="1:23" x14ac:dyDescent="0.3">
      <c r="A212" s="6">
        <v>6050</v>
      </c>
      <c r="B212" s="7" t="s">
        <v>335</v>
      </c>
      <c r="C212" s="1">
        <v>45512</v>
      </c>
      <c r="D212" t="s">
        <v>109</v>
      </c>
      <c r="E212" s="8">
        <v>11.99</v>
      </c>
      <c r="F212" s="6">
        <v>281</v>
      </c>
      <c r="G212" s="7" t="s">
        <v>63</v>
      </c>
      <c r="H212" s="6">
        <v>5</v>
      </c>
      <c r="I212" s="6">
        <v>3</v>
      </c>
      <c r="J212" s="7" t="b">
        <v>0</v>
      </c>
      <c r="K212" s="6">
        <v>217</v>
      </c>
      <c r="L212" s="6">
        <v>162</v>
      </c>
      <c r="M212" s="7" t="s">
        <v>27</v>
      </c>
      <c r="N212" s="7" t="s">
        <v>44</v>
      </c>
      <c r="O212" s="7" t="s">
        <v>45</v>
      </c>
      <c r="P212" s="5">
        <v>0</v>
      </c>
      <c r="Q212" s="4">
        <v>3.4</v>
      </c>
      <c r="R212" s="7" t="b">
        <v>0</v>
      </c>
      <c r="S212" s="7" t="s">
        <v>30</v>
      </c>
      <c r="T212" s="5">
        <v>225</v>
      </c>
      <c r="U212" s="7" t="s">
        <v>31</v>
      </c>
      <c r="V212" t="s">
        <v>69</v>
      </c>
      <c r="W212" s="7" t="s">
        <v>33</v>
      </c>
    </row>
    <row r="213" spans="1:23" x14ac:dyDescent="0.3">
      <c r="A213" s="6">
        <v>7395</v>
      </c>
      <c r="B213" s="7" t="s">
        <v>130</v>
      </c>
      <c r="C213" t="s">
        <v>185</v>
      </c>
      <c r="D213" s="1">
        <v>45424</v>
      </c>
      <c r="E213" s="8">
        <v>11.99</v>
      </c>
      <c r="F213" s="6">
        <v>73</v>
      </c>
      <c r="G213" s="7" t="s">
        <v>26</v>
      </c>
      <c r="H213" s="6">
        <v>1</v>
      </c>
      <c r="I213" s="6">
        <v>1</v>
      </c>
      <c r="J213" s="7" t="b">
        <v>1</v>
      </c>
      <c r="K213" s="6">
        <v>664</v>
      </c>
      <c r="L213" s="6">
        <v>123</v>
      </c>
      <c r="M213" s="7" t="s">
        <v>68</v>
      </c>
      <c r="N213" s="7" t="s">
        <v>44</v>
      </c>
      <c r="O213" s="7" t="s">
        <v>37</v>
      </c>
      <c r="P213" s="5">
        <v>70</v>
      </c>
      <c r="Q213" s="4">
        <v>4.4000000000000004</v>
      </c>
      <c r="R213" s="7" t="b">
        <v>1</v>
      </c>
      <c r="S213" s="7" t="s">
        <v>30</v>
      </c>
      <c r="T213" s="5">
        <v>4083</v>
      </c>
      <c r="U213" s="7" t="s">
        <v>58</v>
      </c>
      <c r="V213" t="s">
        <v>39</v>
      </c>
      <c r="W213" s="7" t="s">
        <v>33</v>
      </c>
    </row>
    <row r="214" spans="1:23" x14ac:dyDescent="0.3">
      <c r="A214" s="6">
        <v>3904</v>
      </c>
      <c r="B214" s="7" t="s">
        <v>224</v>
      </c>
      <c r="C214" t="s">
        <v>155</v>
      </c>
      <c r="D214" s="1">
        <v>45547</v>
      </c>
      <c r="E214" s="8">
        <v>11.99</v>
      </c>
      <c r="F214" s="6">
        <v>365</v>
      </c>
      <c r="G214" s="7" t="s">
        <v>63</v>
      </c>
      <c r="H214" s="6">
        <v>3</v>
      </c>
      <c r="I214" s="6">
        <v>1</v>
      </c>
      <c r="J214" s="7" t="b">
        <v>1</v>
      </c>
      <c r="K214" s="6">
        <v>679</v>
      </c>
      <c r="L214" s="6">
        <v>1</v>
      </c>
      <c r="M214" s="7" t="s">
        <v>92</v>
      </c>
      <c r="N214" s="7" t="s">
        <v>44</v>
      </c>
      <c r="O214" s="7" t="s">
        <v>78</v>
      </c>
      <c r="P214" s="5">
        <v>100</v>
      </c>
      <c r="Q214" s="4">
        <v>4.7</v>
      </c>
      <c r="R214" s="7" t="b">
        <v>0</v>
      </c>
      <c r="S214" s="7" t="s">
        <v>30</v>
      </c>
      <c r="T214" s="5">
        <v>2714</v>
      </c>
      <c r="U214" s="7" t="s">
        <v>76</v>
      </c>
      <c r="V214" t="s">
        <v>32</v>
      </c>
      <c r="W214" s="7" t="s">
        <v>40</v>
      </c>
    </row>
    <row r="215" spans="1:23" x14ac:dyDescent="0.3">
      <c r="A215" s="6">
        <v>6545</v>
      </c>
      <c r="B215" s="7" t="s">
        <v>147</v>
      </c>
      <c r="C215" t="s">
        <v>108</v>
      </c>
      <c r="D215" s="1">
        <v>45516</v>
      </c>
      <c r="E215" s="8">
        <v>7.99</v>
      </c>
      <c r="F215" s="6">
        <v>61</v>
      </c>
      <c r="G215" s="7" t="s">
        <v>36</v>
      </c>
      <c r="H215" s="6">
        <v>1</v>
      </c>
      <c r="I215" s="6">
        <v>5</v>
      </c>
      <c r="J215" s="7" t="b">
        <v>1</v>
      </c>
      <c r="K215" s="6">
        <v>242</v>
      </c>
      <c r="L215" s="6">
        <v>200</v>
      </c>
      <c r="M215" s="7" t="s">
        <v>74</v>
      </c>
      <c r="N215" s="7" t="s">
        <v>75</v>
      </c>
      <c r="O215" s="7" t="s">
        <v>45</v>
      </c>
      <c r="P215" s="5">
        <v>53</v>
      </c>
      <c r="Q215" s="4">
        <v>4.8</v>
      </c>
      <c r="R215" s="7" t="b">
        <v>1</v>
      </c>
      <c r="S215" s="7" t="s">
        <v>30</v>
      </c>
      <c r="T215" s="5">
        <v>674</v>
      </c>
      <c r="U215" s="7" t="s">
        <v>65</v>
      </c>
      <c r="V215" t="s">
        <v>32</v>
      </c>
      <c r="W215" s="7" t="s">
        <v>33</v>
      </c>
    </row>
    <row r="216" spans="1:23" x14ac:dyDescent="0.3">
      <c r="A216" s="6">
        <v>3131</v>
      </c>
      <c r="B216" s="7" t="s">
        <v>153</v>
      </c>
      <c r="C216" s="1">
        <v>45236</v>
      </c>
      <c r="D216" t="s">
        <v>134</v>
      </c>
      <c r="E216" s="8">
        <v>15.99</v>
      </c>
      <c r="F216" s="6">
        <v>399</v>
      </c>
      <c r="G216" s="7" t="s">
        <v>48</v>
      </c>
      <c r="H216" s="6">
        <v>3</v>
      </c>
      <c r="I216" s="6">
        <v>5</v>
      </c>
      <c r="J216" s="7" t="b">
        <v>0</v>
      </c>
      <c r="K216" s="6">
        <v>541</v>
      </c>
      <c r="L216" s="6">
        <v>158</v>
      </c>
      <c r="M216" s="7" t="s">
        <v>49</v>
      </c>
      <c r="N216" s="7" t="s">
        <v>44</v>
      </c>
      <c r="O216" s="7" t="s">
        <v>78</v>
      </c>
      <c r="P216" s="5">
        <v>4</v>
      </c>
      <c r="Q216" s="4">
        <v>4.9000000000000004</v>
      </c>
      <c r="R216" s="7" t="b">
        <v>1</v>
      </c>
      <c r="S216" s="7" t="s">
        <v>30</v>
      </c>
      <c r="T216" s="5">
        <v>948</v>
      </c>
      <c r="U216" s="7" t="s">
        <v>65</v>
      </c>
      <c r="V216" t="s">
        <v>79</v>
      </c>
      <c r="W216" s="7" t="s">
        <v>60</v>
      </c>
    </row>
    <row r="217" spans="1:23" x14ac:dyDescent="0.3">
      <c r="A217" s="6">
        <v>8589</v>
      </c>
      <c r="B217" s="7" t="s">
        <v>207</v>
      </c>
      <c r="C217" t="s">
        <v>336</v>
      </c>
      <c r="D217" t="s">
        <v>84</v>
      </c>
      <c r="E217" s="8">
        <v>11.99</v>
      </c>
      <c r="F217" s="6">
        <v>102</v>
      </c>
      <c r="G217" s="7" t="s">
        <v>100</v>
      </c>
      <c r="H217" s="6">
        <v>2</v>
      </c>
      <c r="I217" s="6">
        <v>1</v>
      </c>
      <c r="J217" s="7" t="b">
        <v>1</v>
      </c>
      <c r="K217" s="6">
        <v>108</v>
      </c>
      <c r="L217" s="6">
        <v>105</v>
      </c>
      <c r="M217" s="7" t="s">
        <v>92</v>
      </c>
      <c r="N217" s="7" t="s">
        <v>28</v>
      </c>
      <c r="O217" s="7" t="s">
        <v>64</v>
      </c>
      <c r="P217" s="5">
        <v>76</v>
      </c>
      <c r="Q217" s="4">
        <v>4.7</v>
      </c>
      <c r="R217" s="7" t="b">
        <v>0</v>
      </c>
      <c r="S217" s="7" t="s">
        <v>30</v>
      </c>
      <c r="T217" s="5">
        <v>933</v>
      </c>
      <c r="U217" s="7" t="s">
        <v>38</v>
      </c>
      <c r="V217" t="s">
        <v>32</v>
      </c>
      <c r="W217" s="7" t="s">
        <v>93</v>
      </c>
    </row>
    <row r="218" spans="1:23" x14ac:dyDescent="0.3">
      <c r="A218" s="6">
        <v>2908</v>
      </c>
      <c r="B218" s="7" t="s">
        <v>248</v>
      </c>
      <c r="C218" t="s">
        <v>250</v>
      </c>
      <c r="D218" t="s">
        <v>82</v>
      </c>
      <c r="E218" s="8">
        <v>11.99</v>
      </c>
      <c r="F218" s="6">
        <v>88</v>
      </c>
      <c r="G218" s="7" t="s">
        <v>48</v>
      </c>
      <c r="H218" s="6">
        <v>4</v>
      </c>
      <c r="I218" s="6">
        <v>2</v>
      </c>
      <c r="J218" s="7" t="b">
        <v>1</v>
      </c>
      <c r="K218" s="6">
        <v>343</v>
      </c>
      <c r="L218" s="6">
        <v>163</v>
      </c>
      <c r="M218" s="7" t="s">
        <v>92</v>
      </c>
      <c r="N218" s="7" t="s">
        <v>75</v>
      </c>
      <c r="O218" s="7" t="s">
        <v>37</v>
      </c>
      <c r="P218" s="5">
        <v>89</v>
      </c>
      <c r="Q218" s="4">
        <v>5</v>
      </c>
      <c r="R218" s="7" t="b">
        <v>1</v>
      </c>
      <c r="S218" s="7" t="s">
        <v>30</v>
      </c>
      <c r="T218" s="5">
        <v>2914</v>
      </c>
      <c r="U218" s="7" t="s">
        <v>58</v>
      </c>
      <c r="V218" t="s">
        <v>79</v>
      </c>
      <c r="W218" s="7" t="s">
        <v>40</v>
      </c>
    </row>
    <row r="219" spans="1:23" x14ac:dyDescent="0.3">
      <c r="A219" s="6">
        <v>5209</v>
      </c>
      <c r="B219" s="7" t="s">
        <v>238</v>
      </c>
      <c r="C219" s="1">
        <v>45204</v>
      </c>
      <c r="D219" t="s">
        <v>54</v>
      </c>
      <c r="E219" s="8">
        <v>11.99</v>
      </c>
      <c r="F219" s="6">
        <v>92</v>
      </c>
      <c r="G219" s="7" t="s">
        <v>100</v>
      </c>
      <c r="H219" s="6">
        <v>5</v>
      </c>
      <c r="I219" s="6">
        <v>3</v>
      </c>
      <c r="J219" s="7" t="b">
        <v>1</v>
      </c>
      <c r="K219" s="6">
        <v>477</v>
      </c>
      <c r="L219" s="6">
        <v>38</v>
      </c>
      <c r="M219" s="7" t="s">
        <v>92</v>
      </c>
      <c r="N219" s="7" t="s">
        <v>56</v>
      </c>
      <c r="O219" s="7" t="s">
        <v>64</v>
      </c>
      <c r="P219" s="5">
        <v>71</v>
      </c>
      <c r="Q219" s="4">
        <v>3.9</v>
      </c>
      <c r="R219" s="7" t="b">
        <v>1</v>
      </c>
      <c r="S219" s="7" t="s">
        <v>30</v>
      </c>
      <c r="T219" s="5">
        <v>3928</v>
      </c>
      <c r="U219" s="7" t="s">
        <v>31</v>
      </c>
      <c r="V219" t="s">
        <v>69</v>
      </c>
      <c r="W219" s="7" t="s">
        <v>40</v>
      </c>
    </row>
    <row r="220" spans="1:23" x14ac:dyDescent="0.3">
      <c r="A220" s="6">
        <v>2319</v>
      </c>
      <c r="B220" s="7" t="s">
        <v>150</v>
      </c>
      <c r="C220" s="1">
        <v>44932</v>
      </c>
      <c r="D220" t="s">
        <v>84</v>
      </c>
      <c r="E220" s="8">
        <v>15.99</v>
      </c>
      <c r="F220" s="6">
        <v>295</v>
      </c>
      <c r="G220" s="7" t="s">
        <v>36</v>
      </c>
      <c r="H220" s="6">
        <v>5</v>
      </c>
      <c r="I220" s="6">
        <v>4</v>
      </c>
      <c r="J220" s="7" t="b">
        <v>0</v>
      </c>
      <c r="K220" s="6">
        <v>767</v>
      </c>
      <c r="L220" s="6">
        <v>190</v>
      </c>
      <c r="M220" s="7" t="s">
        <v>92</v>
      </c>
      <c r="N220" s="7" t="s">
        <v>56</v>
      </c>
      <c r="O220" s="7" t="s">
        <v>57</v>
      </c>
      <c r="P220" s="5">
        <v>7</v>
      </c>
      <c r="Q220" s="4">
        <v>4.0999999999999996</v>
      </c>
      <c r="R220" s="7" t="b">
        <v>0</v>
      </c>
      <c r="S220" s="7" t="s">
        <v>30</v>
      </c>
      <c r="T220" s="5">
        <v>2559</v>
      </c>
      <c r="U220" s="7" t="s">
        <v>31</v>
      </c>
      <c r="V220" t="s">
        <v>32</v>
      </c>
      <c r="W220" s="7" t="s">
        <v>40</v>
      </c>
    </row>
    <row r="221" spans="1:23" x14ac:dyDescent="0.3">
      <c r="A221" s="6">
        <v>9026</v>
      </c>
      <c r="B221" s="7" t="s">
        <v>197</v>
      </c>
      <c r="C221" s="1">
        <v>45356</v>
      </c>
      <c r="D221" t="s">
        <v>82</v>
      </c>
      <c r="E221" s="8">
        <v>11.99</v>
      </c>
      <c r="F221" s="6">
        <v>139</v>
      </c>
      <c r="G221" s="7" t="s">
        <v>73</v>
      </c>
      <c r="H221" s="6">
        <v>1</v>
      </c>
      <c r="I221" s="6">
        <v>5</v>
      </c>
      <c r="J221" s="7" t="b">
        <v>1</v>
      </c>
      <c r="K221" s="6">
        <v>12</v>
      </c>
      <c r="L221" s="6">
        <v>9</v>
      </c>
      <c r="M221" s="7" t="s">
        <v>49</v>
      </c>
      <c r="N221" s="7" t="s">
        <v>56</v>
      </c>
      <c r="O221" s="7" t="s">
        <v>57</v>
      </c>
      <c r="P221" s="5">
        <v>21</v>
      </c>
      <c r="Q221" s="4">
        <v>4.8</v>
      </c>
      <c r="R221" s="7" t="b">
        <v>1</v>
      </c>
      <c r="S221" s="7" t="s">
        <v>30</v>
      </c>
      <c r="T221" s="5">
        <v>2571</v>
      </c>
      <c r="U221" s="7" t="s">
        <v>76</v>
      </c>
      <c r="V221" t="s">
        <v>32</v>
      </c>
      <c r="W221" s="7" t="s">
        <v>40</v>
      </c>
    </row>
    <row r="222" spans="1:23" x14ac:dyDescent="0.3">
      <c r="A222" s="6">
        <v>2723</v>
      </c>
      <c r="B222" s="7" t="s">
        <v>337</v>
      </c>
      <c r="C222" s="1">
        <v>44935</v>
      </c>
      <c r="D222" t="s">
        <v>156</v>
      </c>
      <c r="E222" s="8">
        <v>15.99</v>
      </c>
      <c r="F222" s="6">
        <v>416</v>
      </c>
      <c r="G222" s="7" t="s">
        <v>26</v>
      </c>
      <c r="H222" s="6">
        <v>1</v>
      </c>
      <c r="I222" s="6">
        <v>2</v>
      </c>
      <c r="J222" s="7" t="b">
        <v>1</v>
      </c>
      <c r="K222" s="6">
        <v>920</v>
      </c>
      <c r="L222" s="6">
        <v>79</v>
      </c>
      <c r="M222" s="7" t="s">
        <v>55</v>
      </c>
      <c r="N222" s="7" t="s">
        <v>44</v>
      </c>
      <c r="O222" s="7" t="s">
        <v>78</v>
      </c>
      <c r="P222" s="5">
        <v>20</v>
      </c>
      <c r="Q222" s="4">
        <v>4.4000000000000004</v>
      </c>
      <c r="R222" s="7" t="b">
        <v>0</v>
      </c>
      <c r="S222" s="7" t="s">
        <v>30</v>
      </c>
      <c r="T222" s="5">
        <v>3834</v>
      </c>
      <c r="U222" s="7" t="s">
        <v>31</v>
      </c>
      <c r="V222" t="s">
        <v>79</v>
      </c>
      <c r="W222" s="7" t="s">
        <v>40</v>
      </c>
    </row>
    <row r="223" spans="1:23" x14ac:dyDescent="0.3">
      <c r="A223" s="6">
        <v>5487</v>
      </c>
      <c r="B223" s="7" t="s">
        <v>148</v>
      </c>
      <c r="C223" t="s">
        <v>338</v>
      </c>
      <c r="D223" t="s">
        <v>129</v>
      </c>
      <c r="E223" s="8">
        <v>7.99</v>
      </c>
      <c r="F223" s="6">
        <v>173</v>
      </c>
      <c r="G223" s="7" t="s">
        <v>73</v>
      </c>
      <c r="H223" s="6">
        <v>2</v>
      </c>
      <c r="I223" s="6">
        <v>2</v>
      </c>
      <c r="J223" s="7" t="b">
        <v>0</v>
      </c>
      <c r="K223" s="6">
        <v>819</v>
      </c>
      <c r="L223" s="6">
        <v>174</v>
      </c>
      <c r="M223" s="7" t="s">
        <v>27</v>
      </c>
      <c r="N223" s="7" t="s">
        <v>28</v>
      </c>
      <c r="O223" s="7" t="s">
        <v>29</v>
      </c>
      <c r="P223" s="5">
        <v>34</v>
      </c>
      <c r="Q223" s="4">
        <v>4.0999999999999996</v>
      </c>
      <c r="R223" s="7" t="b">
        <v>0</v>
      </c>
      <c r="S223" s="7" t="s">
        <v>30</v>
      </c>
      <c r="T223" s="5">
        <v>4714</v>
      </c>
      <c r="U223" s="7" t="s">
        <v>65</v>
      </c>
      <c r="V223" t="s">
        <v>39</v>
      </c>
      <c r="W223" s="7" t="s">
        <v>40</v>
      </c>
    </row>
    <row r="224" spans="1:23" x14ac:dyDescent="0.3">
      <c r="A224" s="6">
        <v>4656</v>
      </c>
      <c r="B224" s="7" t="s">
        <v>207</v>
      </c>
      <c r="C224" t="s">
        <v>339</v>
      </c>
      <c r="D224" t="s">
        <v>168</v>
      </c>
      <c r="E224" s="8">
        <v>7.99</v>
      </c>
      <c r="F224" s="6">
        <v>75</v>
      </c>
      <c r="G224" s="7" t="s">
        <v>26</v>
      </c>
      <c r="H224" s="6">
        <v>3</v>
      </c>
      <c r="I224" s="6">
        <v>5</v>
      </c>
      <c r="J224" s="7" t="b">
        <v>0</v>
      </c>
      <c r="K224" s="6">
        <v>607</v>
      </c>
      <c r="L224" s="6">
        <v>94</v>
      </c>
      <c r="M224" s="7" t="s">
        <v>43</v>
      </c>
      <c r="N224" s="7" t="s">
        <v>75</v>
      </c>
      <c r="O224" s="7" t="s">
        <v>37</v>
      </c>
      <c r="P224" s="5">
        <v>57</v>
      </c>
      <c r="Q224" s="4">
        <v>3.8</v>
      </c>
      <c r="R224" s="7" t="b">
        <v>1</v>
      </c>
      <c r="S224" s="7" t="s">
        <v>30</v>
      </c>
      <c r="T224" s="5">
        <v>4800</v>
      </c>
      <c r="U224" s="7" t="s">
        <v>58</v>
      </c>
      <c r="V224" t="s">
        <v>39</v>
      </c>
      <c r="W224" s="7" t="s">
        <v>93</v>
      </c>
    </row>
    <row r="225" spans="1:23" x14ac:dyDescent="0.3">
      <c r="A225" s="6">
        <v>5718</v>
      </c>
      <c r="B225" s="7" t="s">
        <v>340</v>
      </c>
      <c r="C225" t="s">
        <v>341</v>
      </c>
      <c r="D225" t="s">
        <v>105</v>
      </c>
      <c r="E225" s="8">
        <v>15.99</v>
      </c>
      <c r="F225" s="6">
        <v>173</v>
      </c>
      <c r="G225" s="7" t="s">
        <v>48</v>
      </c>
      <c r="H225" s="6">
        <v>1</v>
      </c>
      <c r="I225" s="6">
        <v>6</v>
      </c>
      <c r="J225" s="7" t="b">
        <v>1</v>
      </c>
      <c r="K225" s="6">
        <v>346</v>
      </c>
      <c r="L225" s="6">
        <v>76</v>
      </c>
      <c r="M225" s="7" t="s">
        <v>43</v>
      </c>
      <c r="N225" s="7" t="s">
        <v>28</v>
      </c>
      <c r="O225" s="7" t="s">
        <v>57</v>
      </c>
      <c r="P225" s="5">
        <v>28</v>
      </c>
      <c r="Q225" s="4">
        <v>3.3</v>
      </c>
      <c r="R225" s="7" t="b">
        <v>0</v>
      </c>
      <c r="S225" s="7" t="s">
        <v>30</v>
      </c>
      <c r="T225" s="5">
        <v>1610</v>
      </c>
      <c r="U225" s="7" t="s">
        <v>31</v>
      </c>
      <c r="V225" t="s">
        <v>69</v>
      </c>
      <c r="W225" s="7" t="s">
        <v>93</v>
      </c>
    </row>
    <row r="226" spans="1:23" x14ac:dyDescent="0.3">
      <c r="A226" s="6">
        <v>1215</v>
      </c>
      <c r="B226" s="7" t="s">
        <v>342</v>
      </c>
      <c r="C226" t="s">
        <v>343</v>
      </c>
      <c r="D226" t="s">
        <v>99</v>
      </c>
      <c r="E226" s="8">
        <v>7.99</v>
      </c>
      <c r="F226" s="6">
        <v>421</v>
      </c>
      <c r="G226" s="7" t="s">
        <v>51</v>
      </c>
      <c r="H226" s="6">
        <v>3</v>
      </c>
      <c r="I226" s="6">
        <v>1</v>
      </c>
      <c r="J226" s="7" t="b">
        <v>1</v>
      </c>
      <c r="K226" s="6">
        <v>668</v>
      </c>
      <c r="L226" s="6">
        <v>17</v>
      </c>
      <c r="M226" s="7" t="s">
        <v>43</v>
      </c>
      <c r="N226" s="7" t="s">
        <v>56</v>
      </c>
      <c r="O226" s="7" t="s">
        <v>57</v>
      </c>
      <c r="P226" s="5">
        <v>7</v>
      </c>
      <c r="Q226" s="4">
        <v>4</v>
      </c>
      <c r="R226" s="7" t="b">
        <v>1</v>
      </c>
      <c r="S226" s="7" t="s">
        <v>30</v>
      </c>
      <c r="T226" s="5">
        <v>2780</v>
      </c>
      <c r="U226" s="7" t="s">
        <v>76</v>
      </c>
      <c r="V226" t="s">
        <v>39</v>
      </c>
      <c r="W226" s="7" t="s">
        <v>40</v>
      </c>
    </row>
    <row r="227" spans="1:23" x14ac:dyDescent="0.3">
      <c r="A227" s="6">
        <v>3427</v>
      </c>
      <c r="B227" s="7" t="s">
        <v>344</v>
      </c>
      <c r="C227" s="1">
        <v>45211</v>
      </c>
      <c r="D227" s="1">
        <v>45485</v>
      </c>
      <c r="E227" s="8">
        <v>15.99</v>
      </c>
      <c r="F227" s="6">
        <v>29</v>
      </c>
      <c r="G227" s="7" t="s">
        <v>48</v>
      </c>
      <c r="H227" s="6">
        <v>5</v>
      </c>
      <c r="I227" s="6">
        <v>2</v>
      </c>
      <c r="J227" s="7" t="b">
        <v>1</v>
      </c>
      <c r="K227" s="6">
        <v>317</v>
      </c>
      <c r="L227" s="6">
        <v>116</v>
      </c>
      <c r="M227" s="7" t="s">
        <v>27</v>
      </c>
      <c r="N227" s="7" t="s">
        <v>56</v>
      </c>
      <c r="O227" s="7" t="s">
        <v>37</v>
      </c>
      <c r="P227" s="5">
        <v>78</v>
      </c>
      <c r="Q227" s="4">
        <v>3.8</v>
      </c>
      <c r="R227" s="7" t="b">
        <v>1</v>
      </c>
      <c r="S227" s="7" t="s">
        <v>30</v>
      </c>
      <c r="T227" s="5">
        <v>639</v>
      </c>
      <c r="U227" s="7" t="s">
        <v>76</v>
      </c>
      <c r="V227" t="s">
        <v>39</v>
      </c>
      <c r="W227" s="7" t="s">
        <v>60</v>
      </c>
    </row>
    <row r="228" spans="1:23" x14ac:dyDescent="0.3">
      <c r="A228" s="6">
        <v>2428</v>
      </c>
      <c r="B228" s="7" t="s">
        <v>345</v>
      </c>
      <c r="C228" t="s">
        <v>346</v>
      </c>
      <c r="D228" t="s">
        <v>134</v>
      </c>
      <c r="E228" s="8">
        <v>7.99</v>
      </c>
      <c r="F228" s="6">
        <v>180</v>
      </c>
      <c r="G228" s="7" t="s">
        <v>73</v>
      </c>
      <c r="H228" s="6">
        <v>2</v>
      </c>
      <c r="I228" s="6">
        <v>4</v>
      </c>
      <c r="J228" s="7" t="b">
        <v>1</v>
      </c>
      <c r="K228" s="6">
        <v>297</v>
      </c>
      <c r="L228" s="6">
        <v>19</v>
      </c>
      <c r="M228" s="7" t="s">
        <v>92</v>
      </c>
      <c r="N228" s="7" t="s">
        <v>56</v>
      </c>
      <c r="O228" s="7" t="s">
        <v>29</v>
      </c>
      <c r="P228" s="5">
        <v>84</v>
      </c>
      <c r="Q228" s="4">
        <v>4.9000000000000004</v>
      </c>
      <c r="R228" s="7" t="b">
        <v>0</v>
      </c>
      <c r="S228" s="7" t="s">
        <v>30</v>
      </c>
      <c r="T228" s="5">
        <v>1960</v>
      </c>
      <c r="U228" s="7" t="s">
        <v>31</v>
      </c>
      <c r="V228" t="s">
        <v>59</v>
      </c>
      <c r="W228" s="7" t="s">
        <v>93</v>
      </c>
    </row>
    <row r="229" spans="1:23" x14ac:dyDescent="0.3">
      <c r="A229" s="6">
        <v>1947</v>
      </c>
      <c r="B229" s="7" t="s">
        <v>347</v>
      </c>
      <c r="C229" s="1">
        <v>45300</v>
      </c>
      <c r="D229" t="s">
        <v>156</v>
      </c>
      <c r="E229" s="8">
        <v>11.99</v>
      </c>
      <c r="F229" s="6">
        <v>469</v>
      </c>
      <c r="G229" s="7" t="s">
        <v>26</v>
      </c>
      <c r="H229" s="6">
        <v>4</v>
      </c>
      <c r="I229" s="6">
        <v>6</v>
      </c>
      <c r="J229" s="7" t="b">
        <v>1</v>
      </c>
      <c r="K229" s="6">
        <v>866</v>
      </c>
      <c r="L229" s="6">
        <v>120</v>
      </c>
      <c r="M229" s="7" t="s">
        <v>43</v>
      </c>
      <c r="N229" s="7" t="s">
        <v>56</v>
      </c>
      <c r="O229" s="7" t="s">
        <v>64</v>
      </c>
      <c r="P229" s="5">
        <v>92</v>
      </c>
      <c r="Q229" s="4">
        <v>3.6</v>
      </c>
      <c r="R229" s="7" t="b">
        <v>1</v>
      </c>
      <c r="S229" s="7" t="s">
        <v>30</v>
      </c>
      <c r="T229" s="5">
        <v>1764</v>
      </c>
      <c r="U229" s="7" t="s">
        <v>58</v>
      </c>
      <c r="V229" t="s">
        <v>59</v>
      </c>
      <c r="W229" s="7" t="s">
        <v>33</v>
      </c>
    </row>
    <row r="230" spans="1:23" x14ac:dyDescent="0.3">
      <c r="A230" s="6">
        <v>5036</v>
      </c>
      <c r="B230" s="7" t="s">
        <v>290</v>
      </c>
      <c r="C230" t="s">
        <v>348</v>
      </c>
      <c r="D230" t="s">
        <v>168</v>
      </c>
      <c r="E230" s="8">
        <v>15.99</v>
      </c>
      <c r="F230" s="6">
        <v>381</v>
      </c>
      <c r="G230" s="7" t="s">
        <v>63</v>
      </c>
      <c r="H230" s="6">
        <v>5</v>
      </c>
      <c r="I230" s="6">
        <v>1</v>
      </c>
      <c r="J230" s="7" t="b">
        <v>1</v>
      </c>
      <c r="K230" s="6">
        <v>286</v>
      </c>
      <c r="L230" s="6">
        <v>121</v>
      </c>
      <c r="M230" s="7" t="s">
        <v>43</v>
      </c>
      <c r="N230" s="7" t="s">
        <v>75</v>
      </c>
      <c r="O230" s="7" t="s">
        <v>78</v>
      </c>
      <c r="P230" s="5">
        <v>57</v>
      </c>
      <c r="Q230" s="4">
        <v>4.0999999999999996</v>
      </c>
      <c r="R230" s="7" t="b">
        <v>1</v>
      </c>
      <c r="S230" s="7" t="s">
        <v>30</v>
      </c>
      <c r="T230" s="5">
        <v>967</v>
      </c>
      <c r="U230" s="7" t="s">
        <v>31</v>
      </c>
      <c r="V230" t="s">
        <v>59</v>
      </c>
      <c r="W230" s="7" t="s">
        <v>93</v>
      </c>
    </row>
    <row r="231" spans="1:23" x14ac:dyDescent="0.3">
      <c r="A231" s="6">
        <v>5857</v>
      </c>
      <c r="B231" s="7" t="s">
        <v>88</v>
      </c>
      <c r="C231" s="1">
        <v>45424</v>
      </c>
      <c r="D231" t="s">
        <v>35</v>
      </c>
      <c r="E231" s="8">
        <v>15.99</v>
      </c>
      <c r="F231" s="6">
        <v>263</v>
      </c>
      <c r="G231" s="7" t="s">
        <v>63</v>
      </c>
      <c r="H231" s="6">
        <v>5</v>
      </c>
      <c r="I231" s="6">
        <v>5</v>
      </c>
      <c r="J231" s="7" t="b">
        <v>0</v>
      </c>
      <c r="K231" s="6">
        <v>95</v>
      </c>
      <c r="L231" s="6">
        <v>149</v>
      </c>
      <c r="M231" s="7" t="s">
        <v>74</v>
      </c>
      <c r="N231" s="7" t="s">
        <v>56</v>
      </c>
      <c r="O231" s="7" t="s">
        <v>78</v>
      </c>
      <c r="P231" s="5">
        <v>17</v>
      </c>
      <c r="Q231" s="4">
        <v>4</v>
      </c>
      <c r="R231" s="7" t="b">
        <v>1</v>
      </c>
      <c r="S231" s="7" t="s">
        <v>30</v>
      </c>
      <c r="T231" s="5">
        <v>2086</v>
      </c>
      <c r="U231" s="7" t="s">
        <v>58</v>
      </c>
      <c r="V231" t="s">
        <v>79</v>
      </c>
      <c r="W231" s="7" t="s">
        <v>93</v>
      </c>
    </row>
    <row r="232" spans="1:23" x14ac:dyDescent="0.3">
      <c r="A232" s="6">
        <v>8770</v>
      </c>
      <c r="B232" s="7" t="s">
        <v>106</v>
      </c>
      <c r="C232" s="1">
        <v>45268</v>
      </c>
      <c r="D232" t="s">
        <v>134</v>
      </c>
      <c r="E232" s="8">
        <v>7.99</v>
      </c>
      <c r="F232" s="6">
        <v>48</v>
      </c>
      <c r="G232" s="7" t="s">
        <v>36</v>
      </c>
      <c r="H232" s="6">
        <v>4</v>
      </c>
      <c r="I232" s="6">
        <v>2</v>
      </c>
      <c r="J232" s="7" t="b">
        <v>0</v>
      </c>
      <c r="K232" s="6">
        <v>938</v>
      </c>
      <c r="L232" s="6">
        <v>92</v>
      </c>
      <c r="M232" s="7" t="s">
        <v>43</v>
      </c>
      <c r="N232" s="7" t="s">
        <v>75</v>
      </c>
      <c r="O232" s="7" t="s">
        <v>78</v>
      </c>
      <c r="P232" s="5">
        <v>99</v>
      </c>
      <c r="Q232" s="4">
        <v>4.2</v>
      </c>
      <c r="R232" s="7" t="b">
        <v>1</v>
      </c>
      <c r="S232" s="7" t="s">
        <v>30</v>
      </c>
      <c r="T232" s="5">
        <v>3288</v>
      </c>
      <c r="U232" s="7" t="s">
        <v>58</v>
      </c>
      <c r="V232" t="s">
        <v>79</v>
      </c>
      <c r="W232" s="7" t="s">
        <v>33</v>
      </c>
    </row>
    <row r="233" spans="1:23" x14ac:dyDescent="0.3">
      <c r="A233" s="6">
        <v>4118</v>
      </c>
      <c r="B233" s="7" t="s">
        <v>349</v>
      </c>
      <c r="C233" t="s">
        <v>350</v>
      </c>
      <c r="D233" t="s">
        <v>54</v>
      </c>
      <c r="E233" s="8">
        <v>11.99</v>
      </c>
      <c r="F233" s="6">
        <v>447</v>
      </c>
      <c r="G233" s="7" t="s">
        <v>51</v>
      </c>
      <c r="H233" s="6">
        <v>3</v>
      </c>
      <c r="I233" s="6">
        <v>4</v>
      </c>
      <c r="J233" s="7" t="b">
        <v>0</v>
      </c>
      <c r="K233" s="6">
        <v>264</v>
      </c>
      <c r="L233" s="6">
        <v>55</v>
      </c>
      <c r="M233" s="7" t="s">
        <v>68</v>
      </c>
      <c r="N233" s="7" t="s">
        <v>28</v>
      </c>
      <c r="O233" s="7" t="s">
        <v>45</v>
      </c>
      <c r="P233" s="5">
        <v>58</v>
      </c>
      <c r="Q233" s="4">
        <v>3.6</v>
      </c>
      <c r="R233" s="7" t="b">
        <v>0</v>
      </c>
      <c r="S233" s="7" t="s">
        <v>30</v>
      </c>
      <c r="T233" s="5">
        <v>1486</v>
      </c>
      <c r="U233" s="7" t="s">
        <v>31</v>
      </c>
      <c r="V233" t="s">
        <v>79</v>
      </c>
      <c r="W233" s="7" t="s">
        <v>93</v>
      </c>
    </row>
    <row r="234" spans="1:23" x14ac:dyDescent="0.3">
      <c r="A234" s="6">
        <v>7162</v>
      </c>
      <c r="B234" s="7" t="s">
        <v>351</v>
      </c>
      <c r="C234" t="s">
        <v>206</v>
      </c>
      <c r="D234" t="s">
        <v>42</v>
      </c>
      <c r="E234" s="8">
        <v>15.99</v>
      </c>
      <c r="F234" s="6">
        <v>415</v>
      </c>
      <c r="G234" s="7" t="s">
        <v>48</v>
      </c>
      <c r="H234" s="6">
        <v>1</v>
      </c>
      <c r="I234" s="6">
        <v>3</v>
      </c>
      <c r="J234" s="7" t="b">
        <v>1</v>
      </c>
      <c r="K234" s="6">
        <v>44</v>
      </c>
      <c r="L234" s="6">
        <v>10</v>
      </c>
      <c r="M234" s="7" t="s">
        <v>92</v>
      </c>
      <c r="N234" s="7" t="s">
        <v>44</v>
      </c>
      <c r="O234" s="7" t="s">
        <v>78</v>
      </c>
      <c r="P234" s="5">
        <v>91</v>
      </c>
      <c r="Q234" s="4">
        <v>3.3</v>
      </c>
      <c r="R234" s="7" t="b">
        <v>0</v>
      </c>
      <c r="S234" s="7" t="s">
        <v>30</v>
      </c>
      <c r="T234" s="5">
        <v>223</v>
      </c>
      <c r="U234" s="7" t="s">
        <v>58</v>
      </c>
      <c r="V234" t="s">
        <v>79</v>
      </c>
      <c r="W234" s="7" t="s">
        <v>93</v>
      </c>
    </row>
    <row r="235" spans="1:23" x14ac:dyDescent="0.3">
      <c r="A235" s="6">
        <v>9278</v>
      </c>
      <c r="B235" s="7" t="s">
        <v>304</v>
      </c>
      <c r="C235" t="s">
        <v>352</v>
      </c>
      <c r="D235" t="s">
        <v>42</v>
      </c>
      <c r="E235" s="8">
        <v>7.99</v>
      </c>
      <c r="F235" s="6">
        <v>429</v>
      </c>
      <c r="G235" s="7" t="s">
        <v>36</v>
      </c>
      <c r="H235" s="6">
        <v>5</v>
      </c>
      <c r="I235" s="6">
        <v>4</v>
      </c>
      <c r="J235" s="7" t="b">
        <v>0</v>
      </c>
      <c r="K235" s="6">
        <v>944</v>
      </c>
      <c r="L235" s="6">
        <v>165</v>
      </c>
      <c r="M235" s="7" t="s">
        <v>92</v>
      </c>
      <c r="N235" s="7" t="s">
        <v>28</v>
      </c>
      <c r="O235" s="7" t="s">
        <v>78</v>
      </c>
      <c r="P235" s="5">
        <v>12</v>
      </c>
      <c r="Q235" s="4">
        <v>4.7</v>
      </c>
      <c r="R235" s="7" t="b">
        <v>1</v>
      </c>
      <c r="S235" s="7" t="s">
        <v>30</v>
      </c>
      <c r="T235" s="5">
        <v>2394</v>
      </c>
      <c r="U235" s="7" t="s">
        <v>76</v>
      </c>
      <c r="V235" t="s">
        <v>69</v>
      </c>
      <c r="W235" s="7" t="s">
        <v>60</v>
      </c>
    </row>
    <row r="236" spans="1:23" x14ac:dyDescent="0.3">
      <c r="A236" s="6">
        <v>5406</v>
      </c>
      <c r="B236" s="7" t="s">
        <v>353</v>
      </c>
      <c r="C236" s="1">
        <v>45636</v>
      </c>
      <c r="D236" s="1">
        <v>45485</v>
      </c>
      <c r="E236" s="8">
        <v>7.99</v>
      </c>
      <c r="F236" s="6">
        <v>26</v>
      </c>
      <c r="G236" s="7" t="s">
        <v>36</v>
      </c>
      <c r="H236" s="6">
        <v>5</v>
      </c>
      <c r="I236" s="6">
        <v>5</v>
      </c>
      <c r="J236" s="7" t="b">
        <v>0</v>
      </c>
      <c r="K236" s="6">
        <v>542</v>
      </c>
      <c r="L236" s="6">
        <v>152</v>
      </c>
      <c r="M236" s="7" t="s">
        <v>43</v>
      </c>
      <c r="N236" s="7" t="s">
        <v>56</v>
      </c>
      <c r="O236" s="7" t="s">
        <v>45</v>
      </c>
      <c r="P236" s="5">
        <v>6</v>
      </c>
      <c r="Q236" s="4">
        <v>3.1</v>
      </c>
      <c r="R236" s="7" t="b">
        <v>0</v>
      </c>
      <c r="S236" s="7" t="s">
        <v>30</v>
      </c>
      <c r="T236" s="5">
        <v>4329</v>
      </c>
      <c r="U236" s="7" t="s">
        <v>31</v>
      </c>
      <c r="V236" t="s">
        <v>59</v>
      </c>
      <c r="W236" s="7" t="s">
        <v>60</v>
      </c>
    </row>
    <row r="237" spans="1:23" x14ac:dyDescent="0.3">
      <c r="A237" s="6">
        <v>4641</v>
      </c>
      <c r="B237" s="7" t="s">
        <v>311</v>
      </c>
      <c r="C237" s="1">
        <v>45635</v>
      </c>
      <c r="D237" s="1">
        <v>45516</v>
      </c>
      <c r="E237" s="8">
        <v>15.99</v>
      </c>
      <c r="F237" s="6">
        <v>101</v>
      </c>
      <c r="G237" s="7" t="s">
        <v>100</v>
      </c>
      <c r="H237" s="6">
        <v>4</v>
      </c>
      <c r="I237" s="6">
        <v>6</v>
      </c>
      <c r="J237" s="7" t="b">
        <v>1</v>
      </c>
      <c r="K237" s="6">
        <v>350</v>
      </c>
      <c r="L237" s="6">
        <v>17</v>
      </c>
      <c r="M237" s="7" t="s">
        <v>68</v>
      </c>
      <c r="N237" s="7" t="s">
        <v>28</v>
      </c>
      <c r="O237" s="7" t="s">
        <v>45</v>
      </c>
      <c r="P237" s="5">
        <v>11</v>
      </c>
      <c r="Q237" s="4">
        <v>3.4</v>
      </c>
      <c r="R237" s="7" t="b">
        <v>1</v>
      </c>
      <c r="S237" s="7" t="s">
        <v>30</v>
      </c>
      <c r="T237" s="5">
        <v>2193</v>
      </c>
      <c r="U237" s="7" t="s">
        <v>76</v>
      </c>
      <c r="V237" t="s">
        <v>32</v>
      </c>
      <c r="W237" s="7" t="s">
        <v>93</v>
      </c>
    </row>
    <row r="238" spans="1:23" x14ac:dyDescent="0.3">
      <c r="A238" s="6">
        <v>3969</v>
      </c>
      <c r="B238" s="7" t="s">
        <v>329</v>
      </c>
      <c r="C238" t="s">
        <v>354</v>
      </c>
      <c r="D238" s="1">
        <v>45638</v>
      </c>
      <c r="E238" s="8">
        <v>15.99</v>
      </c>
      <c r="F238" s="6">
        <v>461</v>
      </c>
      <c r="G238" s="7" t="s">
        <v>48</v>
      </c>
      <c r="H238" s="6">
        <v>2</v>
      </c>
      <c r="I238" s="6">
        <v>6</v>
      </c>
      <c r="J238" s="7" t="b">
        <v>1</v>
      </c>
      <c r="K238" s="6">
        <v>31</v>
      </c>
      <c r="L238" s="6">
        <v>173</v>
      </c>
      <c r="M238" s="7" t="s">
        <v>43</v>
      </c>
      <c r="N238" s="7" t="s">
        <v>28</v>
      </c>
      <c r="O238" s="7" t="s">
        <v>57</v>
      </c>
      <c r="P238" s="5">
        <v>84</v>
      </c>
      <c r="Q238" s="4">
        <v>3.5</v>
      </c>
      <c r="R238" s="7" t="b">
        <v>1</v>
      </c>
      <c r="S238" s="7" t="s">
        <v>30</v>
      </c>
      <c r="T238" s="5">
        <v>3730</v>
      </c>
      <c r="U238" s="7" t="s">
        <v>76</v>
      </c>
      <c r="V238" t="s">
        <v>39</v>
      </c>
      <c r="W238" s="7" t="s">
        <v>60</v>
      </c>
    </row>
    <row r="239" spans="1:23" x14ac:dyDescent="0.3">
      <c r="A239" s="6">
        <v>3078</v>
      </c>
      <c r="B239" s="7" t="s">
        <v>355</v>
      </c>
      <c r="C239" t="s">
        <v>173</v>
      </c>
      <c r="D239" t="s">
        <v>42</v>
      </c>
      <c r="E239" s="8">
        <v>7.99</v>
      </c>
      <c r="F239" s="6">
        <v>246</v>
      </c>
      <c r="G239" s="7" t="s">
        <v>26</v>
      </c>
      <c r="H239" s="6">
        <v>3</v>
      </c>
      <c r="I239" s="6">
        <v>3</v>
      </c>
      <c r="J239" s="7" t="b">
        <v>0</v>
      </c>
      <c r="K239" s="6">
        <v>358</v>
      </c>
      <c r="L239" s="6">
        <v>158</v>
      </c>
      <c r="M239" s="7" t="s">
        <v>74</v>
      </c>
      <c r="N239" s="7" t="s">
        <v>56</v>
      </c>
      <c r="O239" s="7" t="s">
        <v>29</v>
      </c>
      <c r="P239" s="5">
        <v>18</v>
      </c>
      <c r="Q239" s="4">
        <v>3.8</v>
      </c>
      <c r="R239" s="7" t="b">
        <v>0</v>
      </c>
      <c r="S239" s="7" t="s">
        <v>30</v>
      </c>
      <c r="T239" s="5">
        <v>2234</v>
      </c>
      <c r="U239" s="7" t="s">
        <v>58</v>
      </c>
      <c r="V239" t="s">
        <v>59</v>
      </c>
      <c r="W239" s="7" t="s">
        <v>93</v>
      </c>
    </row>
    <row r="240" spans="1:23" x14ac:dyDescent="0.3">
      <c r="A240" s="6">
        <v>2808</v>
      </c>
      <c r="B240" s="7" t="s">
        <v>177</v>
      </c>
      <c r="C240" s="1">
        <v>45271</v>
      </c>
      <c r="D240" t="s">
        <v>42</v>
      </c>
      <c r="E240" s="8">
        <v>15.99</v>
      </c>
      <c r="F240" s="6">
        <v>91</v>
      </c>
      <c r="G240" s="7" t="s">
        <v>63</v>
      </c>
      <c r="H240" s="6">
        <v>3</v>
      </c>
      <c r="I240" s="6">
        <v>6</v>
      </c>
      <c r="J240" s="7" t="b">
        <v>0</v>
      </c>
      <c r="K240" s="6">
        <v>961</v>
      </c>
      <c r="L240" s="6">
        <v>170</v>
      </c>
      <c r="M240" s="7" t="s">
        <v>27</v>
      </c>
      <c r="N240" s="7" t="s">
        <v>28</v>
      </c>
      <c r="O240" s="7" t="s">
        <v>45</v>
      </c>
      <c r="P240" s="5">
        <v>87</v>
      </c>
      <c r="Q240" s="4">
        <v>4.2</v>
      </c>
      <c r="R240" s="7" t="b">
        <v>0</v>
      </c>
      <c r="S240" s="7" t="s">
        <v>30</v>
      </c>
      <c r="T240" s="5">
        <v>718</v>
      </c>
      <c r="U240" s="7" t="s">
        <v>58</v>
      </c>
      <c r="V240" t="s">
        <v>39</v>
      </c>
      <c r="W240" s="7" t="s">
        <v>93</v>
      </c>
    </row>
    <row r="241" spans="1:23" x14ac:dyDescent="0.3">
      <c r="A241" s="6">
        <v>7484</v>
      </c>
      <c r="B241" s="7" t="s">
        <v>340</v>
      </c>
      <c r="C241" s="1">
        <v>45516</v>
      </c>
      <c r="D241" t="s">
        <v>134</v>
      </c>
      <c r="E241" s="8">
        <v>11.99</v>
      </c>
      <c r="F241" s="6">
        <v>152</v>
      </c>
      <c r="G241" s="7" t="s">
        <v>100</v>
      </c>
      <c r="H241" s="6">
        <v>5</v>
      </c>
      <c r="I241" s="6">
        <v>1</v>
      </c>
      <c r="J241" s="7" t="b">
        <v>0</v>
      </c>
      <c r="K241" s="6">
        <v>623</v>
      </c>
      <c r="L241" s="6">
        <v>180</v>
      </c>
      <c r="M241" s="7" t="s">
        <v>43</v>
      </c>
      <c r="N241" s="7" t="s">
        <v>75</v>
      </c>
      <c r="O241" s="7" t="s">
        <v>78</v>
      </c>
      <c r="P241" s="5">
        <v>89</v>
      </c>
      <c r="Q241" s="4">
        <v>4.5</v>
      </c>
      <c r="R241" s="7" t="b">
        <v>1</v>
      </c>
      <c r="S241" s="7" t="s">
        <v>30</v>
      </c>
      <c r="T241" s="5">
        <v>1594</v>
      </c>
      <c r="U241" s="7" t="s">
        <v>31</v>
      </c>
      <c r="V241" t="s">
        <v>39</v>
      </c>
      <c r="W241" s="7" t="s">
        <v>33</v>
      </c>
    </row>
    <row r="242" spans="1:23" x14ac:dyDescent="0.3">
      <c r="A242" s="6">
        <v>2396</v>
      </c>
      <c r="B242" s="7" t="s">
        <v>272</v>
      </c>
      <c r="C242" s="1">
        <v>44969</v>
      </c>
      <c r="D242" t="s">
        <v>87</v>
      </c>
      <c r="E242" s="8">
        <v>11.99</v>
      </c>
      <c r="F242" s="6">
        <v>283</v>
      </c>
      <c r="G242" s="7" t="s">
        <v>26</v>
      </c>
      <c r="H242" s="6">
        <v>3</v>
      </c>
      <c r="I242" s="6">
        <v>5</v>
      </c>
      <c r="J242" s="7" t="b">
        <v>0</v>
      </c>
      <c r="K242" s="6">
        <v>466</v>
      </c>
      <c r="L242" s="6">
        <v>139</v>
      </c>
      <c r="M242" s="7" t="s">
        <v>49</v>
      </c>
      <c r="N242" s="7" t="s">
        <v>28</v>
      </c>
      <c r="O242" s="7" t="s">
        <v>29</v>
      </c>
      <c r="P242" s="5">
        <v>62</v>
      </c>
      <c r="Q242" s="4">
        <v>4</v>
      </c>
      <c r="R242" s="7" t="b">
        <v>1</v>
      </c>
      <c r="S242" s="7" t="s">
        <v>30</v>
      </c>
      <c r="T242" s="5">
        <v>681</v>
      </c>
      <c r="U242" s="7" t="s">
        <v>65</v>
      </c>
      <c r="V242" t="s">
        <v>32</v>
      </c>
      <c r="W242" s="7" t="s">
        <v>40</v>
      </c>
    </row>
    <row r="243" spans="1:23" x14ac:dyDescent="0.3">
      <c r="A243" s="6">
        <v>2472</v>
      </c>
      <c r="B243" s="7" t="s">
        <v>325</v>
      </c>
      <c r="C243" t="s">
        <v>356</v>
      </c>
      <c r="D243" t="s">
        <v>87</v>
      </c>
      <c r="E243" s="8">
        <v>7.99</v>
      </c>
      <c r="F243" s="6">
        <v>61</v>
      </c>
      <c r="G243" s="7" t="s">
        <v>73</v>
      </c>
      <c r="H243" s="6">
        <v>3</v>
      </c>
      <c r="I243" s="6">
        <v>4</v>
      </c>
      <c r="J243" s="7" t="b">
        <v>0</v>
      </c>
      <c r="K243" s="6">
        <v>860</v>
      </c>
      <c r="L243" s="6">
        <v>145</v>
      </c>
      <c r="M243" s="7" t="s">
        <v>55</v>
      </c>
      <c r="N243" s="7" t="s">
        <v>44</v>
      </c>
      <c r="O243" s="7" t="s">
        <v>57</v>
      </c>
      <c r="P243" s="5">
        <v>82</v>
      </c>
      <c r="Q243" s="4">
        <v>4.7</v>
      </c>
      <c r="R243" s="7" t="b">
        <v>1</v>
      </c>
      <c r="S243" s="7" t="s">
        <v>30</v>
      </c>
      <c r="T243" s="5">
        <v>428</v>
      </c>
      <c r="U243" s="7" t="s">
        <v>76</v>
      </c>
      <c r="V243" t="s">
        <v>79</v>
      </c>
      <c r="W243" s="7" t="s">
        <v>33</v>
      </c>
    </row>
    <row r="244" spans="1:23" x14ac:dyDescent="0.3">
      <c r="A244" s="6">
        <v>7939</v>
      </c>
      <c r="B244" s="7" t="s">
        <v>357</v>
      </c>
      <c r="C244" s="1">
        <v>45147</v>
      </c>
      <c r="D244" t="s">
        <v>87</v>
      </c>
      <c r="E244" s="8">
        <v>11.99</v>
      </c>
      <c r="F244" s="6">
        <v>410</v>
      </c>
      <c r="G244" s="7" t="s">
        <v>73</v>
      </c>
      <c r="H244" s="6">
        <v>5</v>
      </c>
      <c r="I244" s="6">
        <v>6</v>
      </c>
      <c r="J244" s="7" t="b">
        <v>0</v>
      </c>
      <c r="K244" s="6">
        <v>410</v>
      </c>
      <c r="L244" s="6">
        <v>125</v>
      </c>
      <c r="M244" s="7" t="s">
        <v>92</v>
      </c>
      <c r="N244" s="7" t="s">
        <v>28</v>
      </c>
      <c r="O244" s="7" t="s">
        <v>37</v>
      </c>
      <c r="P244" s="5">
        <v>68</v>
      </c>
      <c r="Q244" s="4">
        <v>4.7</v>
      </c>
      <c r="R244" s="7" t="b">
        <v>0</v>
      </c>
      <c r="S244" s="7" t="s">
        <v>30</v>
      </c>
      <c r="T244" s="5">
        <v>2542</v>
      </c>
      <c r="U244" s="7" t="s">
        <v>38</v>
      </c>
      <c r="V244" t="s">
        <v>39</v>
      </c>
      <c r="W244" s="7" t="s">
        <v>60</v>
      </c>
    </row>
    <row r="245" spans="1:23" x14ac:dyDescent="0.3">
      <c r="A245" s="6">
        <v>8269</v>
      </c>
      <c r="B245" s="7" t="s">
        <v>88</v>
      </c>
      <c r="C245" t="s">
        <v>358</v>
      </c>
      <c r="D245" t="s">
        <v>72</v>
      </c>
      <c r="E245" s="8">
        <v>7.99</v>
      </c>
      <c r="F245" s="6">
        <v>88</v>
      </c>
      <c r="G245" s="7" t="s">
        <v>26</v>
      </c>
      <c r="H245" s="6">
        <v>3</v>
      </c>
      <c r="I245" s="6">
        <v>1</v>
      </c>
      <c r="J245" s="7" t="b">
        <v>0</v>
      </c>
      <c r="K245" s="6">
        <v>69</v>
      </c>
      <c r="L245" s="6">
        <v>75</v>
      </c>
      <c r="M245" s="7" t="s">
        <v>55</v>
      </c>
      <c r="N245" s="7" t="s">
        <v>56</v>
      </c>
      <c r="O245" s="7" t="s">
        <v>37</v>
      </c>
      <c r="P245" s="5">
        <v>80</v>
      </c>
      <c r="Q245" s="4">
        <v>4.0999999999999996</v>
      </c>
      <c r="R245" s="7" t="b">
        <v>0</v>
      </c>
      <c r="S245" s="7" t="s">
        <v>30</v>
      </c>
      <c r="T245" s="5">
        <v>4763</v>
      </c>
      <c r="U245" s="7" t="s">
        <v>58</v>
      </c>
      <c r="V245" t="s">
        <v>79</v>
      </c>
      <c r="W245" s="7" t="s">
        <v>40</v>
      </c>
    </row>
    <row r="246" spans="1:23" x14ac:dyDescent="0.3">
      <c r="A246" s="6">
        <v>9073</v>
      </c>
      <c r="B246" s="7" t="s">
        <v>104</v>
      </c>
      <c r="C246" s="1">
        <v>45237</v>
      </c>
      <c r="D246" s="1">
        <v>45547</v>
      </c>
      <c r="E246" s="8">
        <v>15.99</v>
      </c>
      <c r="F246" s="6">
        <v>322</v>
      </c>
      <c r="G246" s="7" t="s">
        <v>51</v>
      </c>
      <c r="H246" s="6">
        <v>3</v>
      </c>
      <c r="I246" s="6">
        <v>4</v>
      </c>
      <c r="J246" s="7" t="b">
        <v>1</v>
      </c>
      <c r="K246" s="6">
        <v>424</v>
      </c>
      <c r="L246" s="6">
        <v>74</v>
      </c>
      <c r="M246" s="7" t="s">
        <v>68</v>
      </c>
      <c r="N246" s="7" t="s">
        <v>56</v>
      </c>
      <c r="O246" s="7" t="s">
        <v>78</v>
      </c>
      <c r="P246" s="5">
        <v>3</v>
      </c>
      <c r="Q246" s="4">
        <v>3</v>
      </c>
      <c r="R246" s="7" t="b">
        <v>0</v>
      </c>
      <c r="S246" s="7" t="s">
        <v>30</v>
      </c>
      <c r="T246" s="5">
        <v>486</v>
      </c>
      <c r="U246" s="7" t="s">
        <v>76</v>
      </c>
      <c r="V246" t="s">
        <v>69</v>
      </c>
      <c r="W246" s="7" t="s">
        <v>40</v>
      </c>
    </row>
    <row r="247" spans="1:23" x14ac:dyDescent="0.3">
      <c r="A247" s="6">
        <v>9879</v>
      </c>
      <c r="B247" s="7" t="s">
        <v>143</v>
      </c>
      <c r="C247" s="1">
        <v>44959</v>
      </c>
      <c r="D247" s="1">
        <v>45394</v>
      </c>
      <c r="E247" s="8">
        <v>7.99</v>
      </c>
      <c r="F247" s="6">
        <v>217</v>
      </c>
      <c r="G247" s="7" t="s">
        <v>63</v>
      </c>
      <c r="H247" s="6">
        <v>3</v>
      </c>
      <c r="I247" s="6">
        <v>3</v>
      </c>
      <c r="J247" s="7" t="b">
        <v>0</v>
      </c>
      <c r="K247" s="6">
        <v>377</v>
      </c>
      <c r="L247" s="6">
        <v>136</v>
      </c>
      <c r="M247" s="7" t="s">
        <v>43</v>
      </c>
      <c r="N247" s="7" t="s">
        <v>28</v>
      </c>
      <c r="O247" s="7" t="s">
        <v>45</v>
      </c>
      <c r="P247" s="5">
        <v>8</v>
      </c>
      <c r="Q247" s="4">
        <v>4.2</v>
      </c>
      <c r="R247" s="7" t="b">
        <v>1</v>
      </c>
      <c r="S247" s="7" t="s">
        <v>30</v>
      </c>
      <c r="T247" s="5">
        <v>4327</v>
      </c>
      <c r="U247" s="7" t="s">
        <v>76</v>
      </c>
      <c r="V247" t="s">
        <v>39</v>
      </c>
      <c r="W247" s="7" t="s">
        <v>33</v>
      </c>
    </row>
    <row r="248" spans="1:23" x14ac:dyDescent="0.3">
      <c r="A248" s="6">
        <v>3822</v>
      </c>
      <c r="B248" s="7" t="s">
        <v>359</v>
      </c>
      <c r="C248" s="1">
        <v>44993</v>
      </c>
      <c r="D248" s="1">
        <v>45394</v>
      </c>
      <c r="E248" s="8">
        <v>15.99</v>
      </c>
      <c r="F248" s="6">
        <v>180</v>
      </c>
      <c r="G248" s="7" t="s">
        <v>26</v>
      </c>
      <c r="H248" s="6">
        <v>3</v>
      </c>
      <c r="I248" s="6">
        <v>4</v>
      </c>
      <c r="J248" s="7" t="b">
        <v>0</v>
      </c>
      <c r="K248" s="6">
        <v>132</v>
      </c>
      <c r="L248" s="6">
        <v>127</v>
      </c>
      <c r="M248" s="7" t="s">
        <v>27</v>
      </c>
      <c r="N248" s="7" t="s">
        <v>56</v>
      </c>
      <c r="O248" s="7" t="s">
        <v>64</v>
      </c>
      <c r="P248" s="5">
        <v>79</v>
      </c>
      <c r="Q248" s="4">
        <v>4.8</v>
      </c>
      <c r="R248" s="7" t="b">
        <v>1</v>
      </c>
      <c r="S248" s="7" t="s">
        <v>30</v>
      </c>
      <c r="T248" s="5">
        <v>2938</v>
      </c>
      <c r="U248" s="7" t="s">
        <v>31</v>
      </c>
      <c r="V248" t="s">
        <v>32</v>
      </c>
      <c r="W248" s="7" t="s">
        <v>93</v>
      </c>
    </row>
    <row r="249" spans="1:23" x14ac:dyDescent="0.3">
      <c r="A249" s="6">
        <v>9183</v>
      </c>
      <c r="B249" s="7" t="s">
        <v>101</v>
      </c>
      <c r="C249" t="s">
        <v>149</v>
      </c>
      <c r="D249" s="1">
        <v>45547</v>
      </c>
      <c r="E249" s="8">
        <v>15.99</v>
      </c>
      <c r="F249" s="6">
        <v>11</v>
      </c>
      <c r="G249" s="7" t="s">
        <v>48</v>
      </c>
      <c r="H249" s="6">
        <v>1</v>
      </c>
      <c r="I249" s="6">
        <v>1</v>
      </c>
      <c r="J249" s="7" t="b">
        <v>0</v>
      </c>
      <c r="K249" s="6">
        <v>818</v>
      </c>
      <c r="L249" s="6">
        <v>45</v>
      </c>
      <c r="M249" s="7" t="s">
        <v>74</v>
      </c>
      <c r="N249" s="7" t="s">
        <v>28</v>
      </c>
      <c r="O249" s="7" t="s">
        <v>57</v>
      </c>
      <c r="P249" s="5">
        <v>97</v>
      </c>
      <c r="Q249" s="4">
        <v>4.9000000000000004</v>
      </c>
      <c r="R249" s="7" t="b">
        <v>0</v>
      </c>
      <c r="S249" s="7" t="s">
        <v>30</v>
      </c>
      <c r="T249" s="5">
        <v>1429</v>
      </c>
      <c r="U249" s="7" t="s">
        <v>38</v>
      </c>
      <c r="V249" t="s">
        <v>59</v>
      </c>
      <c r="W249" s="7" t="s">
        <v>93</v>
      </c>
    </row>
    <row r="250" spans="1:23" x14ac:dyDescent="0.3">
      <c r="A250" s="6">
        <v>8674</v>
      </c>
      <c r="B250" s="7" t="s">
        <v>360</v>
      </c>
      <c r="C250" s="1">
        <v>44927</v>
      </c>
      <c r="D250" t="s">
        <v>84</v>
      </c>
      <c r="E250" s="8">
        <v>15.99</v>
      </c>
      <c r="F250" s="6">
        <v>455</v>
      </c>
      <c r="G250" s="7" t="s">
        <v>73</v>
      </c>
      <c r="H250" s="6">
        <v>5</v>
      </c>
      <c r="I250" s="6">
        <v>6</v>
      </c>
      <c r="J250" s="7" t="b">
        <v>1</v>
      </c>
      <c r="K250" s="6">
        <v>813</v>
      </c>
      <c r="L250" s="6">
        <v>155</v>
      </c>
      <c r="M250" s="7" t="s">
        <v>43</v>
      </c>
      <c r="N250" s="7" t="s">
        <v>75</v>
      </c>
      <c r="O250" s="7" t="s">
        <v>78</v>
      </c>
      <c r="P250" s="5">
        <v>85</v>
      </c>
      <c r="Q250" s="4">
        <v>3.6</v>
      </c>
      <c r="R250" s="7" t="b">
        <v>1</v>
      </c>
      <c r="S250" s="7" t="s">
        <v>30</v>
      </c>
      <c r="T250" s="5">
        <v>2897</v>
      </c>
      <c r="U250" s="7" t="s">
        <v>58</v>
      </c>
      <c r="V250" t="s">
        <v>39</v>
      </c>
      <c r="W250" s="7" t="s">
        <v>60</v>
      </c>
    </row>
    <row r="251" spans="1:23" x14ac:dyDescent="0.3">
      <c r="A251" s="6">
        <v>2481</v>
      </c>
      <c r="B251" s="7" t="s">
        <v>361</v>
      </c>
      <c r="C251" t="s">
        <v>362</v>
      </c>
      <c r="D251" t="s">
        <v>84</v>
      </c>
      <c r="E251" s="8">
        <v>7.99</v>
      </c>
      <c r="F251" s="6">
        <v>487</v>
      </c>
      <c r="G251" s="7" t="s">
        <v>100</v>
      </c>
      <c r="H251" s="6">
        <v>2</v>
      </c>
      <c r="I251" s="6">
        <v>6</v>
      </c>
      <c r="J251" s="7" t="b">
        <v>0</v>
      </c>
      <c r="K251" s="6">
        <v>362</v>
      </c>
      <c r="L251" s="6">
        <v>130</v>
      </c>
      <c r="M251" s="7" t="s">
        <v>92</v>
      </c>
      <c r="N251" s="7" t="s">
        <v>75</v>
      </c>
      <c r="O251" s="7" t="s">
        <v>64</v>
      </c>
      <c r="P251" s="5">
        <v>36</v>
      </c>
      <c r="Q251" s="4">
        <v>3.3</v>
      </c>
      <c r="R251" s="7" t="b">
        <v>1</v>
      </c>
      <c r="S251" s="7" t="s">
        <v>30</v>
      </c>
      <c r="T251" s="5">
        <v>274</v>
      </c>
      <c r="U251" s="7" t="s">
        <v>58</v>
      </c>
      <c r="V251" t="s">
        <v>69</v>
      </c>
      <c r="W251" s="7" t="s">
        <v>60</v>
      </c>
    </row>
    <row r="252" spans="1:23" x14ac:dyDescent="0.3">
      <c r="A252" s="6">
        <v>8729</v>
      </c>
      <c r="B252" s="7" t="s">
        <v>363</v>
      </c>
      <c r="C252" s="1">
        <v>45536</v>
      </c>
      <c r="D252" t="s">
        <v>25</v>
      </c>
      <c r="E252" s="8">
        <v>7.99</v>
      </c>
      <c r="F252" s="6">
        <v>459</v>
      </c>
      <c r="G252" s="7" t="s">
        <v>51</v>
      </c>
      <c r="H252" s="6">
        <v>2</v>
      </c>
      <c r="I252" s="6">
        <v>4</v>
      </c>
      <c r="J252" s="7" t="b">
        <v>0</v>
      </c>
      <c r="K252" s="6">
        <v>573</v>
      </c>
      <c r="L252" s="6">
        <v>190</v>
      </c>
      <c r="M252" s="7" t="s">
        <v>68</v>
      </c>
      <c r="N252" s="7" t="s">
        <v>28</v>
      </c>
      <c r="O252" s="7" t="s">
        <v>57</v>
      </c>
      <c r="P252" s="5">
        <v>81</v>
      </c>
      <c r="Q252" s="4">
        <v>4.3</v>
      </c>
      <c r="R252" s="7" t="b">
        <v>0</v>
      </c>
      <c r="S252" s="7" t="s">
        <v>30</v>
      </c>
      <c r="T252" s="5">
        <v>3910</v>
      </c>
      <c r="U252" s="7" t="s">
        <v>65</v>
      </c>
      <c r="V252" t="s">
        <v>69</v>
      </c>
      <c r="W252" s="7" t="s">
        <v>60</v>
      </c>
    </row>
    <row r="253" spans="1:23" x14ac:dyDescent="0.3">
      <c r="A253" s="6">
        <v>5534</v>
      </c>
      <c r="B253" s="7" t="s">
        <v>364</v>
      </c>
      <c r="C253" s="1">
        <v>45019</v>
      </c>
      <c r="D253" t="s">
        <v>25</v>
      </c>
      <c r="E253" s="8">
        <v>7.99</v>
      </c>
      <c r="F253" s="6">
        <v>74</v>
      </c>
      <c r="G253" s="7" t="s">
        <v>36</v>
      </c>
      <c r="H253" s="6">
        <v>2</v>
      </c>
      <c r="I253" s="6">
        <v>1</v>
      </c>
      <c r="J253" s="7" t="b">
        <v>0</v>
      </c>
      <c r="K253" s="6">
        <v>657</v>
      </c>
      <c r="L253" s="6">
        <v>88</v>
      </c>
      <c r="M253" s="7" t="s">
        <v>43</v>
      </c>
      <c r="N253" s="7" t="s">
        <v>44</v>
      </c>
      <c r="O253" s="7" t="s">
        <v>45</v>
      </c>
      <c r="P253" s="5">
        <v>40</v>
      </c>
      <c r="Q253" s="4">
        <v>3.8</v>
      </c>
      <c r="R253" s="7" t="b">
        <v>0</v>
      </c>
      <c r="S253" s="7" t="s">
        <v>30</v>
      </c>
      <c r="T253" s="5">
        <v>130</v>
      </c>
      <c r="U253" s="7" t="s">
        <v>38</v>
      </c>
      <c r="V253" t="s">
        <v>59</v>
      </c>
      <c r="W253" s="7" t="s">
        <v>60</v>
      </c>
    </row>
    <row r="254" spans="1:23" x14ac:dyDescent="0.3">
      <c r="A254" s="6">
        <v>9785</v>
      </c>
      <c r="B254" s="7" t="s">
        <v>259</v>
      </c>
      <c r="C254" s="1">
        <v>45383</v>
      </c>
      <c r="D254" t="s">
        <v>103</v>
      </c>
      <c r="E254" s="8">
        <v>11.99</v>
      </c>
      <c r="F254" s="6">
        <v>54</v>
      </c>
      <c r="G254" s="7" t="s">
        <v>26</v>
      </c>
      <c r="H254" s="6">
        <v>5</v>
      </c>
      <c r="I254" s="6">
        <v>4</v>
      </c>
      <c r="J254" s="7" t="b">
        <v>0</v>
      </c>
      <c r="K254" s="6">
        <v>659</v>
      </c>
      <c r="L254" s="6">
        <v>2</v>
      </c>
      <c r="M254" s="7" t="s">
        <v>74</v>
      </c>
      <c r="N254" s="7" t="s">
        <v>28</v>
      </c>
      <c r="O254" s="7" t="s">
        <v>45</v>
      </c>
      <c r="P254" s="5">
        <v>82</v>
      </c>
      <c r="Q254" s="4">
        <v>4.3</v>
      </c>
      <c r="R254" s="7" t="b">
        <v>1</v>
      </c>
      <c r="S254" s="7" t="s">
        <v>30</v>
      </c>
      <c r="T254" s="5">
        <v>2557</v>
      </c>
      <c r="U254" s="7" t="s">
        <v>38</v>
      </c>
      <c r="V254" t="s">
        <v>32</v>
      </c>
      <c r="W254" s="7" t="s">
        <v>60</v>
      </c>
    </row>
    <row r="255" spans="1:23" x14ac:dyDescent="0.3">
      <c r="A255" s="6">
        <v>9609</v>
      </c>
      <c r="B255" s="7" t="s">
        <v>344</v>
      </c>
      <c r="C255" s="1">
        <v>44994</v>
      </c>
      <c r="D255" t="s">
        <v>99</v>
      </c>
      <c r="E255" s="8">
        <v>11.99</v>
      </c>
      <c r="F255" s="6">
        <v>292</v>
      </c>
      <c r="G255" s="7" t="s">
        <v>100</v>
      </c>
      <c r="H255" s="6">
        <v>3</v>
      </c>
      <c r="I255" s="6">
        <v>4</v>
      </c>
      <c r="J255" s="7" t="b">
        <v>1</v>
      </c>
      <c r="K255" s="6">
        <v>653</v>
      </c>
      <c r="L255" s="6">
        <v>173</v>
      </c>
      <c r="M255" s="7" t="s">
        <v>68</v>
      </c>
      <c r="N255" s="7" t="s">
        <v>44</v>
      </c>
      <c r="O255" s="7" t="s">
        <v>29</v>
      </c>
      <c r="P255" s="5">
        <v>8</v>
      </c>
      <c r="Q255" s="4">
        <v>3.5</v>
      </c>
      <c r="R255" s="7" t="b">
        <v>0</v>
      </c>
      <c r="S255" s="7" t="s">
        <v>30</v>
      </c>
      <c r="T255" s="5">
        <v>3823</v>
      </c>
      <c r="U255" s="7" t="s">
        <v>38</v>
      </c>
      <c r="V255" t="s">
        <v>69</v>
      </c>
      <c r="W255" s="7" t="s">
        <v>40</v>
      </c>
    </row>
    <row r="256" spans="1:23" x14ac:dyDescent="0.3">
      <c r="A256" s="6">
        <v>2829</v>
      </c>
      <c r="B256" s="7" t="s">
        <v>365</v>
      </c>
      <c r="C256" t="s">
        <v>366</v>
      </c>
      <c r="D256" s="1">
        <v>45547</v>
      </c>
      <c r="E256" s="8">
        <v>15.99</v>
      </c>
      <c r="F256" s="6">
        <v>23</v>
      </c>
      <c r="G256" s="7" t="s">
        <v>26</v>
      </c>
      <c r="H256" s="6">
        <v>2</v>
      </c>
      <c r="I256" s="6">
        <v>2</v>
      </c>
      <c r="J256" s="7" t="b">
        <v>0</v>
      </c>
      <c r="K256" s="6">
        <v>577</v>
      </c>
      <c r="L256" s="6">
        <v>131</v>
      </c>
      <c r="M256" s="7" t="s">
        <v>92</v>
      </c>
      <c r="N256" s="7" t="s">
        <v>56</v>
      </c>
      <c r="O256" s="7" t="s">
        <v>37</v>
      </c>
      <c r="P256" s="5">
        <v>14</v>
      </c>
      <c r="Q256" s="4">
        <v>3.9</v>
      </c>
      <c r="R256" s="7" t="b">
        <v>0</v>
      </c>
      <c r="S256" s="7" t="s">
        <v>30</v>
      </c>
      <c r="T256" s="5">
        <v>4048</v>
      </c>
      <c r="U256" s="7" t="s">
        <v>65</v>
      </c>
      <c r="V256" t="s">
        <v>39</v>
      </c>
      <c r="W256" s="7" t="s">
        <v>93</v>
      </c>
    </row>
    <row r="257" spans="1:23" x14ac:dyDescent="0.3">
      <c r="A257" s="6">
        <v>1714</v>
      </c>
      <c r="B257" s="7" t="s">
        <v>367</v>
      </c>
      <c r="C257" t="s">
        <v>368</v>
      </c>
      <c r="D257" t="s">
        <v>214</v>
      </c>
      <c r="E257" s="8">
        <v>11.99</v>
      </c>
      <c r="F257" s="6">
        <v>147</v>
      </c>
      <c r="G257" s="7" t="s">
        <v>63</v>
      </c>
      <c r="H257" s="6">
        <v>3</v>
      </c>
      <c r="I257" s="6">
        <v>1</v>
      </c>
      <c r="J257" s="7" t="b">
        <v>1</v>
      </c>
      <c r="K257" s="6">
        <v>802</v>
      </c>
      <c r="L257" s="6">
        <v>177</v>
      </c>
      <c r="M257" s="7" t="s">
        <v>92</v>
      </c>
      <c r="N257" s="7" t="s">
        <v>56</v>
      </c>
      <c r="O257" s="7" t="s">
        <v>37</v>
      </c>
      <c r="P257" s="5">
        <v>21</v>
      </c>
      <c r="Q257" s="4">
        <v>3.5</v>
      </c>
      <c r="R257" s="7" t="b">
        <v>1</v>
      </c>
      <c r="S257" s="7" t="s">
        <v>30</v>
      </c>
      <c r="T257" s="5">
        <v>3173</v>
      </c>
      <c r="U257" s="7" t="s">
        <v>58</v>
      </c>
      <c r="V257" t="s">
        <v>32</v>
      </c>
      <c r="W257" s="7" t="s">
        <v>60</v>
      </c>
    </row>
    <row r="258" spans="1:23" x14ac:dyDescent="0.3">
      <c r="A258" s="6">
        <v>4475</v>
      </c>
      <c r="B258" s="7" t="s">
        <v>369</v>
      </c>
      <c r="C258" t="s">
        <v>370</v>
      </c>
      <c r="D258" s="1">
        <v>45638</v>
      </c>
      <c r="E258" s="8">
        <v>7.99</v>
      </c>
      <c r="F258" s="6">
        <v>221</v>
      </c>
      <c r="G258" s="7" t="s">
        <v>26</v>
      </c>
      <c r="H258" s="6">
        <v>2</v>
      </c>
      <c r="I258" s="6">
        <v>4</v>
      </c>
      <c r="J258" s="7" t="b">
        <v>0</v>
      </c>
      <c r="K258" s="6">
        <v>702</v>
      </c>
      <c r="L258" s="6">
        <v>130</v>
      </c>
      <c r="M258" s="7" t="s">
        <v>43</v>
      </c>
      <c r="N258" s="7" t="s">
        <v>28</v>
      </c>
      <c r="O258" s="7" t="s">
        <v>78</v>
      </c>
      <c r="P258" s="5">
        <v>36</v>
      </c>
      <c r="Q258" s="4">
        <v>4.3</v>
      </c>
      <c r="R258" s="7" t="b">
        <v>0</v>
      </c>
      <c r="S258" s="7" t="s">
        <v>30</v>
      </c>
      <c r="T258" s="5">
        <v>3289</v>
      </c>
      <c r="U258" s="7" t="s">
        <v>65</v>
      </c>
      <c r="V258" t="s">
        <v>39</v>
      </c>
      <c r="W258" s="7" t="s">
        <v>40</v>
      </c>
    </row>
    <row r="259" spans="1:23" x14ac:dyDescent="0.3">
      <c r="A259" s="6">
        <v>9820</v>
      </c>
      <c r="B259" s="7" t="s">
        <v>153</v>
      </c>
      <c r="C259" t="s">
        <v>319</v>
      </c>
      <c r="D259" t="s">
        <v>99</v>
      </c>
      <c r="E259" s="8">
        <v>7.99</v>
      </c>
      <c r="F259" s="6">
        <v>40</v>
      </c>
      <c r="G259" s="7" t="s">
        <v>51</v>
      </c>
      <c r="H259" s="6">
        <v>2</v>
      </c>
      <c r="I259" s="6">
        <v>1</v>
      </c>
      <c r="J259" s="7" t="b">
        <v>1</v>
      </c>
      <c r="K259" s="6">
        <v>92</v>
      </c>
      <c r="L259" s="6">
        <v>184</v>
      </c>
      <c r="M259" s="7" t="s">
        <v>49</v>
      </c>
      <c r="N259" s="7" t="s">
        <v>56</v>
      </c>
      <c r="O259" s="7" t="s">
        <v>45</v>
      </c>
      <c r="P259" s="5">
        <v>66</v>
      </c>
      <c r="Q259" s="4">
        <v>4.0999999999999996</v>
      </c>
      <c r="R259" s="7" t="b">
        <v>1</v>
      </c>
      <c r="S259" s="7" t="s">
        <v>30</v>
      </c>
      <c r="T259" s="5">
        <v>4377</v>
      </c>
      <c r="U259" s="7" t="s">
        <v>58</v>
      </c>
      <c r="V259" t="s">
        <v>39</v>
      </c>
      <c r="W259" s="7" t="s">
        <v>93</v>
      </c>
    </row>
    <row r="260" spans="1:23" x14ac:dyDescent="0.3">
      <c r="A260" s="6">
        <v>3261</v>
      </c>
      <c r="B260" s="7" t="s">
        <v>179</v>
      </c>
      <c r="C260" t="s">
        <v>163</v>
      </c>
      <c r="D260" t="s">
        <v>25</v>
      </c>
      <c r="E260" s="8">
        <v>11.99</v>
      </c>
      <c r="F260" s="6">
        <v>365</v>
      </c>
      <c r="G260" s="7" t="s">
        <v>48</v>
      </c>
      <c r="H260" s="6">
        <v>1</v>
      </c>
      <c r="I260" s="6">
        <v>5</v>
      </c>
      <c r="J260" s="7" t="b">
        <v>1</v>
      </c>
      <c r="K260" s="6">
        <v>582</v>
      </c>
      <c r="L260" s="6">
        <v>162</v>
      </c>
      <c r="M260" s="7" t="s">
        <v>68</v>
      </c>
      <c r="N260" s="7" t="s">
        <v>75</v>
      </c>
      <c r="O260" s="7" t="s">
        <v>29</v>
      </c>
      <c r="P260" s="5">
        <v>8</v>
      </c>
      <c r="Q260" s="4">
        <v>3.3</v>
      </c>
      <c r="R260" s="7" t="b">
        <v>0</v>
      </c>
      <c r="S260" s="7" t="s">
        <v>30</v>
      </c>
      <c r="T260" s="5">
        <v>995</v>
      </c>
      <c r="U260" s="7" t="s">
        <v>65</v>
      </c>
      <c r="V260" t="s">
        <v>39</v>
      </c>
      <c r="W260" s="7" t="s">
        <v>40</v>
      </c>
    </row>
    <row r="261" spans="1:23" x14ac:dyDescent="0.3">
      <c r="A261" s="6">
        <v>6130</v>
      </c>
      <c r="B261" s="7" t="s">
        <v>157</v>
      </c>
      <c r="C261" t="s">
        <v>371</v>
      </c>
      <c r="D261" t="s">
        <v>129</v>
      </c>
      <c r="E261" s="8">
        <v>11.99</v>
      </c>
      <c r="F261" s="6">
        <v>360</v>
      </c>
      <c r="G261" s="7" t="s">
        <v>100</v>
      </c>
      <c r="H261" s="6">
        <v>1</v>
      </c>
      <c r="I261" s="6">
        <v>2</v>
      </c>
      <c r="J261" s="7" t="b">
        <v>1</v>
      </c>
      <c r="K261" s="6">
        <v>161</v>
      </c>
      <c r="L261" s="6">
        <v>93</v>
      </c>
      <c r="M261" s="7" t="s">
        <v>55</v>
      </c>
      <c r="N261" s="7" t="s">
        <v>44</v>
      </c>
      <c r="O261" s="7" t="s">
        <v>57</v>
      </c>
      <c r="P261" s="5">
        <v>30</v>
      </c>
      <c r="Q261" s="4">
        <v>3.3</v>
      </c>
      <c r="R261" s="7" t="b">
        <v>1</v>
      </c>
      <c r="S261" s="7" t="s">
        <v>30</v>
      </c>
      <c r="T261" s="5">
        <v>2299</v>
      </c>
      <c r="U261" s="7" t="s">
        <v>38</v>
      </c>
      <c r="V261" t="s">
        <v>79</v>
      </c>
      <c r="W261" s="7" t="s">
        <v>93</v>
      </c>
    </row>
    <row r="262" spans="1:23" x14ac:dyDescent="0.3">
      <c r="A262" s="6">
        <v>9399</v>
      </c>
      <c r="B262" s="7" t="s">
        <v>183</v>
      </c>
      <c r="C262" t="s">
        <v>372</v>
      </c>
      <c r="D262" t="s">
        <v>105</v>
      </c>
      <c r="E262" s="8">
        <v>7.99</v>
      </c>
      <c r="F262" s="6">
        <v>127</v>
      </c>
      <c r="G262" s="7" t="s">
        <v>26</v>
      </c>
      <c r="H262" s="6">
        <v>2</v>
      </c>
      <c r="I262" s="6">
        <v>2</v>
      </c>
      <c r="J262" s="7" t="b">
        <v>0</v>
      </c>
      <c r="K262" s="6">
        <v>842</v>
      </c>
      <c r="L262" s="6">
        <v>24</v>
      </c>
      <c r="M262" s="7" t="s">
        <v>43</v>
      </c>
      <c r="N262" s="7" t="s">
        <v>75</v>
      </c>
      <c r="O262" s="7" t="s">
        <v>57</v>
      </c>
      <c r="P262" s="5">
        <v>72</v>
      </c>
      <c r="Q262" s="4">
        <v>3.2</v>
      </c>
      <c r="R262" s="7" t="b">
        <v>1</v>
      </c>
      <c r="S262" s="7" t="s">
        <v>30</v>
      </c>
      <c r="T262" s="5">
        <v>4644</v>
      </c>
      <c r="U262" s="7" t="s">
        <v>31</v>
      </c>
      <c r="V262" t="s">
        <v>39</v>
      </c>
      <c r="W262" s="7" t="s">
        <v>33</v>
      </c>
    </row>
    <row r="263" spans="1:23" x14ac:dyDescent="0.3">
      <c r="A263" s="6">
        <v>6047</v>
      </c>
      <c r="B263" s="7" t="s">
        <v>284</v>
      </c>
      <c r="C263" t="s">
        <v>109</v>
      </c>
      <c r="D263" s="1">
        <v>45334</v>
      </c>
      <c r="E263" s="8">
        <v>15.99</v>
      </c>
      <c r="F263" s="6">
        <v>30</v>
      </c>
      <c r="G263" s="7" t="s">
        <v>63</v>
      </c>
      <c r="H263" s="6">
        <v>3</v>
      </c>
      <c r="I263" s="6">
        <v>2</v>
      </c>
      <c r="J263" s="7" t="b">
        <v>1</v>
      </c>
      <c r="K263" s="6">
        <v>609</v>
      </c>
      <c r="L263" s="6">
        <v>6</v>
      </c>
      <c r="M263" s="7" t="s">
        <v>43</v>
      </c>
      <c r="N263" s="7" t="s">
        <v>28</v>
      </c>
      <c r="O263" s="7" t="s">
        <v>45</v>
      </c>
      <c r="P263" s="5">
        <v>57</v>
      </c>
      <c r="Q263" s="4">
        <v>3</v>
      </c>
      <c r="R263" s="7" t="b">
        <v>1</v>
      </c>
      <c r="S263" s="7" t="s">
        <v>30</v>
      </c>
      <c r="T263" s="5">
        <v>746</v>
      </c>
      <c r="U263" s="7" t="s">
        <v>76</v>
      </c>
      <c r="V263" t="s">
        <v>79</v>
      </c>
      <c r="W263" s="7" t="s">
        <v>33</v>
      </c>
    </row>
    <row r="264" spans="1:23" x14ac:dyDescent="0.3">
      <c r="A264" s="6">
        <v>7789</v>
      </c>
      <c r="B264" s="7" t="s">
        <v>120</v>
      </c>
      <c r="C264" t="s">
        <v>158</v>
      </c>
      <c r="D264" t="s">
        <v>156</v>
      </c>
      <c r="E264" s="8">
        <v>7.99</v>
      </c>
      <c r="F264" s="6">
        <v>222</v>
      </c>
      <c r="G264" s="7" t="s">
        <v>36</v>
      </c>
      <c r="H264" s="6">
        <v>1</v>
      </c>
      <c r="I264" s="6">
        <v>6</v>
      </c>
      <c r="J264" s="7" t="b">
        <v>0</v>
      </c>
      <c r="K264" s="6">
        <v>391</v>
      </c>
      <c r="L264" s="6">
        <v>17</v>
      </c>
      <c r="M264" s="7" t="s">
        <v>27</v>
      </c>
      <c r="N264" s="7" t="s">
        <v>75</v>
      </c>
      <c r="O264" s="7" t="s">
        <v>29</v>
      </c>
      <c r="P264" s="5">
        <v>21</v>
      </c>
      <c r="Q264" s="4">
        <v>3.4</v>
      </c>
      <c r="R264" s="7" t="b">
        <v>1</v>
      </c>
      <c r="S264" s="7" t="s">
        <v>30</v>
      </c>
      <c r="T264" s="5">
        <v>2835</v>
      </c>
      <c r="U264" s="7" t="s">
        <v>76</v>
      </c>
      <c r="V264" t="s">
        <v>69</v>
      </c>
      <c r="W264" s="7" t="s">
        <v>40</v>
      </c>
    </row>
    <row r="265" spans="1:23" x14ac:dyDescent="0.3">
      <c r="A265" s="6">
        <v>6111</v>
      </c>
      <c r="B265" s="7" t="s">
        <v>176</v>
      </c>
      <c r="C265" s="1">
        <v>45241</v>
      </c>
      <c r="D265" t="s">
        <v>25</v>
      </c>
      <c r="E265" s="8">
        <v>11.99</v>
      </c>
      <c r="F265" s="6">
        <v>168</v>
      </c>
      <c r="G265" s="7" t="s">
        <v>100</v>
      </c>
      <c r="H265" s="6">
        <v>1</v>
      </c>
      <c r="I265" s="6">
        <v>2</v>
      </c>
      <c r="J265" s="7" t="b">
        <v>0</v>
      </c>
      <c r="K265" s="6">
        <v>247</v>
      </c>
      <c r="L265" s="6">
        <v>172</v>
      </c>
      <c r="M265" s="7" t="s">
        <v>92</v>
      </c>
      <c r="N265" s="7" t="s">
        <v>75</v>
      </c>
      <c r="O265" s="7" t="s">
        <v>78</v>
      </c>
      <c r="P265" s="5">
        <v>98</v>
      </c>
      <c r="Q265" s="4">
        <v>3.5</v>
      </c>
      <c r="R265" s="7" t="b">
        <v>0</v>
      </c>
      <c r="S265" s="7" t="s">
        <v>30</v>
      </c>
      <c r="T265" s="5">
        <v>3626</v>
      </c>
      <c r="U265" s="7" t="s">
        <v>58</v>
      </c>
      <c r="V265" t="s">
        <v>32</v>
      </c>
      <c r="W265" s="7" t="s">
        <v>40</v>
      </c>
    </row>
    <row r="266" spans="1:23" x14ac:dyDescent="0.3">
      <c r="A266" s="6">
        <v>4968</v>
      </c>
      <c r="B266" s="7" t="s">
        <v>373</v>
      </c>
      <c r="C266" s="1">
        <v>45600</v>
      </c>
      <c r="D266" t="s">
        <v>214</v>
      </c>
      <c r="E266" s="8">
        <v>7.99</v>
      </c>
      <c r="F266" s="6">
        <v>317</v>
      </c>
      <c r="G266" s="7" t="s">
        <v>73</v>
      </c>
      <c r="H266" s="6">
        <v>5</v>
      </c>
      <c r="I266" s="6">
        <v>1</v>
      </c>
      <c r="J266" s="7" t="b">
        <v>0</v>
      </c>
      <c r="K266" s="6">
        <v>559</v>
      </c>
      <c r="L266" s="6">
        <v>113</v>
      </c>
      <c r="M266" s="7" t="s">
        <v>55</v>
      </c>
      <c r="N266" s="7" t="s">
        <v>56</v>
      </c>
      <c r="O266" s="7" t="s">
        <v>64</v>
      </c>
      <c r="P266" s="5">
        <v>92</v>
      </c>
      <c r="Q266" s="4">
        <v>4.5999999999999996</v>
      </c>
      <c r="R266" s="7" t="b">
        <v>0</v>
      </c>
      <c r="S266" s="7" t="s">
        <v>30</v>
      </c>
      <c r="T266" s="5">
        <v>1000</v>
      </c>
      <c r="U266" s="7" t="s">
        <v>65</v>
      </c>
      <c r="V266" t="s">
        <v>79</v>
      </c>
      <c r="W266" s="7" t="s">
        <v>40</v>
      </c>
    </row>
    <row r="267" spans="1:23" x14ac:dyDescent="0.3">
      <c r="A267" s="6">
        <v>2739</v>
      </c>
      <c r="B267" s="7" t="s">
        <v>374</v>
      </c>
      <c r="C267" t="s">
        <v>372</v>
      </c>
      <c r="D267" t="s">
        <v>84</v>
      </c>
      <c r="E267" s="8">
        <v>15.99</v>
      </c>
      <c r="F267" s="6">
        <v>285</v>
      </c>
      <c r="G267" s="7" t="s">
        <v>51</v>
      </c>
      <c r="H267" s="6">
        <v>1</v>
      </c>
      <c r="I267" s="6">
        <v>3</v>
      </c>
      <c r="J267" s="7" t="b">
        <v>0</v>
      </c>
      <c r="K267" s="6">
        <v>706</v>
      </c>
      <c r="L267" s="6">
        <v>22</v>
      </c>
      <c r="M267" s="7" t="s">
        <v>49</v>
      </c>
      <c r="N267" s="7" t="s">
        <v>28</v>
      </c>
      <c r="O267" s="7" t="s">
        <v>45</v>
      </c>
      <c r="P267" s="5">
        <v>4</v>
      </c>
      <c r="Q267" s="4">
        <v>3.4</v>
      </c>
      <c r="R267" s="7" t="b">
        <v>1</v>
      </c>
      <c r="S267" s="7" t="s">
        <v>30</v>
      </c>
      <c r="T267" s="5">
        <v>368</v>
      </c>
      <c r="U267" s="7" t="s">
        <v>38</v>
      </c>
      <c r="V267" t="s">
        <v>39</v>
      </c>
      <c r="W267" s="7" t="s">
        <v>33</v>
      </c>
    </row>
    <row r="268" spans="1:23" x14ac:dyDescent="0.3">
      <c r="A268" s="6">
        <v>6974</v>
      </c>
      <c r="B268" s="7" t="s">
        <v>77</v>
      </c>
      <c r="C268" t="s">
        <v>375</v>
      </c>
      <c r="D268" t="s">
        <v>105</v>
      </c>
      <c r="E268" s="8">
        <v>11.99</v>
      </c>
      <c r="F268" s="6">
        <v>420</v>
      </c>
      <c r="G268" s="7" t="s">
        <v>73</v>
      </c>
      <c r="H268" s="6">
        <v>1</v>
      </c>
      <c r="I268" s="6">
        <v>2</v>
      </c>
      <c r="J268" s="7" t="b">
        <v>0</v>
      </c>
      <c r="K268" s="6">
        <v>1000</v>
      </c>
      <c r="L268" s="6">
        <v>159</v>
      </c>
      <c r="M268" s="7" t="s">
        <v>55</v>
      </c>
      <c r="N268" s="7" t="s">
        <v>75</v>
      </c>
      <c r="O268" s="7" t="s">
        <v>37</v>
      </c>
      <c r="P268" s="5">
        <v>22</v>
      </c>
      <c r="Q268" s="4">
        <v>4.8</v>
      </c>
      <c r="R268" s="7" t="b">
        <v>0</v>
      </c>
      <c r="S268" s="7" t="s">
        <v>30</v>
      </c>
      <c r="T268" s="5">
        <v>2229</v>
      </c>
      <c r="U268" s="7" t="s">
        <v>58</v>
      </c>
      <c r="V268" t="s">
        <v>39</v>
      </c>
      <c r="W268" s="7" t="s">
        <v>60</v>
      </c>
    </row>
    <row r="269" spans="1:23" x14ac:dyDescent="0.3">
      <c r="A269" s="6">
        <v>1784</v>
      </c>
      <c r="B269" s="7" t="s">
        <v>244</v>
      </c>
      <c r="C269" s="1">
        <v>45236</v>
      </c>
      <c r="D269" t="s">
        <v>129</v>
      </c>
      <c r="E269" s="8">
        <v>15.99</v>
      </c>
      <c r="F269" s="6">
        <v>100</v>
      </c>
      <c r="G269" s="7" t="s">
        <v>36</v>
      </c>
      <c r="H269" s="6">
        <v>5</v>
      </c>
      <c r="I269" s="6">
        <v>1</v>
      </c>
      <c r="J269" s="7" t="b">
        <v>1</v>
      </c>
      <c r="K269" s="6">
        <v>586</v>
      </c>
      <c r="L269" s="6">
        <v>32</v>
      </c>
      <c r="M269" s="7" t="s">
        <v>92</v>
      </c>
      <c r="N269" s="7" t="s">
        <v>56</v>
      </c>
      <c r="O269" s="7" t="s">
        <v>29</v>
      </c>
      <c r="P269" s="5">
        <v>100</v>
      </c>
      <c r="Q269" s="4">
        <v>3.6</v>
      </c>
      <c r="R269" s="7" t="b">
        <v>1</v>
      </c>
      <c r="S269" s="7" t="s">
        <v>30</v>
      </c>
      <c r="T269" s="5">
        <v>2643</v>
      </c>
      <c r="U269" s="7" t="s">
        <v>38</v>
      </c>
      <c r="V269" t="s">
        <v>39</v>
      </c>
      <c r="W269" s="7" t="s">
        <v>93</v>
      </c>
    </row>
    <row r="270" spans="1:23" x14ac:dyDescent="0.3">
      <c r="A270" s="6">
        <v>8077</v>
      </c>
      <c r="B270" s="7" t="s">
        <v>128</v>
      </c>
      <c r="C270" s="1">
        <v>45357</v>
      </c>
      <c r="D270" t="s">
        <v>103</v>
      </c>
      <c r="E270" s="8">
        <v>11.99</v>
      </c>
      <c r="F270" s="6">
        <v>426</v>
      </c>
      <c r="G270" s="7" t="s">
        <v>51</v>
      </c>
      <c r="H270" s="6">
        <v>4</v>
      </c>
      <c r="I270" s="6">
        <v>6</v>
      </c>
      <c r="J270" s="7" t="b">
        <v>0</v>
      </c>
      <c r="K270" s="6">
        <v>450</v>
      </c>
      <c r="L270" s="6">
        <v>92</v>
      </c>
      <c r="M270" s="7" t="s">
        <v>74</v>
      </c>
      <c r="N270" s="7" t="s">
        <v>44</v>
      </c>
      <c r="O270" s="7" t="s">
        <v>29</v>
      </c>
      <c r="P270" s="5">
        <v>71</v>
      </c>
      <c r="Q270" s="4">
        <v>4.0999999999999996</v>
      </c>
      <c r="R270" s="7" t="b">
        <v>0</v>
      </c>
      <c r="S270" s="7" t="s">
        <v>30</v>
      </c>
      <c r="T270" s="5">
        <v>2647</v>
      </c>
      <c r="U270" s="7" t="s">
        <v>31</v>
      </c>
      <c r="V270" t="s">
        <v>39</v>
      </c>
      <c r="W270" s="7" t="s">
        <v>60</v>
      </c>
    </row>
    <row r="271" spans="1:23" x14ac:dyDescent="0.3">
      <c r="A271" s="6">
        <v>2727</v>
      </c>
      <c r="B271" s="7" t="s">
        <v>376</v>
      </c>
      <c r="C271" t="s">
        <v>377</v>
      </c>
      <c r="D271" s="1">
        <v>45516</v>
      </c>
      <c r="E271" s="8">
        <v>7.99</v>
      </c>
      <c r="F271" s="6">
        <v>263</v>
      </c>
      <c r="G271" s="7" t="s">
        <v>100</v>
      </c>
      <c r="H271" s="6">
        <v>1</v>
      </c>
      <c r="I271" s="6">
        <v>4</v>
      </c>
      <c r="J271" s="7" t="b">
        <v>1</v>
      </c>
      <c r="K271" s="6">
        <v>468</v>
      </c>
      <c r="L271" s="6">
        <v>95</v>
      </c>
      <c r="M271" s="7" t="s">
        <v>55</v>
      </c>
      <c r="N271" s="7" t="s">
        <v>44</v>
      </c>
      <c r="O271" s="7" t="s">
        <v>64</v>
      </c>
      <c r="P271" s="5">
        <v>87</v>
      </c>
      <c r="Q271" s="4">
        <v>3.5</v>
      </c>
      <c r="R271" s="7" t="b">
        <v>0</v>
      </c>
      <c r="S271" s="7" t="s">
        <v>30</v>
      </c>
      <c r="T271" s="5">
        <v>4497</v>
      </c>
      <c r="U271" s="7" t="s">
        <v>76</v>
      </c>
      <c r="V271" t="s">
        <v>39</v>
      </c>
      <c r="W271" s="7" t="s">
        <v>40</v>
      </c>
    </row>
    <row r="272" spans="1:23" x14ac:dyDescent="0.3">
      <c r="A272" s="6">
        <v>7661</v>
      </c>
      <c r="B272" s="7" t="s">
        <v>378</v>
      </c>
      <c r="C272" t="s">
        <v>200</v>
      </c>
      <c r="D272" t="s">
        <v>42</v>
      </c>
      <c r="E272" s="8">
        <v>11.99</v>
      </c>
      <c r="F272" s="6">
        <v>162</v>
      </c>
      <c r="G272" s="7" t="s">
        <v>26</v>
      </c>
      <c r="H272" s="6">
        <v>1</v>
      </c>
      <c r="I272" s="6">
        <v>1</v>
      </c>
      <c r="J272" s="7" t="b">
        <v>0</v>
      </c>
      <c r="K272" s="6">
        <v>370</v>
      </c>
      <c r="L272" s="6">
        <v>130</v>
      </c>
      <c r="M272" s="7" t="s">
        <v>27</v>
      </c>
      <c r="N272" s="7" t="s">
        <v>44</v>
      </c>
      <c r="O272" s="7" t="s">
        <v>29</v>
      </c>
      <c r="P272" s="5">
        <v>49</v>
      </c>
      <c r="Q272" s="4">
        <v>4.0999999999999996</v>
      </c>
      <c r="R272" s="7" t="b">
        <v>1</v>
      </c>
      <c r="S272" s="7" t="s">
        <v>30</v>
      </c>
      <c r="T272" s="5">
        <v>1121</v>
      </c>
      <c r="U272" s="7" t="s">
        <v>58</v>
      </c>
      <c r="V272" t="s">
        <v>69</v>
      </c>
      <c r="W272" s="7" t="s">
        <v>93</v>
      </c>
    </row>
    <row r="273" spans="1:23" x14ac:dyDescent="0.3">
      <c r="A273" s="6">
        <v>5083</v>
      </c>
      <c r="B273" s="7" t="s">
        <v>148</v>
      </c>
      <c r="C273" t="s">
        <v>156</v>
      </c>
      <c r="D273" t="s">
        <v>109</v>
      </c>
      <c r="E273" s="8">
        <v>15.99</v>
      </c>
      <c r="F273" s="6">
        <v>19</v>
      </c>
      <c r="G273" s="7" t="s">
        <v>100</v>
      </c>
      <c r="H273" s="6">
        <v>3</v>
      </c>
      <c r="I273" s="6">
        <v>2</v>
      </c>
      <c r="J273" s="7" t="b">
        <v>1</v>
      </c>
      <c r="K273" s="6">
        <v>781</v>
      </c>
      <c r="L273" s="6">
        <v>179</v>
      </c>
      <c r="M273" s="7" t="s">
        <v>43</v>
      </c>
      <c r="N273" s="7" t="s">
        <v>44</v>
      </c>
      <c r="O273" s="7" t="s">
        <v>37</v>
      </c>
      <c r="P273" s="5">
        <v>8</v>
      </c>
      <c r="Q273" s="4">
        <v>4.3</v>
      </c>
      <c r="R273" s="7" t="b">
        <v>0</v>
      </c>
      <c r="S273" s="7" t="s">
        <v>30</v>
      </c>
      <c r="T273" s="5">
        <v>1525</v>
      </c>
      <c r="U273" s="7" t="s">
        <v>65</v>
      </c>
      <c r="V273" t="s">
        <v>69</v>
      </c>
      <c r="W273" s="7" t="s">
        <v>40</v>
      </c>
    </row>
    <row r="274" spans="1:23" x14ac:dyDescent="0.3">
      <c r="A274" s="6">
        <v>7275</v>
      </c>
      <c r="B274" s="7" t="s">
        <v>379</v>
      </c>
      <c r="C274" s="1">
        <v>45421</v>
      </c>
      <c r="D274" s="1">
        <v>45485</v>
      </c>
      <c r="E274" s="8">
        <v>11.99</v>
      </c>
      <c r="F274" s="6">
        <v>358</v>
      </c>
      <c r="G274" s="7" t="s">
        <v>100</v>
      </c>
      <c r="H274" s="6">
        <v>5</v>
      </c>
      <c r="I274" s="6">
        <v>4</v>
      </c>
      <c r="J274" s="7" t="b">
        <v>1</v>
      </c>
      <c r="K274" s="6">
        <v>829</v>
      </c>
      <c r="L274" s="6">
        <v>62</v>
      </c>
      <c r="M274" s="7" t="s">
        <v>74</v>
      </c>
      <c r="N274" s="7" t="s">
        <v>28</v>
      </c>
      <c r="O274" s="7" t="s">
        <v>37</v>
      </c>
      <c r="P274" s="5">
        <v>65</v>
      </c>
      <c r="Q274" s="4">
        <v>3.4</v>
      </c>
      <c r="R274" s="7" t="b">
        <v>0</v>
      </c>
      <c r="S274" s="7" t="s">
        <v>30</v>
      </c>
      <c r="T274" s="5">
        <v>3488</v>
      </c>
      <c r="U274" s="7" t="s">
        <v>58</v>
      </c>
      <c r="V274" t="s">
        <v>79</v>
      </c>
      <c r="W274" s="7" t="s">
        <v>33</v>
      </c>
    </row>
    <row r="275" spans="1:23" x14ac:dyDescent="0.3">
      <c r="A275" s="6">
        <v>7316</v>
      </c>
      <c r="B275" s="7" t="s">
        <v>380</v>
      </c>
      <c r="C275" t="s">
        <v>381</v>
      </c>
      <c r="D275" t="s">
        <v>35</v>
      </c>
      <c r="E275" s="8">
        <v>11.99</v>
      </c>
      <c r="F275" s="6">
        <v>183</v>
      </c>
      <c r="G275" s="7" t="s">
        <v>36</v>
      </c>
      <c r="H275" s="6">
        <v>3</v>
      </c>
      <c r="I275" s="6">
        <v>5</v>
      </c>
      <c r="J275" s="7" t="b">
        <v>0</v>
      </c>
      <c r="K275" s="6">
        <v>944</v>
      </c>
      <c r="L275" s="6">
        <v>94</v>
      </c>
      <c r="M275" s="7" t="s">
        <v>43</v>
      </c>
      <c r="N275" s="7" t="s">
        <v>28</v>
      </c>
      <c r="O275" s="7" t="s">
        <v>64</v>
      </c>
      <c r="P275" s="5">
        <v>72</v>
      </c>
      <c r="Q275" s="4">
        <v>4.7</v>
      </c>
      <c r="R275" s="7" t="b">
        <v>0</v>
      </c>
      <c r="S275" s="7" t="s">
        <v>30</v>
      </c>
      <c r="T275" s="5">
        <v>3009</v>
      </c>
      <c r="U275" s="7" t="s">
        <v>58</v>
      </c>
      <c r="V275" t="s">
        <v>69</v>
      </c>
      <c r="W275" s="7" t="s">
        <v>33</v>
      </c>
    </row>
    <row r="276" spans="1:23" x14ac:dyDescent="0.3">
      <c r="A276" s="6">
        <v>4497</v>
      </c>
      <c r="B276" s="7" t="s">
        <v>382</v>
      </c>
      <c r="C276" s="1">
        <v>44986</v>
      </c>
      <c r="D276" t="s">
        <v>35</v>
      </c>
      <c r="E276" s="8">
        <v>15.99</v>
      </c>
      <c r="F276" s="6">
        <v>63</v>
      </c>
      <c r="G276" s="7" t="s">
        <v>26</v>
      </c>
      <c r="H276" s="6">
        <v>4</v>
      </c>
      <c r="I276" s="6">
        <v>4</v>
      </c>
      <c r="J276" s="7" t="b">
        <v>0</v>
      </c>
      <c r="K276" s="6">
        <v>670</v>
      </c>
      <c r="L276" s="6">
        <v>72</v>
      </c>
      <c r="M276" s="7" t="s">
        <v>27</v>
      </c>
      <c r="N276" s="7" t="s">
        <v>28</v>
      </c>
      <c r="O276" s="7" t="s">
        <v>57</v>
      </c>
      <c r="P276" s="5">
        <v>27</v>
      </c>
      <c r="Q276" s="4">
        <v>4.8</v>
      </c>
      <c r="R276" s="7" t="b">
        <v>0</v>
      </c>
      <c r="S276" s="7" t="s">
        <v>30</v>
      </c>
      <c r="T276" s="5">
        <v>15</v>
      </c>
      <c r="U276" s="7" t="s">
        <v>31</v>
      </c>
      <c r="V276" t="s">
        <v>32</v>
      </c>
      <c r="W276" s="7" t="s">
        <v>40</v>
      </c>
    </row>
    <row r="277" spans="1:23" x14ac:dyDescent="0.3">
      <c r="A277" s="6">
        <v>8685</v>
      </c>
      <c r="B277" s="7" t="s">
        <v>138</v>
      </c>
      <c r="C277" s="1">
        <v>45538</v>
      </c>
      <c r="D277" t="s">
        <v>84</v>
      </c>
      <c r="E277" s="8">
        <v>11.99</v>
      </c>
      <c r="F277" s="6">
        <v>446</v>
      </c>
      <c r="G277" s="7" t="s">
        <v>51</v>
      </c>
      <c r="H277" s="6">
        <v>5</v>
      </c>
      <c r="I277" s="6">
        <v>3</v>
      </c>
      <c r="J277" s="7" t="b">
        <v>1</v>
      </c>
      <c r="K277" s="6">
        <v>831</v>
      </c>
      <c r="L277" s="6">
        <v>37</v>
      </c>
      <c r="M277" s="7" t="s">
        <v>92</v>
      </c>
      <c r="N277" s="7" t="s">
        <v>28</v>
      </c>
      <c r="O277" s="7" t="s">
        <v>64</v>
      </c>
      <c r="P277" s="5">
        <v>54</v>
      </c>
      <c r="Q277" s="4">
        <v>3.3</v>
      </c>
      <c r="R277" s="7" t="b">
        <v>1</v>
      </c>
      <c r="S277" s="7" t="s">
        <v>30</v>
      </c>
      <c r="T277" s="5">
        <v>3007</v>
      </c>
      <c r="U277" s="7" t="s">
        <v>58</v>
      </c>
      <c r="V277" t="s">
        <v>69</v>
      </c>
      <c r="W277" s="7" t="s">
        <v>40</v>
      </c>
    </row>
    <row r="278" spans="1:23" x14ac:dyDescent="0.3">
      <c r="A278" s="6">
        <v>8583</v>
      </c>
      <c r="B278" s="7" t="s">
        <v>118</v>
      </c>
      <c r="C278" t="s">
        <v>317</v>
      </c>
      <c r="D278" t="s">
        <v>99</v>
      </c>
      <c r="E278" s="8">
        <v>15.99</v>
      </c>
      <c r="F278" s="6">
        <v>352</v>
      </c>
      <c r="G278" s="7" t="s">
        <v>48</v>
      </c>
      <c r="H278" s="6">
        <v>3</v>
      </c>
      <c r="I278" s="6">
        <v>3</v>
      </c>
      <c r="J278" s="7" t="b">
        <v>0</v>
      </c>
      <c r="K278" s="6">
        <v>154</v>
      </c>
      <c r="L278" s="6">
        <v>148</v>
      </c>
      <c r="M278" s="7" t="s">
        <v>92</v>
      </c>
      <c r="N278" s="7" t="s">
        <v>44</v>
      </c>
      <c r="O278" s="7" t="s">
        <v>64</v>
      </c>
      <c r="P278" s="5">
        <v>39</v>
      </c>
      <c r="Q278" s="4">
        <v>4.7</v>
      </c>
      <c r="R278" s="7" t="b">
        <v>1</v>
      </c>
      <c r="S278" s="7" t="s">
        <v>30</v>
      </c>
      <c r="T278" s="5">
        <v>4588</v>
      </c>
      <c r="U278" s="7" t="s">
        <v>65</v>
      </c>
      <c r="V278" t="s">
        <v>32</v>
      </c>
      <c r="W278" s="7" t="s">
        <v>60</v>
      </c>
    </row>
    <row r="279" spans="1:23" x14ac:dyDescent="0.3">
      <c r="A279" s="6">
        <v>1062</v>
      </c>
      <c r="B279" s="7" t="s">
        <v>179</v>
      </c>
      <c r="C279" s="1">
        <v>45361</v>
      </c>
      <c r="D279" t="s">
        <v>25</v>
      </c>
      <c r="E279" s="8">
        <v>7.99</v>
      </c>
      <c r="F279" s="6">
        <v>209</v>
      </c>
      <c r="G279" s="7" t="s">
        <v>48</v>
      </c>
      <c r="H279" s="6">
        <v>2</v>
      </c>
      <c r="I279" s="6">
        <v>6</v>
      </c>
      <c r="J279" s="7" t="b">
        <v>0</v>
      </c>
      <c r="K279" s="6">
        <v>707</v>
      </c>
      <c r="L279" s="6">
        <v>162</v>
      </c>
      <c r="M279" s="7" t="s">
        <v>27</v>
      </c>
      <c r="N279" s="7" t="s">
        <v>44</v>
      </c>
      <c r="O279" s="7" t="s">
        <v>37</v>
      </c>
      <c r="P279" s="5">
        <v>95</v>
      </c>
      <c r="Q279" s="4">
        <v>3.5</v>
      </c>
      <c r="R279" s="7" t="b">
        <v>1</v>
      </c>
      <c r="S279" s="7" t="s">
        <v>30</v>
      </c>
      <c r="T279" s="5">
        <v>73</v>
      </c>
      <c r="U279" s="7" t="s">
        <v>31</v>
      </c>
      <c r="V279" t="s">
        <v>79</v>
      </c>
      <c r="W279" s="7" t="s">
        <v>33</v>
      </c>
    </row>
    <row r="280" spans="1:23" x14ac:dyDescent="0.3">
      <c r="A280" s="6">
        <v>2593</v>
      </c>
      <c r="B280" s="7" t="s">
        <v>130</v>
      </c>
      <c r="C280" t="s">
        <v>246</v>
      </c>
      <c r="D280" s="1">
        <v>45608</v>
      </c>
      <c r="E280" s="8">
        <v>7.99</v>
      </c>
      <c r="F280" s="6">
        <v>311</v>
      </c>
      <c r="G280" s="7" t="s">
        <v>63</v>
      </c>
      <c r="H280" s="6">
        <v>5</v>
      </c>
      <c r="I280" s="6">
        <v>6</v>
      </c>
      <c r="J280" s="7" t="b">
        <v>0</v>
      </c>
      <c r="K280" s="6">
        <v>587</v>
      </c>
      <c r="L280" s="6">
        <v>140</v>
      </c>
      <c r="M280" s="7" t="s">
        <v>55</v>
      </c>
      <c r="N280" s="7" t="s">
        <v>28</v>
      </c>
      <c r="O280" s="7" t="s">
        <v>45</v>
      </c>
      <c r="P280" s="5">
        <v>43</v>
      </c>
      <c r="Q280" s="4">
        <v>3.6</v>
      </c>
      <c r="R280" s="7" t="b">
        <v>1</v>
      </c>
      <c r="S280" s="7" t="s">
        <v>30</v>
      </c>
      <c r="T280" s="5">
        <v>4635</v>
      </c>
      <c r="U280" s="7" t="s">
        <v>31</v>
      </c>
      <c r="V280" t="s">
        <v>59</v>
      </c>
      <c r="W280" s="7" t="s">
        <v>93</v>
      </c>
    </row>
    <row r="281" spans="1:23" x14ac:dyDescent="0.3">
      <c r="A281" s="6">
        <v>3951</v>
      </c>
      <c r="B281" s="7" t="s">
        <v>383</v>
      </c>
      <c r="C281" t="s">
        <v>384</v>
      </c>
      <c r="D281" s="1">
        <v>45455</v>
      </c>
      <c r="E281" s="8">
        <v>11.99</v>
      </c>
      <c r="F281" s="6">
        <v>293</v>
      </c>
      <c r="G281" s="7" t="s">
        <v>48</v>
      </c>
      <c r="H281" s="6">
        <v>3</v>
      </c>
      <c r="I281" s="6">
        <v>6</v>
      </c>
      <c r="J281" s="7" t="b">
        <v>1</v>
      </c>
      <c r="K281" s="6">
        <v>158</v>
      </c>
      <c r="L281" s="6">
        <v>119</v>
      </c>
      <c r="M281" s="7" t="s">
        <v>55</v>
      </c>
      <c r="N281" s="7" t="s">
        <v>56</v>
      </c>
      <c r="O281" s="7" t="s">
        <v>57</v>
      </c>
      <c r="P281" s="5">
        <v>60</v>
      </c>
      <c r="Q281" s="4">
        <v>3.7</v>
      </c>
      <c r="R281" s="7" t="b">
        <v>0</v>
      </c>
      <c r="S281" s="7" t="s">
        <v>30</v>
      </c>
      <c r="T281" s="5">
        <v>1882</v>
      </c>
      <c r="U281" s="7" t="s">
        <v>76</v>
      </c>
      <c r="V281" t="s">
        <v>69</v>
      </c>
      <c r="W281" s="7" t="s">
        <v>33</v>
      </c>
    </row>
    <row r="282" spans="1:23" x14ac:dyDescent="0.3">
      <c r="A282" s="6">
        <v>8580</v>
      </c>
      <c r="B282" s="7" t="s">
        <v>385</v>
      </c>
      <c r="C282" s="1">
        <v>45328</v>
      </c>
      <c r="D282" s="1">
        <v>45577</v>
      </c>
      <c r="E282" s="8">
        <v>15.99</v>
      </c>
      <c r="F282" s="6">
        <v>119</v>
      </c>
      <c r="G282" s="7" t="s">
        <v>100</v>
      </c>
      <c r="H282" s="6">
        <v>4</v>
      </c>
      <c r="I282" s="6">
        <v>2</v>
      </c>
      <c r="J282" s="7" t="b">
        <v>0</v>
      </c>
      <c r="K282" s="6">
        <v>936</v>
      </c>
      <c r="L282" s="6">
        <v>188</v>
      </c>
      <c r="M282" s="7" t="s">
        <v>27</v>
      </c>
      <c r="N282" s="7" t="s">
        <v>75</v>
      </c>
      <c r="O282" s="7" t="s">
        <v>45</v>
      </c>
      <c r="P282" s="5">
        <v>59</v>
      </c>
      <c r="Q282" s="4">
        <v>4.0999999999999996</v>
      </c>
      <c r="R282" s="7" t="b">
        <v>1</v>
      </c>
      <c r="S282" s="7" t="s">
        <v>30</v>
      </c>
      <c r="T282" s="5">
        <v>1690</v>
      </c>
      <c r="U282" s="7" t="s">
        <v>38</v>
      </c>
      <c r="V282" t="s">
        <v>39</v>
      </c>
      <c r="W282" s="7" t="s">
        <v>93</v>
      </c>
    </row>
    <row r="283" spans="1:23" x14ac:dyDescent="0.3">
      <c r="A283" s="6">
        <v>4372</v>
      </c>
      <c r="B283" s="7" t="s">
        <v>157</v>
      </c>
      <c r="C283" t="s">
        <v>386</v>
      </c>
      <c r="D283" s="1">
        <v>45424</v>
      </c>
      <c r="E283" s="8">
        <v>15.99</v>
      </c>
      <c r="F283" s="6">
        <v>329</v>
      </c>
      <c r="G283" s="7" t="s">
        <v>48</v>
      </c>
      <c r="H283" s="6">
        <v>2</v>
      </c>
      <c r="I283" s="6">
        <v>1</v>
      </c>
      <c r="J283" s="7" t="b">
        <v>0</v>
      </c>
      <c r="K283" s="6">
        <v>670</v>
      </c>
      <c r="L283" s="6">
        <v>94</v>
      </c>
      <c r="M283" s="7" t="s">
        <v>49</v>
      </c>
      <c r="N283" s="7" t="s">
        <v>28</v>
      </c>
      <c r="O283" s="7" t="s">
        <v>29</v>
      </c>
      <c r="P283" s="5">
        <v>61</v>
      </c>
      <c r="Q283" s="4">
        <v>3</v>
      </c>
      <c r="R283" s="7" t="b">
        <v>0</v>
      </c>
      <c r="S283" s="7" t="s">
        <v>30</v>
      </c>
      <c r="T283" s="5">
        <v>2572</v>
      </c>
      <c r="U283" s="7" t="s">
        <v>65</v>
      </c>
      <c r="V283" t="s">
        <v>32</v>
      </c>
      <c r="W283" s="7" t="s">
        <v>60</v>
      </c>
    </row>
    <row r="284" spans="1:23" x14ac:dyDescent="0.3">
      <c r="A284" s="6">
        <v>4463</v>
      </c>
      <c r="B284" s="7" t="s">
        <v>387</v>
      </c>
      <c r="C284" t="s">
        <v>388</v>
      </c>
      <c r="D284" t="s">
        <v>156</v>
      </c>
      <c r="E284" s="8">
        <v>15.99</v>
      </c>
      <c r="F284" s="6">
        <v>141</v>
      </c>
      <c r="G284" s="7" t="s">
        <v>63</v>
      </c>
      <c r="H284" s="6">
        <v>5</v>
      </c>
      <c r="I284" s="6">
        <v>5</v>
      </c>
      <c r="J284" s="7" t="b">
        <v>1</v>
      </c>
      <c r="K284" s="6">
        <v>636</v>
      </c>
      <c r="L284" s="6">
        <v>186</v>
      </c>
      <c r="M284" s="7" t="s">
        <v>49</v>
      </c>
      <c r="N284" s="7" t="s">
        <v>56</v>
      </c>
      <c r="O284" s="7" t="s">
        <v>45</v>
      </c>
      <c r="P284" s="5">
        <v>95</v>
      </c>
      <c r="Q284" s="4">
        <v>3.6</v>
      </c>
      <c r="R284" s="7" t="b">
        <v>0</v>
      </c>
      <c r="S284" s="7" t="s">
        <v>30</v>
      </c>
      <c r="T284" s="5">
        <v>3865</v>
      </c>
      <c r="U284" s="7" t="s">
        <v>65</v>
      </c>
      <c r="V284" t="s">
        <v>59</v>
      </c>
      <c r="W284" s="7" t="s">
        <v>33</v>
      </c>
    </row>
    <row r="285" spans="1:23" x14ac:dyDescent="0.3">
      <c r="A285" s="6">
        <v>7498</v>
      </c>
      <c r="B285" s="7" t="s">
        <v>389</v>
      </c>
      <c r="C285" s="1">
        <v>45171</v>
      </c>
      <c r="D285" t="s">
        <v>156</v>
      </c>
      <c r="E285" s="8">
        <v>11.99</v>
      </c>
      <c r="F285" s="6">
        <v>15</v>
      </c>
      <c r="G285" s="7" t="s">
        <v>51</v>
      </c>
      <c r="H285" s="6">
        <v>1</v>
      </c>
      <c r="I285" s="6">
        <v>3</v>
      </c>
      <c r="J285" s="7" t="b">
        <v>1</v>
      </c>
      <c r="K285" s="6">
        <v>700</v>
      </c>
      <c r="L285" s="6">
        <v>64</v>
      </c>
      <c r="M285" s="7" t="s">
        <v>68</v>
      </c>
      <c r="N285" s="7" t="s">
        <v>75</v>
      </c>
      <c r="O285" s="7" t="s">
        <v>57</v>
      </c>
      <c r="P285" s="5">
        <v>35</v>
      </c>
      <c r="Q285" s="4">
        <v>4.7</v>
      </c>
      <c r="R285" s="7" t="b">
        <v>0</v>
      </c>
      <c r="S285" s="7" t="s">
        <v>30</v>
      </c>
      <c r="T285" s="5">
        <v>380</v>
      </c>
      <c r="U285" s="7" t="s">
        <v>65</v>
      </c>
      <c r="V285" t="s">
        <v>39</v>
      </c>
      <c r="W285" s="7" t="s">
        <v>33</v>
      </c>
    </row>
    <row r="286" spans="1:23" x14ac:dyDescent="0.3">
      <c r="A286" s="6">
        <v>9618</v>
      </c>
      <c r="B286" s="7" t="s">
        <v>234</v>
      </c>
      <c r="C286" t="s">
        <v>390</v>
      </c>
      <c r="D286" t="s">
        <v>90</v>
      </c>
      <c r="E286" s="8">
        <v>11.99</v>
      </c>
      <c r="F286" s="6">
        <v>30</v>
      </c>
      <c r="G286" s="7" t="s">
        <v>73</v>
      </c>
      <c r="H286" s="6">
        <v>5</v>
      </c>
      <c r="I286" s="6">
        <v>4</v>
      </c>
      <c r="J286" s="7" t="b">
        <v>1</v>
      </c>
      <c r="K286" s="6">
        <v>310</v>
      </c>
      <c r="L286" s="6">
        <v>162</v>
      </c>
      <c r="M286" s="7" t="s">
        <v>68</v>
      </c>
      <c r="N286" s="7" t="s">
        <v>44</v>
      </c>
      <c r="O286" s="7" t="s">
        <v>37</v>
      </c>
      <c r="P286" s="5">
        <v>30</v>
      </c>
      <c r="Q286" s="4">
        <v>3.1</v>
      </c>
      <c r="R286" s="7" t="b">
        <v>1</v>
      </c>
      <c r="S286" s="7" t="s">
        <v>30</v>
      </c>
      <c r="T286" s="5">
        <v>3566</v>
      </c>
      <c r="U286" s="7" t="s">
        <v>58</v>
      </c>
      <c r="V286" t="s">
        <v>39</v>
      </c>
      <c r="W286" s="7" t="s">
        <v>40</v>
      </c>
    </row>
    <row r="287" spans="1:23" x14ac:dyDescent="0.3">
      <c r="A287" s="6">
        <v>1813</v>
      </c>
      <c r="B287" s="7" t="s">
        <v>391</v>
      </c>
      <c r="C287" t="s">
        <v>392</v>
      </c>
      <c r="D287" t="s">
        <v>168</v>
      </c>
      <c r="E287" s="8">
        <v>11.99</v>
      </c>
      <c r="F287" s="6">
        <v>145</v>
      </c>
      <c r="G287" s="7" t="s">
        <v>63</v>
      </c>
      <c r="H287" s="6">
        <v>2</v>
      </c>
      <c r="I287" s="6">
        <v>4</v>
      </c>
      <c r="J287" s="7" t="b">
        <v>0</v>
      </c>
      <c r="K287" s="6">
        <v>237</v>
      </c>
      <c r="L287" s="6">
        <v>32</v>
      </c>
      <c r="M287" s="7" t="s">
        <v>68</v>
      </c>
      <c r="N287" s="7" t="s">
        <v>75</v>
      </c>
      <c r="O287" s="7" t="s">
        <v>78</v>
      </c>
      <c r="P287" s="5">
        <v>39</v>
      </c>
      <c r="Q287" s="4">
        <v>4.8</v>
      </c>
      <c r="R287" s="7" t="b">
        <v>0</v>
      </c>
      <c r="S287" s="7" t="s">
        <v>30</v>
      </c>
      <c r="T287" s="5">
        <v>1835</v>
      </c>
      <c r="U287" s="7" t="s">
        <v>38</v>
      </c>
      <c r="V287" t="s">
        <v>69</v>
      </c>
      <c r="W287" s="7" t="s">
        <v>60</v>
      </c>
    </row>
    <row r="288" spans="1:23" x14ac:dyDescent="0.3">
      <c r="A288" s="6">
        <v>3009</v>
      </c>
      <c r="B288" s="7" t="s">
        <v>393</v>
      </c>
      <c r="C288" t="s">
        <v>394</v>
      </c>
      <c r="D288" t="s">
        <v>25</v>
      </c>
      <c r="E288" s="8">
        <v>15.99</v>
      </c>
      <c r="F288" s="6">
        <v>250</v>
      </c>
      <c r="G288" s="7" t="s">
        <v>51</v>
      </c>
      <c r="H288" s="6">
        <v>4</v>
      </c>
      <c r="I288" s="6">
        <v>3</v>
      </c>
      <c r="J288" s="7" t="b">
        <v>0</v>
      </c>
      <c r="K288" s="6">
        <v>774</v>
      </c>
      <c r="L288" s="6">
        <v>88</v>
      </c>
      <c r="M288" s="7" t="s">
        <v>68</v>
      </c>
      <c r="N288" s="7" t="s">
        <v>44</v>
      </c>
      <c r="O288" s="7" t="s">
        <v>45</v>
      </c>
      <c r="P288" s="5">
        <v>64</v>
      </c>
      <c r="Q288" s="4">
        <v>3.3</v>
      </c>
      <c r="R288" s="7" t="b">
        <v>0</v>
      </c>
      <c r="S288" s="7" t="s">
        <v>30</v>
      </c>
      <c r="T288" s="5">
        <v>1882</v>
      </c>
      <c r="U288" s="7" t="s">
        <v>38</v>
      </c>
      <c r="V288" t="s">
        <v>59</v>
      </c>
      <c r="W288" s="7" t="s">
        <v>60</v>
      </c>
    </row>
    <row r="289" spans="1:23" x14ac:dyDescent="0.3">
      <c r="A289" s="6">
        <v>8210</v>
      </c>
      <c r="B289" s="7" t="s">
        <v>114</v>
      </c>
      <c r="C289" s="1">
        <v>45047</v>
      </c>
      <c r="D289" t="s">
        <v>82</v>
      </c>
      <c r="E289" s="8">
        <v>15.99</v>
      </c>
      <c r="F289" s="6">
        <v>243</v>
      </c>
      <c r="G289" s="7" t="s">
        <v>63</v>
      </c>
      <c r="H289" s="6">
        <v>2</v>
      </c>
      <c r="I289" s="6">
        <v>6</v>
      </c>
      <c r="J289" s="7" t="b">
        <v>1</v>
      </c>
      <c r="K289" s="6">
        <v>532</v>
      </c>
      <c r="L289" s="6">
        <v>110</v>
      </c>
      <c r="M289" s="7" t="s">
        <v>74</v>
      </c>
      <c r="N289" s="7" t="s">
        <v>28</v>
      </c>
      <c r="O289" s="7" t="s">
        <v>57</v>
      </c>
      <c r="P289" s="5">
        <v>73</v>
      </c>
      <c r="Q289" s="4">
        <v>4.7</v>
      </c>
      <c r="R289" s="7" t="b">
        <v>0</v>
      </c>
      <c r="S289" s="7" t="s">
        <v>30</v>
      </c>
      <c r="T289" s="5">
        <v>525</v>
      </c>
      <c r="U289" s="7" t="s">
        <v>31</v>
      </c>
      <c r="V289" t="s">
        <v>69</v>
      </c>
      <c r="W289" s="7" t="s">
        <v>93</v>
      </c>
    </row>
    <row r="290" spans="1:23" x14ac:dyDescent="0.3">
      <c r="A290" s="6">
        <v>8439</v>
      </c>
      <c r="B290" s="7" t="s">
        <v>395</v>
      </c>
      <c r="C290" t="s">
        <v>396</v>
      </c>
      <c r="D290" t="s">
        <v>134</v>
      </c>
      <c r="E290" s="8">
        <v>11.99</v>
      </c>
      <c r="F290" s="6">
        <v>392</v>
      </c>
      <c r="G290" s="7" t="s">
        <v>63</v>
      </c>
      <c r="H290" s="6">
        <v>4</v>
      </c>
      <c r="I290" s="6">
        <v>1</v>
      </c>
      <c r="J290" s="7" t="b">
        <v>1</v>
      </c>
      <c r="K290" s="6">
        <v>813</v>
      </c>
      <c r="L290" s="6">
        <v>2</v>
      </c>
      <c r="M290" s="7" t="s">
        <v>49</v>
      </c>
      <c r="N290" s="7" t="s">
        <v>75</v>
      </c>
      <c r="O290" s="7" t="s">
        <v>64</v>
      </c>
      <c r="P290" s="5">
        <v>57</v>
      </c>
      <c r="Q290" s="4">
        <v>3</v>
      </c>
      <c r="R290" s="7" t="b">
        <v>1</v>
      </c>
      <c r="S290" s="7" t="s">
        <v>30</v>
      </c>
      <c r="T290" s="5">
        <v>1025</v>
      </c>
      <c r="U290" s="7" t="s">
        <v>38</v>
      </c>
      <c r="V290" t="s">
        <v>59</v>
      </c>
      <c r="W290" s="7" t="s">
        <v>93</v>
      </c>
    </row>
    <row r="291" spans="1:23" x14ac:dyDescent="0.3">
      <c r="A291" s="6">
        <v>8310</v>
      </c>
      <c r="B291" s="7" t="s">
        <v>344</v>
      </c>
      <c r="C291" t="s">
        <v>397</v>
      </c>
      <c r="D291" s="1">
        <v>45608</v>
      </c>
      <c r="E291" s="8">
        <v>11.99</v>
      </c>
      <c r="F291" s="6">
        <v>389</v>
      </c>
      <c r="G291" s="7" t="s">
        <v>36</v>
      </c>
      <c r="H291" s="6">
        <v>5</v>
      </c>
      <c r="I291" s="6">
        <v>4</v>
      </c>
      <c r="J291" s="7" t="b">
        <v>0</v>
      </c>
      <c r="K291" s="6">
        <v>727</v>
      </c>
      <c r="L291" s="6">
        <v>26</v>
      </c>
      <c r="M291" s="7" t="s">
        <v>74</v>
      </c>
      <c r="N291" s="7" t="s">
        <v>28</v>
      </c>
      <c r="O291" s="7" t="s">
        <v>64</v>
      </c>
      <c r="P291" s="5">
        <v>67</v>
      </c>
      <c r="Q291" s="4">
        <v>3.4</v>
      </c>
      <c r="R291" s="7" t="b">
        <v>0</v>
      </c>
      <c r="S291" s="7" t="s">
        <v>30</v>
      </c>
      <c r="T291" s="5">
        <v>2508</v>
      </c>
      <c r="U291" s="7" t="s">
        <v>31</v>
      </c>
      <c r="V291" t="s">
        <v>69</v>
      </c>
      <c r="W291" s="7" t="s">
        <v>93</v>
      </c>
    </row>
    <row r="292" spans="1:23" x14ac:dyDescent="0.3">
      <c r="A292" s="6">
        <v>6369</v>
      </c>
      <c r="B292" s="7" t="s">
        <v>143</v>
      </c>
      <c r="C292" t="s">
        <v>398</v>
      </c>
      <c r="D292" t="s">
        <v>99</v>
      </c>
      <c r="E292" s="8">
        <v>7.99</v>
      </c>
      <c r="F292" s="6">
        <v>414</v>
      </c>
      <c r="G292" s="7" t="s">
        <v>63</v>
      </c>
      <c r="H292" s="6">
        <v>4</v>
      </c>
      <c r="I292" s="6">
        <v>6</v>
      </c>
      <c r="J292" s="7" t="b">
        <v>1</v>
      </c>
      <c r="K292" s="6">
        <v>271</v>
      </c>
      <c r="L292" s="6">
        <v>51</v>
      </c>
      <c r="M292" s="7" t="s">
        <v>55</v>
      </c>
      <c r="N292" s="7" t="s">
        <v>28</v>
      </c>
      <c r="O292" s="7" t="s">
        <v>37</v>
      </c>
      <c r="P292" s="5">
        <v>8</v>
      </c>
      <c r="Q292" s="4">
        <v>4.3</v>
      </c>
      <c r="R292" s="7" t="b">
        <v>0</v>
      </c>
      <c r="S292" s="7" t="s">
        <v>30</v>
      </c>
      <c r="T292" s="5">
        <v>1546</v>
      </c>
      <c r="U292" s="7" t="s">
        <v>38</v>
      </c>
      <c r="V292" t="s">
        <v>39</v>
      </c>
      <c r="W292" s="7" t="s">
        <v>40</v>
      </c>
    </row>
    <row r="293" spans="1:23" x14ac:dyDescent="0.3">
      <c r="A293" s="6">
        <v>5721</v>
      </c>
      <c r="B293" s="7" t="s">
        <v>399</v>
      </c>
      <c r="C293" s="1">
        <v>45236</v>
      </c>
      <c r="D293" s="1">
        <v>45638</v>
      </c>
      <c r="E293" s="8">
        <v>15.99</v>
      </c>
      <c r="F293" s="6">
        <v>415</v>
      </c>
      <c r="G293" s="7" t="s">
        <v>51</v>
      </c>
      <c r="H293" s="6">
        <v>2</v>
      </c>
      <c r="I293" s="6">
        <v>1</v>
      </c>
      <c r="J293" s="7" t="b">
        <v>0</v>
      </c>
      <c r="K293" s="6">
        <v>958</v>
      </c>
      <c r="L293" s="6">
        <v>192</v>
      </c>
      <c r="M293" s="7" t="s">
        <v>27</v>
      </c>
      <c r="N293" s="7" t="s">
        <v>56</v>
      </c>
      <c r="O293" s="7" t="s">
        <v>37</v>
      </c>
      <c r="P293" s="5">
        <v>22</v>
      </c>
      <c r="Q293" s="4">
        <v>4.8</v>
      </c>
      <c r="R293" s="7" t="b">
        <v>1</v>
      </c>
      <c r="S293" s="7" t="s">
        <v>30</v>
      </c>
      <c r="T293" s="5">
        <v>1955</v>
      </c>
      <c r="U293" s="7" t="s">
        <v>76</v>
      </c>
      <c r="V293" t="s">
        <v>32</v>
      </c>
      <c r="W293" s="7" t="s">
        <v>93</v>
      </c>
    </row>
    <row r="294" spans="1:23" x14ac:dyDescent="0.3">
      <c r="A294" s="6">
        <v>4204</v>
      </c>
      <c r="B294" s="7" t="s">
        <v>169</v>
      </c>
      <c r="C294" s="1">
        <v>45271</v>
      </c>
      <c r="D294" t="s">
        <v>42</v>
      </c>
      <c r="E294" s="8">
        <v>11.99</v>
      </c>
      <c r="F294" s="6">
        <v>494</v>
      </c>
      <c r="G294" s="7" t="s">
        <v>63</v>
      </c>
      <c r="H294" s="6">
        <v>5</v>
      </c>
      <c r="I294" s="6">
        <v>6</v>
      </c>
      <c r="J294" s="7" t="b">
        <v>1</v>
      </c>
      <c r="K294" s="6">
        <v>202</v>
      </c>
      <c r="L294" s="6">
        <v>163</v>
      </c>
      <c r="M294" s="7" t="s">
        <v>49</v>
      </c>
      <c r="N294" s="7" t="s">
        <v>44</v>
      </c>
      <c r="O294" s="7" t="s">
        <v>57</v>
      </c>
      <c r="P294" s="5">
        <v>61</v>
      </c>
      <c r="Q294" s="4">
        <v>4</v>
      </c>
      <c r="R294" s="7" t="b">
        <v>1</v>
      </c>
      <c r="S294" s="7" t="s">
        <v>30</v>
      </c>
      <c r="T294" s="5">
        <v>4889</v>
      </c>
      <c r="U294" s="7" t="s">
        <v>76</v>
      </c>
      <c r="V294" t="s">
        <v>32</v>
      </c>
      <c r="W294" s="7" t="s">
        <v>60</v>
      </c>
    </row>
    <row r="295" spans="1:23" x14ac:dyDescent="0.3">
      <c r="A295" s="6">
        <v>5666</v>
      </c>
      <c r="B295" s="7" t="s">
        <v>272</v>
      </c>
      <c r="C295" t="s">
        <v>400</v>
      </c>
      <c r="D295" t="s">
        <v>84</v>
      </c>
      <c r="E295" s="8">
        <v>7.99</v>
      </c>
      <c r="F295" s="6">
        <v>109</v>
      </c>
      <c r="G295" s="7" t="s">
        <v>36</v>
      </c>
      <c r="H295" s="6">
        <v>4</v>
      </c>
      <c r="I295" s="6">
        <v>4</v>
      </c>
      <c r="J295" s="7" t="b">
        <v>1</v>
      </c>
      <c r="K295" s="6">
        <v>899</v>
      </c>
      <c r="L295" s="6">
        <v>11</v>
      </c>
      <c r="M295" s="7" t="s">
        <v>49</v>
      </c>
      <c r="N295" s="7" t="s">
        <v>56</v>
      </c>
      <c r="O295" s="7" t="s">
        <v>37</v>
      </c>
      <c r="P295" s="5">
        <v>63</v>
      </c>
      <c r="Q295" s="4">
        <v>4.3</v>
      </c>
      <c r="R295" s="7" t="b">
        <v>0</v>
      </c>
      <c r="S295" s="7" t="s">
        <v>30</v>
      </c>
      <c r="T295" s="5">
        <v>1185</v>
      </c>
      <c r="U295" s="7" t="s">
        <v>65</v>
      </c>
      <c r="V295" t="s">
        <v>59</v>
      </c>
      <c r="W295" s="7" t="s">
        <v>33</v>
      </c>
    </row>
    <row r="296" spans="1:23" x14ac:dyDescent="0.3">
      <c r="A296" s="6">
        <v>5943</v>
      </c>
      <c r="B296" s="7" t="s">
        <v>401</v>
      </c>
      <c r="C296" t="s">
        <v>213</v>
      </c>
      <c r="D296" s="1">
        <v>45485</v>
      </c>
      <c r="E296" s="8">
        <v>7.99</v>
      </c>
      <c r="F296" s="6">
        <v>200</v>
      </c>
      <c r="G296" s="7" t="s">
        <v>100</v>
      </c>
      <c r="H296" s="6">
        <v>1</v>
      </c>
      <c r="I296" s="6">
        <v>2</v>
      </c>
      <c r="J296" s="7" t="b">
        <v>0</v>
      </c>
      <c r="K296" s="6">
        <v>465</v>
      </c>
      <c r="L296" s="6">
        <v>35</v>
      </c>
      <c r="M296" s="7" t="s">
        <v>55</v>
      </c>
      <c r="N296" s="7" t="s">
        <v>75</v>
      </c>
      <c r="O296" s="7" t="s">
        <v>45</v>
      </c>
      <c r="P296" s="5">
        <v>29</v>
      </c>
      <c r="Q296" s="4">
        <v>4.7</v>
      </c>
      <c r="R296" s="7" t="b">
        <v>1</v>
      </c>
      <c r="S296" s="7" t="s">
        <v>30</v>
      </c>
      <c r="T296" s="5">
        <v>3040</v>
      </c>
      <c r="U296" s="7" t="s">
        <v>38</v>
      </c>
      <c r="V296" t="s">
        <v>79</v>
      </c>
      <c r="W296" s="7" t="s">
        <v>40</v>
      </c>
    </row>
    <row r="297" spans="1:23" x14ac:dyDescent="0.3">
      <c r="A297" s="6">
        <v>3202</v>
      </c>
      <c r="B297" s="7" t="s">
        <v>52</v>
      </c>
      <c r="C297" t="s">
        <v>312</v>
      </c>
      <c r="D297" s="1">
        <v>45394</v>
      </c>
      <c r="E297" s="8">
        <v>11.99</v>
      </c>
      <c r="F297" s="6">
        <v>134</v>
      </c>
      <c r="G297" s="7" t="s">
        <v>48</v>
      </c>
      <c r="H297" s="6">
        <v>4</v>
      </c>
      <c r="I297" s="6">
        <v>1</v>
      </c>
      <c r="J297" s="7" t="b">
        <v>1</v>
      </c>
      <c r="K297" s="6">
        <v>459</v>
      </c>
      <c r="L297" s="6">
        <v>105</v>
      </c>
      <c r="M297" s="7" t="s">
        <v>49</v>
      </c>
      <c r="N297" s="7" t="s">
        <v>75</v>
      </c>
      <c r="O297" s="7" t="s">
        <v>37</v>
      </c>
      <c r="P297" s="5">
        <v>3</v>
      </c>
      <c r="Q297" s="4">
        <v>3.7</v>
      </c>
      <c r="R297" s="7" t="b">
        <v>1</v>
      </c>
      <c r="S297" s="7" t="s">
        <v>30</v>
      </c>
      <c r="T297" s="5">
        <v>4729</v>
      </c>
      <c r="U297" s="7" t="s">
        <v>31</v>
      </c>
      <c r="V297" t="s">
        <v>69</v>
      </c>
      <c r="W297" s="7" t="s">
        <v>93</v>
      </c>
    </row>
    <row r="298" spans="1:23" x14ac:dyDescent="0.3">
      <c r="A298" s="6">
        <v>4512</v>
      </c>
      <c r="B298" s="7" t="s">
        <v>259</v>
      </c>
      <c r="C298" t="s">
        <v>402</v>
      </c>
      <c r="D298" t="s">
        <v>90</v>
      </c>
      <c r="E298" s="8">
        <v>11.99</v>
      </c>
      <c r="F298" s="6">
        <v>250</v>
      </c>
      <c r="G298" s="7" t="s">
        <v>51</v>
      </c>
      <c r="H298" s="6">
        <v>5</v>
      </c>
      <c r="I298" s="6">
        <v>2</v>
      </c>
      <c r="J298" s="7" t="b">
        <v>0</v>
      </c>
      <c r="K298" s="6">
        <v>611</v>
      </c>
      <c r="L298" s="6">
        <v>170</v>
      </c>
      <c r="M298" s="7" t="s">
        <v>49</v>
      </c>
      <c r="N298" s="7" t="s">
        <v>56</v>
      </c>
      <c r="O298" s="7" t="s">
        <v>64</v>
      </c>
      <c r="P298" s="5">
        <v>71</v>
      </c>
      <c r="Q298" s="4">
        <v>3.9</v>
      </c>
      <c r="R298" s="7" t="b">
        <v>0</v>
      </c>
      <c r="S298" s="7" t="s">
        <v>30</v>
      </c>
      <c r="T298" s="5">
        <v>4193</v>
      </c>
      <c r="U298" s="7" t="s">
        <v>31</v>
      </c>
      <c r="V298" t="s">
        <v>39</v>
      </c>
      <c r="W298" s="7" t="s">
        <v>40</v>
      </c>
    </row>
    <row r="299" spans="1:23" x14ac:dyDescent="0.3">
      <c r="A299" s="6">
        <v>2075</v>
      </c>
      <c r="B299" s="7" t="s">
        <v>347</v>
      </c>
      <c r="C299" t="s">
        <v>403</v>
      </c>
      <c r="D299" s="1">
        <v>45547</v>
      </c>
      <c r="E299" s="8">
        <v>7.99</v>
      </c>
      <c r="F299" s="6">
        <v>305</v>
      </c>
      <c r="G299" s="7" t="s">
        <v>36</v>
      </c>
      <c r="H299" s="6">
        <v>2</v>
      </c>
      <c r="I299" s="6">
        <v>3</v>
      </c>
      <c r="J299" s="7" t="b">
        <v>1</v>
      </c>
      <c r="K299" s="6">
        <v>49</v>
      </c>
      <c r="L299" s="6">
        <v>146</v>
      </c>
      <c r="M299" s="7" t="s">
        <v>27</v>
      </c>
      <c r="N299" s="7" t="s">
        <v>44</v>
      </c>
      <c r="O299" s="7" t="s">
        <v>45</v>
      </c>
      <c r="P299" s="5">
        <v>48</v>
      </c>
      <c r="Q299" s="4">
        <v>4.5999999999999996</v>
      </c>
      <c r="R299" s="7" t="b">
        <v>0</v>
      </c>
      <c r="S299" s="7" t="s">
        <v>30</v>
      </c>
      <c r="T299" s="5">
        <v>4626</v>
      </c>
      <c r="U299" s="7" t="s">
        <v>58</v>
      </c>
      <c r="V299" t="s">
        <v>79</v>
      </c>
      <c r="W299" s="7" t="s">
        <v>60</v>
      </c>
    </row>
    <row r="300" spans="1:23" x14ac:dyDescent="0.3">
      <c r="A300" s="6">
        <v>4057</v>
      </c>
      <c r="B300" s="7" t="s">
        <v>404</v>
      </c>
      <c r="C300" s="1">
        <v>45570</v>
      </c>
      <c r="D300" t="s">
        <v>105</v>
      </c>
      <c r="E300" s="8">
        <v>15.99</v>
      </c>
      <c r="F300" s="6">
        <v>256</v>
      </c>
      <c r="G300" s="7" t="s">
        <v>73</v>
      </c>
      <c r="H300" s="6">
        <v>5</v>
      </c>
      <c r="I300" s="6">
        <v>3</v>
      </c>
      <c r="J300" s="7" t="b">
        <v>0</v>
      </c>
      <c r="K300" s="6">
        <v>929</v>
      </c>
      <c r="L300" s="6">
        <v>89</v>
      </c>
      <c r="M300" s="7" t="s">
        <v>43</v>
      </c>
      <c r="N300" s="7" t="s">
        <v>28</v>
      </c>
      <c r="O300" s="7" t="s">
        <v>57</v>
      </c>
      <c r="P300" s="5">
        <v>89</v>
      </c>
      <c r="Q300" s="4">
        <v>3.3</v>
      </c>
      <c r="R300" s="7" t="b">
        <v>0</v>
      </c>
      <c r="S300" s="7" t="s">
        <v>30</v>
      </c>
      <c r="T300" s="5">
        <v>60</v>
      </c>
      <c r="U300" s="7" t="s">
        <v>31</v>
      </c>
      <c r="V300" t="s">
        <v>79</v>
      </c>
      <c r="W300" s="7" t="s">
        <v>60</v>
      </c>
    </row>
    <row r="301" spans="1:23" x14ac:dyDescent="0.3">
      <c r="A301" s="6">
        <v>5537</v>
      </c>
      <c r="B301" s="7" t="s">
        <v>212</v>
      </c>
      <c r="C301" s="1">
        <v>45635</v>
      </c>
      <c r="D301" t="s">
        <v>54</v>
      </c>
      <c r="E301" s="8">
        <v>11.99</v>
      </c>
      <c r="F301" s="6">
        <v>214</v>
      </c>
      <c r="G301" s="7" t="s">
        <v>51</v>
      </c>
      <c r="H301" s="6">
        <v>1</v>
      </c>
      <c r="I301" s="6">
        <v>3</v>
      </c>
      <c r="J301" s="7" t="b">
        <v>0</v>
      </c>
      <c r="K301" s="6">
        <v>39</v>
      </c>
      <c r="L301" s="6">
        <v>89</v>
      </c>
      <c r="M301" s="7" t="s">
        <v>43</v>
      </c>
      <c r="N301" s="7" t="s">
        <v>44</v>
      </c>
      <c r="O301" s="7" t="s">
        <v>29</v>
      </c>
      <c r="P301" s="5">
        <v>37</v>
      </c>
      <c r="Q301" s="4">
        <v>3.5</v>
      </c>
      <c r="R301" s="7" t="b">
        <v>1</v>
      </c>
      <c r="S301" s="7" t="s">
        <v>30</v>
      </c>
      <c r="T301" s="5">
        <v>2597</v>
      </c>
      <c r="U301" s="7" t="s">
        <v>76</v>
      </c>
      <c r="V301" t="s">
        <v>69</v>
      </c>
      <c r="W301" s="7" t="s">
        <v>60</v>
      </c>
    </row>
    <row r="302" spans="1:23" x14ac:dyDescent="0.3">
      <c r="A302" s="6">
        <v>9520</v>
      </c>
      <c r="B302" s="7" t="s">
        <v>405</v>
      </c>
      <c r="C302" s="1">
        <v>45054</v>
      </c>
      <c r="D302" s="1">
        <v>45303</v>
      </c>
      <c r="E302" s="8">
        <v>11.99</v>
      </c>
      <c r="F302" s="6">
        <v>272</v>
      </c>
      <c r="G302" s="7" t="s">
        <v>100</v>
      </c>
      <c r="H302" s="6">
        <v>1</v>
      </c>
      <c r="I302" s="6">
        <v>2</v>
      </c>
      <c r="J302" s="7" t="b">
        <v>0</v>
      </c>
      <c r="K302" s="6">
        <v>520</v>
      </c>
      <c r="L302" s="6">
        <v>170</v>
      </c>
      <c r="M302" s="7" t="s">
        <v>74</v>
      </c>
      <c r="N302" s="7" t="s">
        <v>28</v>
      </c>
      <c r="O302" s="7" t="s">
        <v>37</v>
      </c>
      <c r="P302" s="5">
        <v>100</v>
      </c>
      <c r="Q302" s="4">
        <v>5</v>
      </c>
      <c r="R302" s="7" t="b">
        <v>0</v>
      </c>
      <c r="S302" s="7" t="s">
        <v>30</v>
      </c>
      <c r="T302" s="5">
        <v>260</v>
      </c>
      <c r="U302" s="7" t="s">
        <v>76</v>
      </c>
      <c r="V302" t="s">
        <v>79</v>
      </c>
      <c r="W302" s="7" t="s">
        <v>60</v>
      </c>
    </row>
    <row r="303" spans="1:23" x14ac:dyDescent="0.3">
      <c r="A303" s="6">
        <v>1081</v>
      </c>
      <c r="B303" s="7" t="s">
        <v>406</v>
      </c>
      <c r="C303" t="s">
        <v>407</v>
      </c>
      <c r="D303" t="s">
        <v>168</v>
      </c>
      <c r="E303" s="8">
        <v>15.99</v>
      </c>
      <c r="F303" s="6">
        <v>144</v>
      </c>
      <c r="G303" s="7" t="s">
        <v>36</v>
      </c>
      <c r="H303" s="6">
        <v>3</v>
      </c>
      <c r="I303" s="6">
        <v>4</v>
      </c>
      <c r="J303" s="7" t="b">
        <v>0</v>
      </c>
      <c r="K303" s="6">
        <v>501</v>
      </c>
      <c r="L303" s="6">
        <v>64</v>
      </c>
      <c r="M303" s="7" t="s">
        <v>43</v>
      </c>
      <c r="N303" s="7" t="s">
        <v>44</v>
      </c>
      <c r="O303" s="7" t="s">
        <v>64</v>
      </c>
      <c r="P303" s="5">
        <v>98</v>
      </c>
      <c r="Q303" s="4">
        <v>3.3</v>
      </c>
      <c r="R303" s="7" t="b">
        <v>0</v>
      </c>
      <c r="S303" s="7" t="s">
        <v>30</v>
      </c>
      <c r="T303" s="5">
        <v>1544</v>
      </c>
      <c r="U303" s="7" t="s">
        <v>76</v>
      </c>
      <c r="V303" t="s">
        <v>32</v>
      </c>
      <c r="W303" s="7" t="s">
        <v>33</v>
      </c>
    </row>
    <row r="304" spans="1:23" x14ac:dyDescent="0.3">
      <c r="A304" s="6">
        <v>7621</v>
      </c>
      <c r="B304" s="7" t="s">
        <v>405</v>
      </c>
      <c r="C304" s="1">
        <v>45086</v>
      </c>
      <c r="D304" s="1">
        <v>45455</v>
      </c>
      <c r="E304" s="8">
        <v>7.99</v>
      </c>
      <c r="F304" s="6">
        <v>381</v>
      </c>
      <c r="G304" s="7" t="s">
        <v>36</v>
      </c>
      <c r="H304" s="6">
        <v>5</v>
      </c>
      <c r="I304" s="6">
        <v>6</v>
      </c>
      <c r="J304" s="7" t="b">
        <v>0</v>
      </c>
      <c r="K304" s="6">
        <v>593</v>
      </c>
      <c r="L304" s="6">
        <v>46</v>
      </c>
      <c r="M304" s="7" t="s">
        <v>68</v>
      </c>
      <c r="N304" s="7" t="s">
        <v>44</v>
      </c>
      <c r="O304" s="7" t="s">
        <v>64</v>
      </c>
      <c r="P304" s="5">
        <v>10</v>
      </c>
      <c r="Q304" s="4">
        <v>4.5999999999999996</v>
      </c>
      <c r="R304" s="7" t="b">
        <v>1</v>
      </c>
      <c r="S304" s="7" t="s">
        <v>30</v>
      </c>
      <c r="T304" s="5">
        <v>4528</v>
      </c>
      <c r="U304" s="7" t="s">
        <v>76</v>
      </c>
      <c r="V304" t="s">
        <v>79</v>
      </c>
      <c r="W304" s="7" t="s">
        <v>40</v>
      </c>
    </row>
    <row r="305" spans="1:23" x14ac:dyDescent="0.3">
      <c r="A305" s="6">
        <v>4558</v>
      </c>
      <c r="B305" s="7" t="s">
        <v>204</v>
      </c>
      <c r="C305" t="s">
        <v>386</v>
      </c>
      <c r="D305" t="s">
        <v>84</v>
      </c>
      <c r="E305" s="8">
        <v>11.99</v>
      </c>
      <c r="F305" s="6">
        <v>292</v>
      </c>
      <c r="G305" s="7" t="s">
        <v>36</v>
      </c>
      <c r="H305" s="6">
        <v>4</v>
      </c>
      <c r="I305" s="6">
        <v>2</v>
      </c>
      <c r="J305" s="7" t="b">
        <v>1</v>
      </c>
      <c r="K305" s="6">
        <v>109</v>
      </c>
      <c r="L305" s="6">
        <v>68</v>
      </c>
      <c r="M305" s="7" t="s">
        <v>74</v>
      </c>
      <c r="N305" s="7" t="s">
        <v>56</v>
      </c>
      <c r="O305" s="7" t="s">
        <v>64</v>
      </c>
      <c r="P305" s="5">
        <v>95</v>
      </c>
      <c r="Q305" s="4">
        <v>4.3</v>
      </c>
      <c r="R305" s="7" t="b">
        <v>0</v>
      </c>
      <c r="S305" s="7" t="s">
        <v>30</v>
      </c>
      <c r="T305" s="5">
        <v>1127</v>
      </c>
      <c r="U305" s="7" t="s">
        <v>65</v>
      </c>
      <c r="V305" t="s">
        <v>79</v>
      </c>
      <c r="W305" s="7" t="s">
        <v>40</v>
      </c>
    </row>
    <row r="306" spans="1:23" x14ac:dyDescent="0.3">
      <c r="A306" s="6">
        <v>6628</v>
      </c>
      <c r="B306" s="7" t="s">
        <v>357</v>
      </c>
      <c r="C306" t="s">
        <v>81</v>
      </c>
      <c r="D306" t="s">
        <v>35</v>
      </c>
      <c r="E306" s="8">
        <v>11.99</v>
      </c>
      <c r="F306" s="6">
        <v>358</v>
      </c>
      <c r="G306" s="7" t="s">
        <v>100</v>
      </c>
      <c r="H306" s="6">
        <v>4</v>
      </c>
      <c r="I306" s="6">
        <v>3</v>
      </c>
      <c r="J306" s="7" t="b">
        <v>0</v>
      </c>
      <c r="K306" s="6">
        <v>472</v>
      </c>
      <c r="L306" s="6">
        <v>65</v>
      </c>
      <c r="M306" s="7" t="s">
        <v>55</v>
      </c>
      <c r="N306" s="7" t="s">
        <v>44</v>
      </c>
      <c r="O306" s="7" t="s">
        <v>57</v>
      </c>
      <c r="P306" s="5">
        <v>92</v>
      </c>
      <c r="Q306" s="4">
        <v>4</v>
      </c>
      <c r="R306" s="7" t="b">
        <v>0</v>
      </c>
      <c r="S306" s="7" t="s">
        <v>30</v>
      </c>
      <c r="T306" s="5">
        <v>4542</v>
      </c>
      <c r="U306" s="7" t="s">
        <v>31</v>
      </c>
      <c r="V306" t="s">
        <v>69</v>
      </c>
      <c r="W306" s="7" t="s">
        <v>40</v>
      </c>
    </row>
    <row r="307" spans="1:23" x14ac:dyDescent="0.3">
      <c r="A307" s="6">
        <v>7643</v>
      </c>
      <c r="B307" s="7" t="s">
        <v>408</v>
      </c>
      <c r="C307" s="1">
        <v>45572</v>
      </c>
      <c r="D307" s="1">
        <v>45363</v>
      </c>
      <c r="E307" s="8">
        <v>15.99</v>
      </c>
      <c r="F307" s="6">
        <v>426</v>
      </c>
      <c r="G307" s="7" t="s">
        <v>48</v>
      </c>
      <c r="H307" s="6">
        <v>1</v>
      </c>
      <c r="I307" s="6">
        <v>6</v>
      </c>
      <c r="J307" s="7" t="b">
        <v>1</v>
      </c>
      <c r="K307" s="6">
        <v>229</v>
      </c>
      <c r="L307" s="6">
        <v>120</v>
      </c>
      <c r="M307" s="7" t="s">
        <v>27</v>
      </c>
      <c r="N307" s="7" t="s">
        <v>28</v>
      </c>
      <c r="O307" s="7" t="s">
        <v>78</v>
      </c>
      <c r="P307" s="5">
        <v>38</v>
      </c>
      <c r="Q307" s="4">
        <v>3.3</v>
      </c>
      <c r="R307" s="7" t="b">
        <v>1</v>
      </c>
      <c r="S307" s="7" t="s">
        <v>30</v>
      </c>
      <c r="T307" s="5">
        <v>1436</v>
      </c>
      <c r="U307" s="7" t="s">
        <v>31</v>
      </c>
      <c r="V307" t="s">
        <v>79</v>
      </c>
      <c r="W307" s="7" t="s">
        <v>60</v>
      </c>
    </row>
    <row r="308" spans="1:23" x14ac:dyDescent="0.3">
      <c r="A308" s="6">
        <v>4709</v>
      </c>
      <c r="B308" s="7" t="s">
        <v>409</v>
      </c>
      <c r="C308" t="s">
        <v>113</v>
      </c>
      <c r="D308" t="s">
        <v>156</v>
      </c>
      <c r="E308" s="8">
        <v>11.99</v>
      </c>
      <c r="F308" s="6">
        <v>474</v>
      </c>
      <c r="G308" s="7" t="s">
        <v>73</v>
      </c>
      <c r="H308" s="6">
        <v>5</v>
      </c>
      <c r="I308" s="6">
        <v>1</v>
      </c>
      <c r="J308" s="7" t="b">
        <v>0</v>
      </c>
      <c r="K308" s="6">
        <v>487</v>
      </c>
      <c r="L308" s="6">
        <v>107</v>
      </c>
      <c r="M308" s="7" t="s">
        <v>68</v>
      </c>
      <c r="N308" s="7" t="s">
        <v>44</v>
      </c>
      <c r="O308" s="7" t="s">
        <v>37</v>
      </c>
      <c r="P308" s="5">
        <v>66</v>
      </c>
      <c r="Q308" s="4">
        <v>4</v>
      </c>
      <c r="R308" s="7" t="b">
        <v>0</v>
      </c>
      <c r="S308" s="7" t="s">
        <v>30</v>
      </c>
      <c r="T308" s="5">
        <v>4438</v>
      </c>
      <c r="U308" s="7" t="s">
        <v>38</v>
      </c>
      <c r="V308" t="s">
        <v>69</v>
      </c>
      <c r="W308" s="7" t="s">
        <v>33</v>
      </c>
    </row>
    <row r="309" spans="1:23" x14ac:dyDescent="0.3">
      <c r="A309" s="6">
        <v>8408</v>
      </c>
      <c r="B309" s="7" t="s">
        <v>176</v>
      </c>
      <c r="C309" t="s">
        <v>410</v>
      </c>
      <c r="D309" s="1">
        <v>45638</v>
      </c>
      <c r="E309" s="8">
        <v>7.99</v>
      </c>
      <c r="F309" s="6">
        <v>286</v>
      </c>
      <c r="G309" s="7" t="s">
        <v>51</v>
      </c>
      <c r="H309" s="6">
        <v>2</v>
      </c>
      <c r="I309" s="6">
        <v>5</v>
      </c>
      <c r="J309" s="7" t="b">
        <v>1</v>
      </c>
      <c r="K309" s="6">
        <v>543</v>
      </c>
      <c r="L309" s="6">
        <v>16</v>
      </c>
      <c r="M309" s="7" t="s">
        <v>27</v>
      </c>
      <c r="N309" s="7" t="s">
        <v>56</v>
      </c>
      <c r="O309" s="7" t="s">
        <v>45</v>
      </c>
      <c r="P309" s="5">
        <v>8</v>
      </c>
      <c r="Q309" s="4">
        <v>3.7</v>
      </c>
      <c r="R309" s="7" t="b">
        <v>1</v>
      </c>
      <c r="S309" s="7" t="s">
        <v>30</v>
      </c>
      <c r="T309" s="5">
        <v>3130</v>
      </c>
      <c r="U309" s="7" t="s">
        <v>31</v>
      </c>
      <c r="V309" t="s">
        <v>32</v>
      </c>
      <c r="W309" s="7" t="s">
        <v>93</v>
      </c>
    </row>
    <row r="310" spans="1:23" x14ac:dyDescent="0.3">
      <c r="A310" s="6">
        <v>3530</v>
      </c>
      <c r="B310" s="7" t="s">
        <v>411</v>
      </c>
      <c r="C310" s="1">
        <v>45575</v>
      </c>
      <c r="D310" s="1">
        <v>45455</v>
      </c>
      <c r="E310" s="8">
        <v>15.99</v>
      </c>
      <c r="F310" s="6">
        <v>498</v>
      </c>
      <c r="G310" s="7" t="s">
        <v>36</v>
      </c>
      <c r="H310" s="6">
        <v>5</v>
      </c>
      <c r="I310" s="6">
        <v>6</v>
      </c>
      <c r="J310" s="7" t="b">
        <v>0</v>
      </c>
      <c r="K310" s="6">
        <v>105</v>
      </c>
      <c r="L310" s="6">
        <v>35</v>
      </c>
      <c r="M310" s="7" t="s">
        <v>55</v>
      </c>
      <c r="N310" s="7" t="s">
        <v>44</v>
      </c>
      <c r="O310" s="7" t="s">
        <v>64</v>
      </c>
      <c r="P310" s="5">
        <v>6</v>
      </c>
      <c r="Q310" s="4">
        <v>3.9</v>
      </c>
      <c r="R310" s="7" t="b">
        <v>1</v>
      </c>
      <c r="S310" s="7" t="s">
        <v>30</v>
      </c>
      <c r="T310" s="5">
        <v>3379</v>
      </c>
      <c r="U310" s="7" t="s">
        <v>38</v>
      </c>
      <c r="V310" t="s">
        <v>39</v>
      </c>
      <c r="W310" s="7" t="s">
        <v>33</v>
      </c>
    </row>
    <row r="311" spans="1:23" x14ac:dyDescent="0.3">
      <c r="A311" s="6">
        <v>3779</v>
      </c>
      <c r="B311" s="7" t="s">
        <v>291</v>
      </c>
      <c r="C311" t="s">
        <v>392</v>
      </c>
      <c r="D311" t="s">
        <v>35</v>
      </c>
      <c r="E311" s="8">
        <v>11.99</v>
      </c>
      <c r="F311" s="6">
        <v>32</v>
      </c>
      <c r="G311" s="7" t="s">
        <v>36</v>
      </c>
      <c r="H311" s="6">
        <v>2</v>
      </c>
      <c r="I311" s="6">
        <v>4</v>
      </c>
      <c r="J311" s="7" t="b">
        <v>0</v>
      </c>
      <c r="K311" s="6">
        <v>334</v>
      </c>
      <c r="L311" s="6">
        <v>151</v>
      </c>
      <c r="M311" s="7" t="s">
        <v>49</v>
      </c>
      <c r="N311" s="7" t="s">
        <v>75</v>
      </c>
      <c r="O311" s="7" t="s">
        <v>57</v>
      </c>
      <c r="P311" s="5">
        <v>88</v>
      </c>
      <c r="Q311" s="4">
        <v>3.4</v>
      </c>
      <c r="R311" s="7" t="b">
        <v>0</v>
      </c>
      <c r="S311" s="7" t="s">
        <v>30</v>
      </c>
      <c r="T311" s="5">
        <v>3696</v>
      </c>
      <c r="U311" s="7" t="s">
        <v>76</v>
      </c>
      <c r="V311" t="s">
        <v>39</v>
      </c>
      <c r="W311" s="7" t="s">
        <v>40</v>
      </c>
    </row>
    <row r="312" spans="1:23" x14ac:dyDescent="0.3">
      <c r="A312" s="6">
        <v>8564</v>
      </c>
      <c r="B312" s="7" t="s">
        <v>202</v>
      </c>
      <c r="C312" t="s">
        <v>412</v>
      </c>
      <c r="D312" s="1">
        <v>45303</v>
      </c>
      <c r="E312" s="8">
        <v>7.99</v>
      </c>
      <c r="F312" s="6">
        <v>84</v>
      </c>
      <c r="G312" s="7" t="s">
        <v>100</v>
      </c>
      <c r="H312" s="6">
        <v>1</v>
      </c>
      <c r="I312" s="6">
        <v>2</v>
      </c>
      <c r="J312" s="7" t="b">
        <v>1</v>
      </c>
      <c r="K312" s="6">
        <v>871</v>
      </c>
      <c r="L312" s="6">
        <v>187</v>
      </c>
      <c r="M312" s="7" t="s">
        <v>27</v>
      </c>
      <c r="N312" s="7" t="s">
        <v>44</v>
      </c>
      <c r="O312" s="7" t="s">
        <v>45</v>
      </c>
      <c r="P312" s="5">
        <v>96</v>
      </c>
      <c r="Q312" s="4">
        <v>4.5</v>
      </c>
      <c r="R312" s="7" t="b">
        <v>1</v>
      </c>
      <c r="S312" s="7" t="s">
        <v>30</v>
      </c>
      <c r="T312" s="5">
        <v>2416</v>
      </c>
      <c r="U312" s="7" t="s">
        <v>31</v>
      </c>
      <c r="V312" t="s">
        <v>69</v>
      </c>
      <c r="W312" s="7" t="s">
        <v>33</v>
      </c>
    </row>
    <row r="313" spans="1:23" x14ac:dyDescent="0.3">
      <c r="A313" s="6">
        <v>8731</v>
      </c>
      <c r="B313" s="7" t="s">
        <v>177</v>
      </c>
      <c r="C313" t="s">
        <v>198</v>
      </c>
      <c r="D313" s="1">
        <v>45334</v>
      </c>
      <c r="E313" s="8">
        <v>15.99</v>
      </c>
      <c r="F313" s="6">
        <v>210</v>
      </c>
      <c r="G313" s="7" t="s">
        <v>100</v>
      </c>
      <c r="H313" s="6">
        <v>5</v>
      </c>
      <c r="I313" s="6">
        <v>5</v>
      </c>
      <c r="J313" s="7" t="b">
        <v>0</v>
      </c>
      <c r="K313" s="6">
        <v>206</v>
      </c>
      <c r="L313" s="6">
        <v>194</v>
      </c>
      <c r="M313" s="7" t="s">
        <v>43</v>
      </c>
      <c r="N313" s="7" t="s">
        <v>28</v>
      </c>
      <c r="O313" s="7" t="s">
        <v>29</v>
      </c>
      <c r="P313" s="5">
        <v>62</v>
      </c>
      <c r="Q313" s="4">
        <v>3.9</v>
      </c>
      <c r="R313" s="7" t="b">
        <v>0</v>
      </c>
      <c r="S313" s="7" t="s">
        <v>30</v>
      </c>
      <c r="T313" s="5">
        <v>2856</v>
      </c>
      <c r="U313" s="7" t="s">
        <v>31</v>
      </c>
      <c r="V313" t="s">
        <v>69</v>
      </c>
      <c r="W313" s="7" t="s">
        <v>40</v>
      </c>
    </row>
    <row r="314" spans="1:23" x14ac:dyDescent="0.3">
      <c r="A314" s="6">
        <v>5000</v>
      </c>
      <c r="B314" s="7" t="s">
        <v>150</v>
      </c>
      <c r="C314" t="s">
        <v>413</v>
      </c>
      <c r="D314" t="s">
        <v>156</v>
      </c>
      <c r="E314" s="8">
        <v>15.99</v>
      </c>
      <c r="F314" s="6">
        <v>231</v>
      </c>
      <c r="G314" s="7" t="s">
        <v>63</v>
      </c>
      <c r="H314" s="6">
        <v>3</v>
      </c>
      <c r="I314" s="6">
        <v>5</v>
      </c>
      <c r="J314" s="7" t="b">
        <v>1</v>
      </c>
      <c r="K314" s="6">
        <v>701</v>
      </c>
      <c r="L314" s="6">
        <v>173</v>
      </c>
      <c r="M314" s="7" t="s">
        <v>55</v>
      </c>
      <c r="N314" s="7" t="s">
        <v>56</v>
      </c>
      <c r="O314" s="7" t="s">
        <v>37</v>
      </c>
      <c r="P314" s="5">
        <v>65</v>
      </c>
      <c r="Q314" s="4">
        <v>3.4</v>
      </c>
      <c r="R314" s="7" t="b">
        <v>1</v>
      </c>
      <c r="S314" s="7" t="s">
        <v>30</v>
      </c>
      <c r="T314" s="5">
        <v>4177</v>
      </c>
      <c r="U314" s="7" t="s">
        <v>31</v>
      </c>
      <c r="V314" t="s">
        <v>59</v>
      </c>
      <c r="W314" s="7" t="s">
        <v>60</v>
      </c>
    </row>
    <row r="315" spans="1:23" x14ac:dyDescent="0.3">
      <c r="A315" s="6">
        <v>3882</v>
      </c>
      <c r="B315" s="7" t="s">
        <v>318</v>
      </c>
      <c r="C315" s="1">
        <v>45303</v>
      </c>
      <c r="D315" t="s">
        <v>35</v>
      </c>
      <c r="E315" s="8">
        <v>15.99</v>
      </c>
      <c r="F315" s="6">
        <v>246</v>
      </c>
      <c r="G315" s="7" t="s">
        <v>36</v>
      </c>
      <c r="H315" s="6">
        <v>3</v>
      </c>
      <c r="I315" s="6">
        <v>3</v>
      </c>
      <c r="J315" s="7" t="b">
        <v>0</v>
      </c>
      <c r="K315" s="6">
        <v>505</v>
      </c>
      <c r="L315" s="6">
        <v>129</v>
      </c>
      <c r="M315" s="7" t="s">
        <v>43</v>
      </c>
      <c r="N315" s="7" t="s">
        <v>56</v>
      </c>
      <c r="O315" s="7" t="s">
        <v>64</v>
      </c>
      <c r="P315" s="5">
        <v>82</v>
      </c>
      <c r="Q315" s="4">
        <v>4.9000000000000004</v>
      </c>
      <c r="R315" s="7" t="b">
        <v>0</v>
      </c>
      <c r="S315" s="7" t="s">
        <v>30</v>
      </c>
      <c r="T315" s="5">
        <v>1912</v>
      </c>
      <c r="U315" s="7" t="s">
        <v>65</v>
      </c>
      <c r="V315" t="s">
        <v>59</v>
      </c>
      <c r="W315" s="7" t="s">
        <v>40</v>
      </c>
    </row>
    <row r="316" spans="1:23" x14ac:dyDescent="0.3">
      <c r="A316" s="6">
        <v>4551</v>
      </c>
      <c r="B316" s="7" t="s">
        <v>414</v>
      </c>
      <c r="C316" t="s">
        <v>415</v>
      </c>
      <c r="D316" t="s">
        <v>54</v>
      </c>
      <c r="E316" s="8">
        <v>11.99</v>
      </c>
      <c r="F316" s="6">
        <v>174</v>
      </c>
      <c r="G316" s="7" t="s">
        <v>100</v>
      </c>
      <c r="H316" s="6">
        <v>1</v>
      </c>
      <c r="I316" s="6">
        <v>6</v>
      </c>
      <c r="J316" s="7" t="b">
        <v>1</v>
      </c>
      <c r="K316" s="6">
        <v>239</v>
      </c>
      <c r="L316" s="6">
        <v>175</v>
      </c>
      <c r="M316" s="7" t="s">
        <v>27</v>
      </c>
      <c r="N316" s="7" t="s">
        <v>56</v>
      </c>
      <c r="O316" s="7" t="s">
        <v>64</v>
      </c>
      <c r="P316" s="5">
        <v>65</v>
      </c>
      <c r="Q316" s="4">
        <v>3.7</v>
      </c>
      <c r="R316" s="7" t="b">
        <v>0</v>
      </c>
      <c r="S316" s="7" t="s">
        <v>30</v>
      </c>
      <c r="T316" s="5">
        <v>2388</v>
      </c>
      <c r="U316" s="7" t="s">
        <v>76</v>
      </c>
      <c r="V316" t="s">
        <v>59</v>
      </c>
      <c r="W316" s="7" t="s">
        <v>60</v>
      </c>
    </row>
    <row r="317" spans="1:23" x14ac:dyDescent="0.3">
      <c r="A317" s="6">
        <v>7970</v>
      </c>
      <c r="B317" s="7" t="s">
        <v>169</v>
      </c>
      <c r="C317" t="s">
        <v>416</v>
      </c>
      <c r="D317" t="s">
        <v>54</v>
      </c>
      <c r="E317" s="8">
        <v>15.99</v>
      </c>
      <c r="F317" s="6">
        <v>298</v>
      </c>
      <c r="G317" s="7" t="s">
        <v>73</v>
      </c>
      <c r="H317" s="6">
        <v>3</v>
      </c>
      <c r="I317" s="6">
        <v>1</v>
      </c>
      <c r="J317" s="7" t="b">
        <v>1</v>
      </c>
      <c r="K317" s="6">
        <v>115</v>
      </c>
      <c r="L317" s="6">
        <v>168</v>
      </c>
      <c r="M317" s="7" t="s">
        <v>74</v>
      </c>
      <c r="N317" s="7" t="s">
        <v>28</v>
      </c>
      <c r="O317" s="7" t="s">
        <v>29</v>
      </c>
      <c r="P317" s="5">
        <v>27</v>
      </c>
      <c r="Q317" s="4">
        <v>3</v>
      </c>
      <c r="R317" s="7" t="b">
        <v>0</v>
      </c>
      <c r="S317" s="7" t="s">
        <v>30</v>
      </c>
      <c r="T317" s="5">
        <v>4216</v>
      </c>
      <c r="U317" s="7" t="s">
        <v>31</v>
      </c>
      <c r="V317" t="s">
        <v>79</v>
      </c>
      <c r="W317" s="7" t="s">
        <v>60</v>
      </c>
    </row>
    <row r="318" spans="1:23" x14ac:dyDescent="0.3">
      <c r="A318" s="6">
        <v>2466</v>
      </c>
      <c r="B318" s="7" t="s">
        <v>417</v>
      </c>
      <c r="C318" t="s">
        <v>418</v>
      </c>
      <c r="D318" s="1">
        <v>45363</v>
      </c>
      <c r="E318" s="8">
        <v>11.99</v>
      </c>
      <c r="F318" s="6">
        <v>344</v>
      </c>
      <c r="G318" s="7" t="s">
        <v>51</v>
      </c>
      <c r="H318" s="6">
        <v>5</v>
      </c>
      <c r="I318" s="6">
        <v>2</v>
      </c>
      <c r="J318" s="7" t="b">
        <v>0</v>
      </c>
      <c r="K318" s="6">
        <v>142</v>
      </c>
      <c r="L318" s="6">
        <v>113</v>
      </c>
      <c r="M318" s="7" t="s">
        <v>27</v>
      </c>
      <c r="N318" s="7" t="s">
        <v>28</v>
      </c>
      <c r="O318" s="7" t="s">
        <v>37</v>
      </c>
      <c r="P318" s="5">
        <v>100</v>
      </c>
      <c r="Q318" s="4">
        <v>4.5999999999999996</v>
      </c>
      <c r="R318" s="7" t="b">
        <v>1</v>
      </c>
      <c r="S318" s="7" t="s">
        <v>30</v>
      </c>
      <c r="T318" s="5">
        <v>599</v>
      </c>
      <c r="U318" s="7" t="s">
        <v>65</v>
      </c>
      <c r="V318" t="s">
        <v>39</v>
      </c>
      <c r="W318" s="7" t="s">
        <v>93</v>
      </c>
    </row>
    <row r="319" spans="1:23" x14ac:dyDescent="0.3">
      <c r="A319" s="6">
        <v>1303</v>
      </c>
      <c r="B319" s="7" t="s">
        <v>140</v>
      </c>
      <c r="C319" t="s">
        <v>71</v>
      </c>
      <c r="D319" s="1">
        <v>45394</v>
      </c>
      <c r="E319" s="8">
        <v>11.99</v>
      </c>
      <c r="F319" s="6">
        <v>264</v>
      </c>
      <c r="G319" s="7" t="s">
        <v>100</v>
      </c>
      <c r="H319" s="6">
        <v>2</v>
      </c>
      <c r="I319" s="6">
        <v>1</v>
      </c>
      <c r="J319" s="7" t="b">
        <v>1</v>
      </c>
      <c r="K319" s="6">
        <v>744</v>
      </c>
      <c r="L319" s="6">
        <v>33</v>
      </c>
      <c r="M319" s="7" t="s">
        <v>68</v>
      </c>
      <c r="N319" s="7" t="s">
        <v>75</v>
      </c>
      <c r="O319" s="7" t="s">
        <v>64</v>
      </c>
      <c r="P319" s="5">
        <v>29</v>
      </c>
      <c r="Q319" s="4">
        <v>4.9000000000000004</v>
      </c>
      <c r="R319" s="7" t="b">
        <v>1</v>
      </c>
      <c r="S319" s="7" t="s">
        <v>30</v>
      </c>
      <c r="T319" s="5">
        <v>804</v>
      </c>
      <c r="U319" s="7" t="s">
        <v>38</v>
      </c>
      <c r="V319" t="s">
        <v>39</v>
      </c>
      <c r="W319" s="7" t="s">
        <v>40</v>
      </c>
    </row>
    <row r="320" spans="1:23" x14ac:dyDescent="0.3">
      <c r="A320" s="6">
        <v>9832</v>
      </c>
      <c r="B320" s="7" t="s">
        <v>311</v>
      </c>
      <c r="C320" t="s">
        <v>246</v>
      </c>
      <c r="D320" t="s">
        <v>134</v>
      </c>
      <c r="E320" s="8">
        <v>7.99</v>
      </c>
      <c r="F320" s="6">
        <v>380</v>
      </c>
      <c r="G320" s="7" t="s">
        <v>36</v>
      </c>
      <c r="H320" s="6">
        <v>2</v>
      </c>
      <c r="I320" s="6">
        <v>5</v>
      </c>
      <c r="J320" s="7" t="b">
        <v>1</v>
      </c>
      <c r="K320" s="6">
        <v>820</v>
      </c>
      <c r="L320" s="6">
        <v>17</v>
      </c>
      <c r="M320" s="7" t="s">
        <v>68</v>
      </c>
      <c r="N320" s="7" t="s">
        <v>28</v>
      </c>
      <c r="O320" s="7" t="s">
        <v>78</v>
      </c>
      <c r="P320" s="5">
        <v>93</v>
      </c>
      <c r="Q320" s="4">
        <v>3</v>
      </c>
      <c r="R320" s="7" t="b">
        <v>0</v>
      </c>
      <c r="S320" s="7" t="s">
        <v>30</v>
      </c>
      <c r="T320" s="5">
        <v>4565</v>
      </c>
      <c r="U320" s="7" t="s">
        <v>65</v>
      </c>
      <c r="V320" t="s">
        <v>39</v>
      </c>
      <c r="W320" s="7" t="s">
        <v>40</v>
      </c>
    </row>
    <row r="321" spans="1:23" x14ac:dyDescent="0.3">
      <c r="A321" s="6">
        <v>3618</v>
      </c>
      <c r="B321" s="7" t="s">
        <v>284</v>
      </c>
      <c r="C321" s="1">
        <v>45353</v>
      </c>
      <c r="D321" s="1">
        <v>45363</v>
      </c>
      <c r="E321" s="8">
        <v>11.99</v>
      </c>
      <c r="F321" s="6">
        <v>160</v>
      </c>
      <c r="G321" s="7" t="s">
        <v>26</v>
      </c>
      <c r="H321" s="6">
        <v>2</v>
      </c>
      <c r="I321" s="6">
        <v>1</v>
      </c>
      <c r="J321" s="7" t="b">
        <v>0</v>
      </c>
      <c r="K321" s="6">
        <v>940</v>
      </c>
      <c r="L321" s="6">
        <v>50</v>
      </c>
      <c r="M321" s="7" t="s">
        <v>68</v>
      </c>
      <c r="N321" s="7" t="s">
        <v>75</v>
      </c>
      <c r="O321" s="7" t="s">
        <v>37</v>
      </c>
      <c r="P321" s="5">
        <v>71</v>
      </c>
      <c r="Q321" s="4">
        <v>3</v>
      </c>
      <c r="R321" s="7" t="b">
        <v>0</v>
      </c>
      <c r="S321" s="7" t="s">
        <v>30</v>
      </c>
      <c r="T321" s="5">
        <v>1095</v>
      </c>
      <c r="U321" s="7" t="s">
        <v>38</v>
      </c>
      <c r="V321" t="s">
        <v>79</v>
      </c>
      <c r="W321" s="7" t="s">
        <v>33</v>
      </c>
    </row>
    <row r="322" spans="1:23" x14ac:dyDescent="0.3">
      <c r="A322" s="6">
        <v>7424</v>
      </c>
      <c r="B322" s="7" t="s">
        <v>148</v>
      </c>
      <c r="C322" s="1">
        <v>45146</v>
      </c>
      <c r="D322" t="s">
        <v>25</v>
      </c>
      <c r="E322" s="8">
        <v>7.99</v>
      </c>
      <c r="F322" s="6">
        <v>55</v>
      </c>
      <c r="G322" s="7" t="s">
        <v>73</v>
      </c>
      <c r="H322" s="6">
        <v>4</v>
      </c>
      <c r="I322" s="6">
        <v>6</v>
      </c>
      <c r="J322" s="7" t="b">
        <v>1</v>
      </c>
      <c r="K322" s="6">
        <v>135</v>
      </c>
      <c r="L322" s="6">
        <v>138</v>
      </c>
      <c r="M322" s="7" t="s">
        <v>74</v>
      </c>
      <c r="N322" s="7" t="s">
        <v>56</v>
      </c>
      <c r="O322" s="7" t="s">
        <v>78</v>
      </c>
      <c r="P322" s="5">
        <v>5</v>
      </c>
      <c r="Q322" s="4">
        <v>3.4</v>
      </c>
      <c r="R322" s="7" t="b">
        <v>0</v>
      </c>
      <c r="S322" s="7" t="s">
        <v>30</v>
      </c>
      <c r="T322" s="5">
        <v>1512</v>
      </c>
      <c r="U322" s="7" t="s">
        <v>76</v>
      </c>
      <c r="V322" t="s">
        <v>69</v>
      </c>
      <c r="W322" s="7" t="s">
        <v>40</v>
      </c>
    </row>
    <row r="323" spans="1:23" x14ac:dyDescent="0.3">
      <c r="A323" s="6">
        <v>8414</v>
      </c>
      <c r="B323" s="7" t="s">
        <v>148</v>
      </c>
      <c r="C323" t="s">
        <v>419</v>
      </c>
      <c r="D323" t="s">
        <v>82</v>
      </c>
      <c r="E323" s="8">
        <v>11.99</v>
      </c>
      <c r="F323" s="6">
        <v>70</v>
      </c>
      <c r="G323" s="7" t="s">
        <v>36</v>
      </c>
      <c r="H323" s="6">
        <v>2</v>
      </c>
      <c r="I323" s="6">
        <v>3</v>
      </c>
      <c r="J323" s="7" t="b">
        <v>1</v>
      </c>
      <c r="K323" s="6">
        <v>803</v>
      </c>
      <c r="L323" s="6">
        <v>51</v>
      </c>
      <c r="M323" s="7" t="s">
        <v>55</v>
      </c>
      <c r="N323" s="7" t="s">
        <v>75</v>
      </c>
      <c r="O323" s="7" t="s">
        <v>45</v>
      </c>
      <c r="P323" s="5">
        <v>24</v>
      </c>
      <c r="Q323" s="4">
        <v>3.8</v>
      </c>
      <c r="R323" s="7" t="b">
        <v>0</v>
      </c>
      <c r="S323" s="7" t="s">
        <v>30</v>
      </c>
      <c r="T323" s="5">
        <v>1422</v>
      </c>
      <c r="U323" s="7" t="s">
        <v>65</v>
      </c>
      <c r="V323" t="s">
        <v>79</v>
      </c>
      <c r="W323" s="7" t="s">
        <v>93</v>
      </c>
    </row>
    <row r="324" spans="1:23" x14ac:dyDescent="0.3">
      <c r="A324" s="6">
        <v>5688</v>
      </c>
      <c r="B324" s="7" t="s">
        <v>140</v>
      </c>
      <c r="C324" t="s">
        <v>420</v>
      </c>
      <c r="D324" t="s">
        <v>90</v>
      </c>
      <c r="E324" s="8">
        <v>7.99</v>
      </c>
      <c r="F324" s="6">
        <v>256</v>
      </c>
      <c r="G324" s="7" t="s">
        <v>36</v>
      </c>
      <c r="H324" s="6">
        <v>3</v>
      </c>
      <c r="I324" s="6">
        <v>3</v>
      </c>
      <c r="J324" s="7" t="b">
        <v>0</v>
      </c>
      <c r="K324" s="6">
        <v>322</v>
      </c>
      <c r="L324" s="6">
        <v>199</v>
      </c>
      <c r="M324" s="7" t="s">
        <v>43</v>
      </c>
      <c r="N324" s="7" t="s">
        <v>56</v>
      </c>
      <c r="O324" s="7" t="s">
        <v>64</v>
      </c>
      <c r="P324" s="5">
        <v>65</v>
      </c>
      <c r="Q324" s="4">
        <v>4.5</v>
      </c>
      <c r="R324" s="7" t="b">
        <v>0</v>
      </c>
      <c r="S324" s="7" t="s">
        <v>30</v>
      </c>
      <c r="T324" s="5">
        <v>147</v>
      </c>
      <c r="U324" s="7" t="s">
        <v>31</v>
      </c>
      <c r="V324" t="s">
        <v>69</v>
      </c>
      <c r="W324" s="7" t="s">
        <v>60</v>
      </c>
    </row>
    <row r="325" spans="1:23" x14ac:dyDescent="0.3">
      <c r="A325" s="6">
        <v>2062</v>
      </c>
      <c r="B325" s="7" t="s">
        <v>421</v>
      </c>
      <c r="C325" t="s">
        <v>220</v>
      </c>
      <c r="D325" t="s">
        <v>156</v>
      </c>
      <c r="E325" s="8">
        <v>15.99</v>
      </c>
      <c r="F325" s="6">
        <v>436</v>
      </c>
      <c r="G325" s="7" t="s">
        <v>51</v>
      </c>
      <c r="H325" s="6">
        <v>5</v>
      </c>
      <c r="I325" s="6">
        <v>6</v>
      </c>
      <c r="J325" s="7" t="b">
        <v>1</v>
      </c>
      <c r="K325" s="6">
        <v>424</v>
      </c>
      <c r="L325" s="6">
        <v>111</v>
      </c>
      <c r="M325" s="7" t="s">
        <v>92</v>
      </c>
      <c r="N325" s="7" t="s">
        <v>56</v>
      </c>
      <c r="O325" s="7" t="s">
        <v>37</v>
      </c>
      <c r="P325" s="5">
        <v>64</v>
      </c>
      <c r="Q325" s="4">
        <v>3.5</v>
      </c>
      <c r="R325" s="7" t="b">
        <v>1</v>
      </c>
      <c r="S325" s="7" t="s">
        <v>30</v>
      </c>
      <c r="T325" s="5">
        <v>4317</v>
      </c>
      <c r="U325" s="7" t="s">
        <v>58</v>
      </c>
      <c r="V325" t="s">
        <v>69</v>
      </c>
      <c r="W325" s="7" t="s">
        <v>33</v>
      </c>
    </row>
    <row r="326" spans="1:23" x14ac:dyDescent="0.3">
      <c r="A326" s="6">
        <v>5031</v>
      </c>
      <c r="B326" s="7" t="s">
        <v>422</v>
      </c>
      <c r="C326" s="1">
        <v>45024</v>
      </c>
      <c r="D326" t="s">
        <v>99</v>
      </c>
      <c r="E326" s="8">
        <v>7.99</v>
      </c>
      <c r="F326" s="6">
        <v>394</v>
      </c>
      <c r="G326" s="7" t="s">
        <v>26</v>
      </c>
      <c r="H326" s="6">
        <v>2</v>
      </c>
      <c r="I326" s="6">
        <v>6</v>
      </c>
      <c r="J326" s="7" t="b">
        <v>1</v>
      </c>
      <c r="K326" s="6">
        <v>60</v>
      </c>
      <c r="L326" s="6">
        <v>159</v>
      </c>
      <c r="M326" s="7" t="s">
        <v>49</v>
      </c>
      <c r="N326" s="7" t="s">
        <v>28</v>
      </c>
      <c r="O326" s="7" t="s">
        <v>37</v>
      </c>
      <c r="P326" s="5">
        <v>51</v>
      </c>
      <c r="Q326" s="4">
        <v>3</v>
      </c>
      <c r="R326" s="7" t="b">
        <v>1</v>
      </c>
      <c r="S326" s="7" t="s">
        <v>30</v>
      </c>
      <c r="T326" s="5">
        <v>3197</v>
      </c>
      <c r="U326" s="7" t="s">
        <v>38</v>
      </c>
      <c r="V326" t="s">
        <v>59</v>
      </c>
      <c r="W326" s="7" t="s">
        <v>33</v>
      </c>
    </row>
    <row r="327" spans="1:23" x14ac:dyDescent="0.3">
      <c r="A327" s="6">
        <v>1162</v>
      </c>
      <c r="B327" s="7" t="s">
        <v>294</v>
      </c>
      <c r="C327" t="s">
        <v>423</v>
      </c>
      <c r="D327" t="s">
        <v>168</v>
      </c>
      <c r="E327" s="8">
        <v>15.99</v>
      </c>
      <c r="F327" s="6">
        <v>131</v>
      </c>
      <c r="G327" s="7" t="s">
        <v>48</v>
      </c>
      <c r="H327" s="6">
        <v>3</v>
      </c>
      <c r="I327" s="6">
        <v>3</v>
      </c>
      <c r="J327" s="7" t="b">
        <v>0</v>
      </c>
      <c r="K327" s="6">
        <v>865</v>
      </c>
      <c r="L327" s="6">
        <v>8</v>
      </c>
      <c r="M327" s="7" t="s">
        <v>55</v>
      </c>
      <c r="N327" s="7" t="s">
        <v>44</v>
      </c>
      <c r="O327" s="7" t="s">
        <v>57</v>
      </c>
      <c r="P327" s="5">
        <v>78</v>
      </c>
      <c r="Q327" s="4">
        <v>4.5999999999999996</v>
      </c>
      <c r="R327" s="7" t="b">
        <v>0</v>
      </c>
      <c r="S327" s="7" t="s">
        <v>30</v>
      </c>
      <c r="T327" s="5">
        <v>1413</v>
      </c>
      <c r="U327" s="7" t="s">
        <v>58</v>
      </c>
      <c r="V327" t="s">
        <v>69</v>
      </c>
      <c r="W327" s="7" t="s">
        <v>93</v>
      </c>
    </row>
    <row r="328" spans="1:23" x14ac:dyDescent="0.3">
      <c r="A328" s="6">
        <v>6564</v>
      </c>
      <c r="B328" s="7" t="s">
        <v>153</v>
      </c>
      <c r="C328" t="s">
        <v>398</v>
      </c>
      <c r="D328" s="1">
        <v>45485</v>
      </c>
      <c r="E328" s="8">
        <v>11.99</v>
      </c>
      <c r="F328" s="6">
        <v>98</v>
      </c>
      <c r="G328" s="7" t="s">
        <v>36</v>
      </c>
      <c r="H328" s="6">
        <v>5</v>
      </c>
      <c r="I328" s="6">
        <v>2</v>
      </c>
      <c r="J328" s="7" t="b">
        <v>1</v>
      </c>
      <c r="K328" s="6">
        <v>526</v>
      </c>
      <c r="L328" s="6">
        <v>144</v>
      </c>
      <c r="M328" s="7" t="s">
        <v>27</v>
      </c>
      <c r="N328" s="7" t="s">
        <v>44</v>
      </c>
      <c r="O328" s="7" t="s">
        <v>64</v>
      </c>
      <c r="P328" s="5">
        <v>10</v>
      </c>
      <c r="Q328" s="4">
        <v>3.9</v>
      </c>
      <c r="R328" s="7" t="b">
        <v>1</v>
      </c>
      <c r="S328" s="7" t="s">
        <v>30</v>
      </c>
      <c r="T328" s="5">
        <v>747</v>
      </c>
      <c r="U328" s="7" t="s">
        <v>65</v>
      </c>
      <c r="V328" t="s">
        <v>39</v>
      </c>
      <c r="W328" s="7" t="s">
        <v>93</v>
      </c>
    </row>
    <row r="329" spans="1:23" x14ac:dyDescent="0.3">
      <c r="A329" s="6">
        <v>9298</v>
      </c>
      <c r="B329" s="7" t="s">
        <v>174</v>
      </c>
      <c r="C329" s="1">
        <v>45328</v>
      </c>
      <c r="D329" s="1">
        <v>45394</v>
      </c>
      <c r="E329" s="8">
        <v>11.99</v>
      </c>
      <c r="F329" s="6">
        <v>276</v>
      </c>
      <c r="G329" s="7" t="s">
        <v>73</v>
      </c>
      <c r="H329" s="6">
        <v>5</v>
      </c>
      <c r="I329" s="6">
        <v>4</v>
      </c>
      <c r="J329" s="7" t="b">
        <v>0</v>
      </c>
      <c r="K329" s="6">
        <v>389</v>
      </c>
      <c r="L329" s="6">
        <v>177</v>
      </c>
      <c r="M329" s="7" t="s">
        <v>92</v>
      </c>
      <c r="N329" s="7" t="s">
        <v>28</v>
      </c>
      <c r="O329" s="7" t="s">
        <v>64</v>
      </c>
      <c r="P329" s="5">
        <v>19</v>
      </c>
      <c r="Q329" s="4">
        <v>4.3</v>
      </c>
      <c r="R329" s="7" t="b">
        <v>0</v>
      </c>
      <c r="S329" s="7" t="s">
        <v>30</v>
      </c>
      <c r="T329" s="5">
        <v>1099</v>
      </c>
      <c r="U329" s="7" t="s">
        <v>76</v>
      </c>
      <c r="V329" t="s">
        <v>79</v>
      </c>
      <c r="W329" s="7" t="s">
        <v>40</v>
      </c>
    </row>
    <row r="330" spans="1:23" x14ac:dyDescent="0.3">
      <c r="A330" s="6">
        <v>4216</v>
      </c>
      <c r="B330" s="7" t="s">
        <v>424</v>
      </c>
      <c r="C330" t="s">
        <v>425</v>
      </c>
      <c r="D330" t="s">
        <v>54</v>
      </c>
      <c r="E330" s="8">
        <v>11.99</v>
      </c>
      <c r="F330" s="6">
        <v>251</v>
      </c>
      <c r="G330" s="7" t="s">
        <v>26</v>
      </c>
      <c r="H330" s="6">
        <v>3</v>
      </c>
      <c r="I330" s="6">
        <v>3</v>
      </c>
      <c r="J330" s="7" t="b">
        <v>0</v>
      </c>
      <c r="K330" s="6">
        <v>922</v>
      </c>
      <c r="L330" s="6">
        <v>106</v>
      </c>
      <c r="M330" s="7" t="s">
        <v>68</v>
      </c>
      <c r="N330" s="7" t="s">
        <v>44</v>
      </c>
      <c r="O330" s="7" t="s">
        <v>29</v>
      </c>
      <c r="P330" s="5">
        <v>56</v>
      </c>
      <c r="Q330" s="4">
        <v>4.3</v>
      </c>
      <c r="R330" s="7" t="b">
        <v>1</v>
      </c>
      <c r="S330" s="7" t="s">
        <v>30</v>
      </c>
      <c r="T330" s="5">
        <v>585</v>
      </c>
      <c r="U330" s="7" t="s">
        <v>31</v>
      </c>
      <c r="V330" t="s">
        <v>39</v>
      </c>
      <c r="W330" s="7" t="s">
        <v>33</v>
      </c>
    </row>
    <row r="331" spans="1:23" x14ac:dyDescent="0.3">
      <c r="A331" s="6">
        <v>3677</v>
      </c>
      <c r="B331" s="7" t="s">
        <v>226</v>
      </c>
      <c r="C331" s="1">
        <v>45141</v>
      </c>
      <c r="D331" t="s">
        <v>168</v>
      </c>
      <c r="E331" s="8">
        <v>7.99</v>
      </c>
      <c r="F331" s="6">
        <v>233</v>
      </c>
      <c r="G331" s="7" t="s">
        <v>48</v>
      </c>
      <c r="H331" s="6">
        <v>4</v>
      </c>
      <c r="I331" s="6">
        <v>2</v>
      </c>
      <c r="J331" s="7" t="b">
        <v>1</v>
      </c>
      <c r="K331" s="6">
        <v>485</v>
      </c>
      <c r="L331" s="6">
        <v>37</v>
      </c>
      <c r="M331" s="7" t="s">
        <v>43</v>
      </c>
      <c r="N331" s="7" t="s">
        <v>28</v>
      </c>
      <c r="O331" s="7" t="s">
        <v>45</v>
      </c>
      <c r="P331" s="5">
        <v>47</v>
      </c>
      <c r="Q331" s="4">
        <v>3.4</v>
      </c>
      <c r="R331" s="7" t="b">
        <v>1</v>
      </c>
      <c r="S331" s="7" t="s">
        <v>30</v>
      </c>
      <c r="T331" s="5">
        <v>615</v>
      </c>
      <c r="U331" s="7" t="s">
        <v>31</v>
      </c>
      <c r="V331" t="s">
        <v>39</v>
      </c>
      <c r="W331" s="7" t="s">
        <v>93</v>
      </c>
    </row>
    <row r="332" spans="1:23" x14ac:dyDescent="0.3">
      <c r="A332" s="6">
        <v>8453</v>
      </c>
      <c r="B332" s="7" t="s">
        <v>344</v>
      </c>
      <c r="C332" t="s">
        <v>426</v>
      </c>
      <c r="D332" t="s">
        <v>99</v>
      </c>
      <c r="E332" s="8">
        <v>11.99</v>
      </c>
      <c r="F332" s="6">
        <v>136</v>
      </c>
      <c r="G332" s="7" t="s">
        <v>100</v>
      </c>
      <c r="H332" s="6">
        <v>2</v>
      </c>
      <c r="I332" s="6">
        <v>5</v>
      </c>
      <c r="J332" s="7" t="b">
        <v>1</v>
      </c>
      <c r="K332" s="6">
        <v>112</v>
      </c>
      <c r="L332" s="6">
        <v>181</v>
      </c>
      <c r="M332" s="7" t="s">
        <v>55</v>
      </c>
      <c r="N332" s="7" t="s">
        <v>75</v>
      </c>
      <c r="O332" s="7" t="s">
        <v>29</v>
      </c>
      <c r="P332" s="5">
        <v>15</v>
      </c>
      <c r="Q332" s="4">
        <v>3.6</v>
      </c>
      <c r="R332" s="7" t="b">
        <v>0</v>
      </c>
      <c r="S332" s="7" t="s">
        <v>30</v>
      </c>
      <c r="T332" s="5">
        <v>2634</v>
      </c>
      <c r="U332" s="7" t="s">
        <v>65</v>
      </c>
      <c r="V332" t="s">
        <v>59</v>
      </c>
      <c r="W332" s="7" t="s">
        <v>60</v>
      </c>
    </row>
    <row r="333" spans="1:23" x14ac:dyDescent="0.3">
      <c r="A333" s="6">
        <v>6231</v>
      </c>
      <c r="B333" s="7" t="s">
        <v>186</v>
      </c>
      <c r="C333" t="s">
        <v>427</v>
      </c>
      <c r="D333" s="1">
        <v>45485</v>
      </c>
      <c r="E333" s="8">
        <v>15.99</v>
      </c>
      <c r="F333" s="6">
        <v>248</v>
      </c>
      <c r="G333" s="7" t="s">
        <v>63</v>
      </c>
      <c r="H333" s="6">
        <v>1</v>
      </c>
      <c r="I333" s="6">
        <v>6</v>
      </c>
      <c r="J333" s="7" t="b">
        <v>0</v>
      </c>
      <c r="K333" s="6">
        <v>181</v>
      </c>
      <c r="L333" s="6">
        <v>13</v>
      </c>
      <c r="M333" s="7" t="s">
        <v>92</v>
      </c>
      <c r="N333" s="7" t="s">
        <v>56</v>
      </c>
      <c r="O333" s="7" t="s">
        <v>57</v>
      </c>
      <c r="P333" s="5">
        <v>43</v>
      </c>
      <c r="Q333" s="4">
        <v>4.9000000000000004</v>
      </c>
      <c r="R333" s="7" t="b">
        <v>1</v>
      </c>
      <c r="S333" s="7" t="s">
        <v>30</v>
      </c>
      <c r="T333" s="5">
        <v>136</v>
      </c>
      <c r="U333" s="7" t="s">
        <v>65</v>
      </c>
      <c r="V333" t="s">
        <v>69</v>
      </c>
      <c r="W333" s="7" t="s">
        <v>33</v>
      </c>
    </row>
    <row r="334" spans="1:23" x14ac:dyDescent="0.3">
      <c r="A334" s="6">
        <v>1481</v>
      </c>
      <c r="B334" s="7" t="s">
        <v>52</v>
      </c>
      <c r="C334" t="s">
        <v>279</v>
      </c>
      <c r="D334" s="1">
        <v>45303</v>
      </c>
      <c r="E334" s="8">
        <v>7.99</v>
      </c>
      <c r="F334" s="6">
        <v>180</v>
      </c>
      <c r="G334" s="7" t="s">
        <v>51</v>
      </c>
      <c r="H334" s="6">
        <v>3</v>
      </c>
      <c r="I334" s="6">
        <v>4</v>
      </c>
      <c r="J334" s="7" t="b">
        <v>0</v>
      </c>
      <c r="K334" s="6">
        <v>936</v>
      </c>
      <c r="L334" s="6">
        <v>166</v>
      </c>
      <c r="M334" s="7" t="s">
        <v>49</v>
      </c>
      <c r="N334" s="7" t="s">
        <v>44</v>
      </c>
      <c r="O334" s="7" t="s">
        <v>64</v>
      </c>
      <c r="P334" s="5">
        <v>71</v>
      </c>
      <c r="Q334" s="4">
        <v>4.9000000000000004</v>
      </c>
      <c r="R334" s="7" t="b">
        <v>1</v>
      </c>
      <c r="S334" s="7" t="s">
        <v>30</v>
      </c>
      <c r="T334" s="5">
        <v>4566</v>
      </c>
      <c r="U334" s="7" t="s">
        <v>31</v>
      </c>
      <c r="V334" t="s">
        <v>69</v>
      </c>
      <c r="W334" s="7" t="s">
        <v>60</v>
      </c>
    </row>
    <row r="335" spans="1:23" x14ac:dyDescent="0.3">
      <c r="A335" s="6">
        <v>7400</v>
      </c>
      <c r="B335" s="7" t="s">
        <v>428</v>
      </c>
      <c r="C335" s="1">
        <v>45540</v>
      </c>
      <c r="D335" t="s">
        <v>35</v>
      </c>
      <c r="E335" s="8">
        <v>11.99</v>
      </c>
      <c r="F335" s="6">
        <v>254</v>
      </c>
      <c r="G335" s="7" t="s">
        <v>26</v>
      </c>
      <c r="H335" s="6">
        <v>4</v>
      </c>
      <c r="I335" s="6">
        <v>1</v>
      </c>
      <c r="J335" s="7" t="b">
        <v>1</v>
      </c>
      <c r="K335" s="6">
        <v>406</v>
      </c>
      <c r="L335" s="6">
        <v>47</v>
      </c>
      <c r="M335" s="7" t="s">
        <v>68</v>
      </c>
      <c r="N335" s="7" t="s">
        <v>44</v>
      </c>
      <c r="O335" s="7" t="s">
        <v>45</v>
      </c>
      <c r="P335" s="5">
        <v>5</v>
      </c>
      <c r="Q335" s="4">
        <v>3.6</v>
      </c>
      <c r="R335" s="7" t="b">
        <v>0</v>
      </c>
      <c r="S335" s="7" t="s">
        <v>30</v>
      </c>
      <c r="T335" s="5">
        <v>3281</v>
      </c>
      <c r="U335" s="7" t="s">
        <v>38</v>
      </c>
      <c r="V335" t="s">
        <v>69</v>
      </c>
      <c r="W335" s="7" t="s">
        <v>33</v>
      </c>
    </row>
    <row r="336" spans="1:23" x14ac:dyDescent="0.3">
      <c r="A336" s="6">
        <v>7447</v>
      </c>
      <c r="B336" s="7" t="s">
        <v>130</v>
      </c>
      <c r="C336" t="s">
        <v>429</v>
      </c>
      <c r="D336" t="s">
        <v>84</v>
      </c>
      <c r="E336" s="8">
        <v>7.99</v>
      </c>
      <c r="F336" s="6">
        <v>108</v>
      </c>
      <c r="G336" s="7" t="s">
        <v>36</v>
      </c>
      <c r="H336" s="6">
        <v>2</v>
      </c>
      <c r="I336" s="6">
        <v>1</v>
      </c>
      <c r="J336" s="7" t="b">
        <v>0</v>
      </c>
      <c r="K336" s="6">
        <v>717</v>
      </c>
      <c r="L336" s="6">
        <v>84</v>
      </c>
      <c r="M336" s="7" t="s">
        <v>74</v>
      </c>
      <c r="N336" s="7" t="s">
        <v>28</v>
      </c>
      <c r="O336" s="7" t="s">
        <v>29</v>
      </c>
      <c r="P336" s="5">
        <v>82</v>
      </c>
      <c r="Q336" s="4">
        <v>3.9</v>
      </c>
      <c r="R336" s="7" t="b">
        <v>0</v>
      </c>
      <c r="S336" s="7" t="s">
        <v>30</v>
      </c>
      <c r="T336" s="5">
        <v>1559</v>
      </c>
      <c r="U336" s="7" t="s">
        <v>58</v>
      </c>
      <c r="V336" t="s">
        <v>32</v>
      </c>
      <c r="W336" s="7" t="s">
        <v>33</v>
      </c>
    </row>
    <row r="337" spans="1:23" x14ac:dyDescent="0.3">
      <c r="A337" s="6">
        <v>4597</v>
      </c>
      <c r="B337" s="7" t="s">
        <v>244</v>
      </c>
      <c r="C337" s="1">
        <v>45573</v>
      </c>
      <c r="D337" t="s">
        <v>25</v>
      </c>
      <c r="E337" s="8">
        <v>7.99</v>
      </c>
      <c r="F337" s="6">
        <v>183</v>
      </c>
      <c r="G337" s="7" t="s">
        <v>51</v>
      </c>
      <c r="H337" s="6">
        <v>4</v>
      </c>
      <c r="I337" s="6">
        <v>5</v>
      </c>
      <c r="J337" s="7" t="b">
        <v>0</v>
      </c>
      <c r="K337" s="6">
        <v>833</v>
      </c>
      <c r="L337" s="6">
        <v>154</v>
      </c>
      <c r="M337" s="7" t="s">
        <v>92</v>
      </c>
      <c r="N337" s="7" t="s">
        <v>28</v>
      </c>
      <c r="O337" s="7" t="s">
        <v>37</v>
      </c>
      <c r="P337" s="5">
        <v>46</v>
      </c>
      <c r="Q337" s="4">
        <v>3.9</v>
      </c>
      <c r="R337" s="7" t="b">
        <v>0</v>
      </c>
      <c r="S337" s="7" t="s">
        <v>30</v>
      </c>
      <c r="T337" s="5">
        <v>3113</v>
      </c>
      <c r="U337" s="7" t="s">
        <v>76</v>
      </c>
      <c r="V337" t="s">
        <v>32</v>
      </c>
      <c r="W337" s="7" t="s">
        <v>40</v>
      </c>
    </row>
    <row r="338" spans="1:23" x14ac:dyDescent="0.3">
      <c r="A338" s="6">
        <v>3173</v>
      </c>
      <c r="B338" s="7" t="s">
        <v>236</v>
      </c>
      <c r="C338" t="s">
        <v>430</v>
      </c>
      <c r="D338" s="1">
        <v>45547</v>
      </c>
      <c r="E338" s="8">
        <v>7.99</v>
      </c>
      <c r="F338" s="6">
        <v>53</v>
      </c>
      <c r="G338" s="7" t="s">
        <v>48</v>
      </c>
      <c r="H338" s="6">
        <v>2</v>
      </c>
      <c r="I338" s="6">
        <v>4</v>
      </c>
      <c r="J338" s="7" t="b">
        <v>1</v>
      </c>
      <c r="K338" s="6">
        <v>304</v>
      </c>
      <c r="L338" s="6">
        <v>49</v>
      </c>
      <c r="M338" s="7" t="s">
        <v>92</v>
      </c>
      <c r="N338" s="7" t="s">
        <v>75</v>
      </c>
      <c r="O338" s="7" t="s">
        <v>64</v>
      </c>
      <c r="P338" s="5">
        <v>57</v>
      </c>
      <c r="Q338" s="4">
        <v>4.3</v>
      </c>
      <c r="R338" s="7" t="b">
        <v>0</v>
      </c>
      <c r="S338" s="7" t="s">
        <v>30</v>
      </c>
      <c r="T338" s="5">
        <v>3836</v>
      </c>
      <c r="U338" s="7" t="s">
        <v>38</v>
      </c>
      <c r="V338" t="s">
        <v>39</v>
      </c>
      <c r="W338" s="7" t="s">
        <v>40</v>
      </c>
    </row>
    <row r="339" spans="1:23" x14ac:dyDescent="0.3">
      <c r="A339" s="6">
        <v>9514</v>
      </c>
      <c r="B339" s="7" t="s">
        <v>431</v>
      </c>
      <c r="C339" s="1">
        <v>45083</v>
      </c>
      <c r="D339" s="1">
        <v>45577</v>
      </c>
      <c r="E339" s="8">
        <v>7.99</v>
      </c>
      <c r="F339" s="6">
        <v>120</v>
      </c>
      <c r="G339" s="7" t="s">
        <v>63</v>
      </c>
      <c r="H339" s="6">
        <v>3</v>
      </c>
      <c r="I339" s="6">
        <v>3</v>
      </c>
      <c r="J339" s="7" t="b">
        <v>1</v>
      </c>
      <c r="K339" s="6">
        <v>802</v>
      </c>
      <c r="L339" s="6">
        <v>31</v>
      </c>
      <c r="M339" s="7" t="s">
        <v>49</v>
      </c>
      <c r="N339" s="7" t="s">
        <v>44</v>
      </c>
      <c r="O339" s="7" t="s">
        <v>29</v>
      </c>
      <c r="P339" s="5">
        <v>16</v>
      </c>
      <c r="Q339" s="4">
        <v>4</v>
      </c>
      <c r="R339" s="7" t="b">
        <v>1</v>
      </c>
      <c r="S339" s="7" t="s">
        <v>30</v>
      </c>
      <c r="T339" s="5">
        <v>1522</v>
      </c>
      <c r="U339" s="7" t="s">
        <v>65</v>
      </c>
      <c r="V339" t="s">
        <v>39</v>
      </c>
      <c r="W339" s="7" t="s">
        <v>40</v>
      </c>
    </row>
    <row r="340" spans="1:23" x14ac:dyDescent="0.3">
      <c r="A340" s="6">
        <v>4985</v>
      </c>
      <c r="B340" s="7" t="s">
        <v>157</v>
      </c>
      <c r="C340" s="1">
        <v>45238</v>
      </c>
      <c r="D340" s="1">
        <v>45303</v>
      </c>
      <c r="E340" s="8">
        <v>7.99</v>
      </c>
      <c r="F340" s="6">
        <v>118</v>
      </c>
      <c r="G340" s="7" t="s">
        <v>48</v>
      </c>
      <c r="H340" s="6">
        <v>5</v>
      </c>
      <c r="I340" s="6">
        <v>4</v>
      </c>
      <c r="J340" s="7" t="b">
        <v>0</v>
      </c>
      <c r="K340" s="6">
        <v>522</v>
      </c>
      <c r="L340" s="6">
        <v>160</v>
      </c>
      <c r="M340" s="7" t="s">
        <v>49</v>
      </c>
      <c r="N340" s="7" t="s">
        <v>75</v>
      </c>
      <c r="O340" s="7" t="s">
        <v>45</v>
      </c>
      <c r="P340" s="5">
        <v>94</v>
      </c>
      <c r="Q340" s="4">
        <v>4.0999999999999996</v>
      </c>
      <c r="R340" s="7" t="b">
        <v>1</v>
      </c>
      <c r="S340" s="7" t="s">
        <v>30</v>
      </c>
      <c r="T340" s="5">
        <v>1756</v>
      </c>
      <c r="U340" s="7" t="s">
        <v>38</v>
      </c>
      <c r="V340" t="s">
        <v>59</v>
      </c>
      <c r="W340" s="7" t="s">
        <v>33</v>
      </c>
    </row>
    <row r="341" spans="1:23" x14ac:dyDescent="0.3">
      <c r="A341" s="6">
        <v>4486</v>
      </c>
      <c r="B341" s="7" t="s">
        <v>395</v>
      </c>
      <c r="C341" s="1">
        <v>45413</v>
      </c>
      <c r="D341" t="s">
        <v>25</v>
      </c>
      <c r="E341" s="8">
        <v>7.99</v>
      </c>
      <c r="F341" s="6">
        <v>113</v>
      </c>
      <c r="G341" s="7" t="s">
        <v>36</v>
      </c>
      <c r="H341" s="6">
        <v>1</v>
      </c>
      <c r="I341" s="6">
        <v>1</v>
      </c>
      <c r="J341" s="7" t="b">
        <v>0</v>
      </c>
      <c r="K341" s="6">
        <v>177</v>
      </c>
      <c r="L341" s="6">
        <v>3</v>
      </c>
      <c r="M341" s="7" t="s">
        <v>68</v>
      </c>
      <c r="N341" s="7" t="s">
        <v>75</v>
      </c>
      <c r="O341" s="7" t="s">
        <v>64</v>
      </c>
      <c r="P341" s="5">
        <v>69</v>
      </c>
      <c r="Q341" s="4">
        <v>4.8</v>
      </c>
      <c r="R341" s="7" t="b">
        <v>0</v>
      </c>
      <c r="S341" s="7" t="s">
        <v>30</v>
      </c>
      <c r="T341" s="5">
        <v>1542</v>
      </c>
      <c r="U341" s="7" t="s">
        <v>38</v>
      </c>
      <c r="V341" t="s">
        <v>79</v>
      </c>
      <c r="W341" s="7" t="s">
        <v>33</v>
      </c>
    </row>
    <row r="342" spans="1:23" x14ac:dyDescent="0.3">
      <c r="A342" s="6">
        <v>8756</v>
      </c>
      <c r="B342" s="7" t="s">
        <v>143</v>
      </c>
      <c r="C342" t="s">
        <v>432</v>
      </c>
      <c r="D342" s="1">
        <v>45547</v>
      </c>
      <c r="E342" s="8">
        <v>7.99</v>
      </c>
      <c r="F342" s="6">
        <v>138</v>
      </c>
      <c r="G342" s="7" t="s">
        <v>36</v>
      </c>
      <c r="H342" s="6">
        <v>3</v>
      </c>
      <c r="I342" s="6">
        <v>2</v>
      </c>
      <c r="J342" s="7" t="b">
        <v>1</v>
      </c>
      <c r="K342" s="6">
        <v>811</v>
      </c>
      <c r="L342" s="6">
        <v>37</v>
      </c>
      <c r="M342" s="7" t="s">
        <v>68</v>
      </c>
      <c r="N342" s="7" t="s">
        <v>44</v>
      </c>
      <c r="O342" s="7" t="s">
        <v>45</v>
      </c>
      <c r="P342" s="5">
        <v>36</v>
      </c>
      <c r="Q342" s="4">
        <v>3.6</v>
      </c>
      <c r="R342" s="7" t="b">
        <v>0</v>
      </c>
      <c r="S342" s="7" t="s">
        <v>30</v>
      </c>
      <c r="T342" s="5">
        <v>77</v>
      </c>
      <c r="U342" s="7" t="s">
        <v>31</v>
      </c>
      <c r="V342" t="s">
        <v>32</v>
      </c>
      <c r="W342" s="7" t="s">
        <v>40</v>
      </c>
    </row>
    <row r="343" spans="1:23" x14ac:dyDescent="0.3">
      <c r="A343" s="6">
        <v>9121</v>
      </c>
      <c r="B343" s="7" t="s">
        <v>262</v>
      </c>
      <c r="C343" t="s">
        <v>314</v>
      </c>
      <c r="D343" s="1">
        <v>45638</v>
      </c>
      <c r="E343" s="8">
        <v>7.99</v>
      </c>
      <c r="F343" s="6">
        <v>178</v>
      </c>
      <c r="G343" s="7" t="s">
        <v>63</v>
      </c>
      <c r="H343" s="6">
        <v>1</v>
      </c>
      <c r="I343" s="6">
        <v>4</v>
      </c>
      <c r="J343" s="7" t="b">
        <v>0</v>
      </c>
      <c r="K343" s="6">
        <v>239</v>
      </c>
      <c r="L343" s="6">
        <v>126</v>
      </c>
      <c r="M343" s="7" t="s">
        <v>43</v>
      </c>
      <c r="N343" s="7" t="s">
        <v>75</v>
      </c>
      <c r="O343" s="7" t="s">
        <v>64</v>
      </c>
      <c r="P343" s="5">
        <v>86</v>
      </c>
      <c r="Q343" s="4">
        <v>3.9</v>
      </c>
      <c r="R343" s="7" t="b">
        <v>0</v>
      </c>
      <c r="S343" s="7" t="s">
        <v>30</v>
      </c>
      <c r="T343" s="5">
        <v>4356</v>
      </c>
      <c r="U343" s="7" t="s">
        <v>65</v>
      </c>
      <c r="V343" t="s">
        <v>69</v>
      </c>
      <c r="W343" s="7" t="s">
        <v>40</v>
      </c>
    </row>
    <row r="344" spans="1:23" x14ac:dyDescent="0.3">
      <c r="A344" s="6">
        <v>6471</v>
      </c>
      <c r="B344" s="7" t="s">
        <v>88</v>
      </c>
      <c r="C344" t="s">
        <v>433</v>
      </c>
      <c r="D344" t="s">
        <v>87</v>
      </c>
      <c r="E344" s="8">
        <v>7.99</v>
      </c>
      <c r="F344" s="6">
        <v>105</v>
      </c>
      <c r="G344" s="7" t="s">
        <v>73</v>
      </c>
      <c r="H344" s="6">
        <v>4</v>
      </c>
      <c r="I344" s="6">
        <v>3</v>
      </c>
      <c r="J344" s="7" t="b">
        <v>1</v>
      </c>
      <c r="K344" s="6">
        <v>49</v>
      </c>
      <c r="L344" s="6">
        <v>71</v>
      </c>
      <c r="M344" s="7" t="s">
        <v>68</v>
      </c>
      <c r="N344" s="7" t="s">
        <v>56</v>
      </c>
      <c r="O344" s="7" t="s">
        <v>78</v>
      </c>
      <c r="P344" s="5">
        <v>8</v>
      </c>
      <c r="Q344" s="4">
        <v>3.6</v>
      </c>
      <c r="R344" s="7" t="b">
        <v>0</v>
      </c>
      <c r="S344" s="7" t="s">
        <v>30</v>
      </c>
      <c r="T344" s="5">
        <v>1989</v>
      </c>
      <c r="U344" s="7" t="s">
        <v>38</v>
      </c>
      <c r="V344" t="s">
        <v>69</v>
      </c>
      <c r="W344" s="7" t="s">
        <v>93</v>
      </c>
    </row>
    <row r="345" spans="1:23" x14ac:dyDescent="0.3">
      <c r="A345" s="6">
        <v>6601</v>
      </c>
      <c r="B345" s="7" t="s">
        <v>434</v>
      </c>
      <c r="C345" t="s">
        <v>354</v>
      </c>
      <c r="D345" t="s">
        <v>103</v>
      </c>
      <c r="E345" s="8">
        <v>7.99</v>
      </c>
      <c r="F345" s="6">
        <v>283</v>
      </c>
      <c r="G345" s="7" t="s">
        <v>26</v>
      </c>
      <c r="H345" s="6">
        <v>1</v>
      </c>
      <c r="I345" s="6">
        <v>5</v>
      </c>
      <c r="J345" s="7" t="b">
        <v>1</v>
      </c>
      <c r="K345" s="6">
        <v>407</v>
      </c>
      <c r="L345" s="6">
        <v>15</v>
      </c>
      <c r="M345" s="7" t="s">
        <v>92</v>
      </c>
      <c r="N345" s="7" t="s">
        <v>44</v>
      </c>
      <c r="O345" s="7" t="s">
        <v>78</v>
      </c>
      <c r="P345" s="5">
        <v>26</v>
      </c>
      <c r="Q345" s="4">
        <v>3.1</v>
      </c>
      <c r="R345" s="7" t="b">
        <v>1</v>
      </c>
      <c r="S345" s="7" t="s">
        <v>30</v>
      </c>
      <c r="T345" s="5">
        <v>906</v>
      </c>
      <c r="U345" s="7" t="s">
        <v>58</v>
      </c>
      <c r="V345" t="s">
        <v>79</v>
      </c>
      <c r="W345" s="7" t="s">
        <v>93</v>
      </c>
    </row>
    <row r="346" spans="1:23" x14ac:dyDescent="0.3">
      <c r="A346" s="6">
        <v>4340</v>
      </c>
      <c r="B346" s="7" t="s">
        <v>435</v>
      </c>
      <c r="C346" t="s">
        <v>436</v>
      </c>
      <c r="D346" s="1">
        <v>45485</v>
      </c>
      <c r="E346" s="8">
        <v>15.99</v>
      </c>
      <c r="F346" s="6">
        <v>154</v>
      </c>
      <c r="G346" s="7" t="s">
        <v>48</v>
      </c>
      <c r="H346" s="6">
        <v>4</v>
      </c>
      <c r="I346" s="6">
        <v>5</v>
      </c>
      <c r="J346" s="7" t="b">
        <v>1</v>
      </c>
      <c r="K346" s="6">
        <v>804</v>
      </c>
      <c r="L346" s="6">
        <v>106</v>
      </c>
      <c r="M346" s="7" t="s">
        <v>49</v>
      </c>
      <c r="N346" s="7" t="s">
        <v>28</v>
      </c>
      <c r="O346" s="7" t="s">
        <v>64</v>
      </c>
      <c r="P346" s="5">
        <v>60</v>
      </c>
      <c r="Q346" s="4">
        <v>4.8</v>
      </c>
      <c r="R346" s="7" t="b">
        <v>0</v>
      </c>
      <c r="S346" s="7" t="s">
        <v>30</v>
      </c>
      <c r="T346" s="5">
        <v>4108</v>
      </c>
      <c r="U346" s="7" t="s">
        <v>65</v>
      </c>
      <c r="V346" t="s">
        <v>79</v>
      </c>
      <c r="W346" s="7" t="s">
        <v>33</v>
      </c>
    </row>
    <row r="347" spans="1:23" x14ac:dyDescent="0.3">
      <c r="A347" s="6">
        <v>5112</v>
      </c>
      <c r="B347" s="7" t="s">
        <v>228</v>
      </c>
      <c r="C347" s="1">
        <v>45423</v>
      </c>
      <c r="D347" t="s">
        <v>42</v>
      </c>
      <c r="E347" s="8">
        <v>15.99</v>
      </c>
      <c r="F347" s="6">
        <v>240</v>
      </c>
      <c r="G347" s="7" t="s">
        <v>63</v>
      </c>
      <c r="H347" s="6">
        <v>2</v>
      </c>
      <c r="I347" s="6">
        <v>6</v>
      </c>
      <c r="J347" s="7" t="b">
        <v>1</v>
      </c>
      <c r="K347" s="6">
        <v>564</v>
      </c>
      <c r="L347" s="6">
        <v>121</v>
      </c>
      <c r="M347" s="7" t="s">
        <v>27</v>
      </c>
      <c r="N347" s="7" t="s">
        <v>75</v>
      </c>
      <c r="O347" s="7" t="s">
        <v>29</v>
      </c>
      <c r="P347" s="5">
        <v>40</v>
      </c>
      <c r="Q347" s="4">
        <v>3.5</v>
      </c>
      <c r="R347" s="7" t="b">
        <v>1</v>
      </c>
      <c r="S347" s="7" t="s">
        <v>30</v>
      </c>
      <c r="T347" s="5">
        <v>333</v>
      </c>
      <c r="U347" s="7" t="s">
        <v>58</v>
      </c>
      <c r="V347" t="s">
        <v>39</v>
      </c>
      <c r="W347" s="7" t="s">
        <v>40</v>
      </c>
    </row>
    <row r="348" spans="1:23" x14ac:dyDescent="0.3">
      <c r="A348" s="6">
        <v>5700</v>
      </c>
      <c r="B348" s="7" t="s">
        <v>242</v>
      </c>
      <c r="C348" t="s">
        <v>437</v>
      </c>
      <c r="D348" s="1">
        <v>45547</v>
      </c>
      <c r="E348" s="8">
        <v>11.99</v>
      </c>
      <c r="F348" s="6">
        <v>29</v>
      </c>
      <c r="G348" s="7" t="s">
        <v>48</v>
      </c>
      <c r="H348" s="6">
        <v>1</v>
      </c>
      <c r="I348" s="6">
        <v>5</v>
      </c>
      <c r="J348" s="7" t="b">
        <v>1</v>
      </c>
      <c r="K348" s="6">
        <v>625</v>
      </c>
      <c r="L348" s="6">
        <v>165</v>
      </c>
      <c r="M348" s="7" t="s">
        <v>92</v>
      </c>
      <c r="N348" s="7" t="s">
        <v>56</v>
      </c>
      <c r="O348" s="7" t="s">
        <v>57</v>
      </c>
      <c r="P348" s="5">
        <v>41</v>
      </c>
      <c r="Q348" s="4">
        <v>4.3</v>
      </c>
      <c r="R348" s="7" t="b">
        <v>0</v>
      </c>
      <c r="S348" s="7" t="s">
        <v>30</v>
      </c>
      <c r="T348" s="5">
        <v>3847</v>
      </c>
      <c r="U348" s="7" t="s">
        <v>65</v>
      </c>
      <c r="V348" t="s">
        <v>59</v>
      </c>
      <c r="W348" s="7" t="s">
        <v>93</v>
      </c>
    </row>
    <row r="349" spans="1:23" x14ac:dyDescent="0.3">
      <c r="A349" s="6">
        <v>8617</v>
      </c>
      <c r="B349" s="7" t="s">
        <v>140</v>
      </c>
      <c r="C349" t="s">
        <v>438</v>
      </c>
      <c r="D349" s="1">
        <v>45608</v>
      </c>
      <c r="E349" s="8">
        <v>15.99</v>
      </c>
      <c r="F349" s="6">
        <v>202</v>
      </c>
      <c r="G349" s="7" t="s">
        <v>73</v>
      </c>
      <c r="H349" s="6">
        <v>1</v>
      </c>
      <c r="I349" s="6">
        <v>2</v>
      </c>
      <c r="J349" s="7" t="b">
        <v>1</v>
      </c>
      <c r="K349" s="6">
        <v>260</v>
      </c>
      <c r="L349" s="6">
        <v>53</v>
      </c>
      <c r="M349" s="7" t="s">
        <v>68</v>
      </c>
      <c r="N349" s="7" t="s">
        <v>75</v>
      </c>
      <c r="O349" s="7" t="s">
        <v>64</v>
      </c>
      <c r="P349" s="5">
        <v>13</v>
      </c>
      <c r="Q349" s="4">
        <v>3.9</v>
      </c>
      <c r="R349" s="7" t="b">
        <v>1</v>
      </c>
      <c r="S349" s="7" t="s">
        <v>30</v>
      </c>
      <c r="T349" s="5">
        <v>1423</v>
      </c>
      <c r="U349" s="7" t="s">
        <v>65</v>
      </c>
      <c r="V349" t="s">
        <v>79</v>
      </c>
      <c r="W349" s="7" t="s">
        <v>40</v>
      </c>
    </row>
    <row r="350" spans="1:23" x14ac:dyDescent="0.3">
      <c r="A350" s="6">
        <v>9149</v>
      </c>
      <c r="B350" s="7" t="s">
        <v>439</v>
      </c>
      <c r="C350" s="1">
        <v>45047</v>
      </c>
      <c r="D350" t="s">
        <v>72</v>
      </c>
      <c r="E350" s="8">
        <v>15.99</v>
      </c>
      <c r="F350" s="6">
        <v>348</v>
      </c>
      <c r="G350" s="7" t="s">
        <v>51</v>
      </c>
      <c r="H350" s="6">
        <v>2</v>
      </c>
      <c r="I350" s="6">
        <v>6</v>
      </c>
      <c r="J350" s="7" t="b">
        <v>1</v>
      </c>
      <c r="K350" s="6">
        <v>378</v>
      </c>
      <c r="L350" s="6">
        <v>56</v>
      </c>
      <c r="M350" s="7" t="s">
        <v>68</v>
      </c>
      <c r="N350" s="7" t="s">
        <v>44</v>
      </c>
      <c r="O350" s="7" t="s">
        <v>57</v>
      </c>
      <c r="P350" s="5">
        <v>9</v>
      </c>
      <c r="Q350" s="4">
        <v>4.5</v>
      </c>
      <c r="R350" s="7" t="b">
        <v>1</v>
      </c>
      <c r="S350" s="7" t="s">
        <v>30</v>
      </c>
      <c r="T350" s="5">
        <v>595</v>
      </c>
      <c r="U350" s="7" t="s">
        <v>58</v>
      </c>
      <c r="V350" t="s">
        <v>59</v>
      </c>
      <c r="W350" s="7" t="s">
        <v>93</v>
      </c>
    </row>
    <row r="351" spans="1:23" x14ac:dyDescent="0.3">
      <c r="A351" s="6">
        <v>8651</v>
      </c>
      <c r="B351" s="7" t="s">
        <v>283</v>
      </c>
      <c r="C351" t="s">
        <v>440</v>
      </c>
      <c r="D351" t="s">
        <v>214</v>
      </c>
      <c r="E351" s="8">
        <v>15.99</v>
      </c>
      <c r="F351" s="6">
        <v>380</v>
      </c>
      <c r="G351" s="7" t="s">
        <v>100</v>
      </c>
      <c r="H351" s="6">
        <v>5</v>
      </c>
      <c r="I351" s="6">
        <v>5</v>
      </c>
      <c r="J351" s="7" t="b">
        <v>0</v>
      </c>
      <c r="K351" s="6">
        <v>334</v>
      </c>
      <c r="L351" s="6">
        <v>175</v>
      </c>
      <c r="M351" s="7" t="s">
        <v>92</v>
      </c>
      <c r="N351" s="7" t="s">
        <v>56</v>
      </c>
      <c r="O351" s="7" t="s">
        <v>37</v>
      </c>
      <c r="P351" s="5">
        <v>69</v>
      </c>
      <c r="Q351" s="4">
        <v>3.1</v>
      </c>
      <c r="R351" s="7" t="b">
        <v>0</v>
      </c>
      <c r="S351" s="7" t="s">
        <v>30</v>
      </c>
      <c r="T351" s="5">
        <v>4445</v>
      </c>
      <c r="U351" s="7" t="s">
        <v>76</v>
      </c>
      <c r="V351" t="s">
        <v>79</v>
      </c>
      <c r="W351" s="7" t="s">
        <v>33</v>
      </c>
    </row>
    <row r="352" spans="1:23" x14ac:dyDescent="0.3">
      <c r="A352" s="6">
        <v>1495</v>
      </c>
      <c r="B352" s="7" t="s">
        <v>441</v>
      </c>
      <c r="C352" t="s">
        <v>440</v>
      </c>
      <c r="D352" t="s">
        <v>82</v>
      </c>
      <c r="E352" s="8">
        <v>15.99</v>
      </c>
      <c r="F352" s="6">
        <v>254</v>
      </c>
      <c r="G352" s="7" t="s">
        <v>100</v>
      </c>
      <c r="H352" s="6">
        <v>3</v>
      </c>
      <c r="I352" s="6">
        <v>2</v>
      </c>
      <c r="J352" s="7" t="b">
        <v>0</v>
      </c>
      <c r="K352" s="6">
        <v>544</v>
      </c>
      <c r="L352" s="6">
        <v>89</v>
      </c>
      <c r="M352" s="7" t="s">
        <v>92</v>
      </c>
      <c r="N352" s="7" t="s">
        <v>44</v>
      </c>
      <c r="O352" s="7" t="s">
        <v>64</v>
      </c>
      <c r="P352" s="5">
        <v>97</v>
      </c>
      <c r="Q352" s="4">
        <v>3.1</v>
      </c>
      <c r="R352" s="7" t="b">
        <v>0</v>
      </c>
      <c r="S352" s="7" t="s">
        <v>30</v>
      </c>
      <c r="T352" s="5">
        <v>144</v>
      </c>
      <c r="U352" s="7" t="s">
        <v>31</v>
      </c>
      <c r="V352" t="s">
        <v>39</v>
      </c>
      <c r="W352" s="7" t="s">
        <v>33</v>
      </c>
    </row>
    <row r="353" spans="1:23" x14ac:dyDescent="0.3">
      <c r="A353" s="6">
        <v>7359</v>
      </c>
      <c r="B353" s="7" t="s">
        <v>190</v>
      </c>
      <c r="C353" t="s">
        <v>442</v>
      </c>
      <c r="D353" t="s">
        <v>72</v>
      </c>
      <c r="E353" s="8">
        <v>15.99</v>
      </c>
      <c r="F353" s="6">
        <v>477</v>
      </c>
      <c r="G353" s="7" t="s">
        <v>26</v>
      </c>
      <c r="H353" s="6">
        <v>2</v>
      </c>
      <c r="I353" s="6">
        <v>3</v>
      </c>
      <c r="J353" s="7" t="b">
        <v>1</v>
      </c>
      <c r="K353" s="6">
        <v>899</v>
      </c>
      <c r="L353" s="6">
        <v>97</v>
      </c>
      <c r="M353" s="7" t="s">
        <v>27</v>
      </c>
      <c r="N353" s="7" t="s">
        <v>56</v>
      </c>
      <c r="O353" s="7" t="s">
        <v>64</v>
      </c>
      <c r="P353" s="5">
        <v>42</v>
      </c>
      <c r="Q353" s="4">
        <v>4.7</v>
      </c>
      <c r="R353" s="7" t="b">
        <v>1</v>
      </c>
      <c r="S353" s="7" t="s">
        <v>30</v>
      </c>
      <c r="T353" s="5">
        <v>3428</v>
      </c>
      <c r="U353" s="7" t="s">
        <v>65</v>
      </c>
      <c r="V353" t="s">
        <v>69</v>
      </c>
      <c r="W353" s="7" t="s">
        <v>60</v>
      </c>
    </row>
    <row r="354" spans="1:23" x14ac:dyDescent="0.3">
      <c r="A354" s="6">
        <v>6525</v>
      </c>
      <c r="B354" s="7" t="s">
        <v>284</v>
      </c>
      <c r="C354" t="s">
        <v>443</v>
      </c>
      <c r="D354" t="s">
        <v>82</v>
      </c>
      <c r="E354" s="8">
        <v>15.99</v>
      </c>
      <c r="F354" s="6">
        <v>385</v>
      </c>
      <c r="G354" s="7" t="s">
        <v>73</v>
      </c>
      <c r="H354" s="6">
        <v>3</v>
      </c>
      <c r="I354" s="6">
        <v>1</v>
      </c>
      <c r="J354" s="7" t="b">
        <v>0</v>
      </c>
      <c r="K354" s="6">
        <v>807</v>
      </c>
      <c r="L354" s="6">
        <v>188</v>
      </c>
      <c r="M354" s="7" t="s">
        <v>27</v>
      </c>
      <c r="N354" s="7" t="s">
        <v>56</v>
      </c>
      <c r="O354" s="7" t="s">
        <v>78</v>
      </c>
      <c r="P354" s="5">
        <v>3</v>
      </c>
      <c r="Q354" s="4">
        <v>3.4</v>
      </c>
      <c r="R354" s="7" t="b">
        <v>0</v>
      </c>
      <c r="S354" s="7" t="s">
        <v>30</v>
      </c>
      <c r="T354" s="5">
        <v>4919</v>
      </c>
      <c r="U354" s="7" t="s">
        <v>76</v>
      </c>
      <c r="V354" t="s">
        <v>32</v>
      </c>
      <c r="W354" s="7" t="s">
        <v>93</v>
      </c>
    </row>
    <row r="355" spans="1:23" x14ac:dyDescent="0.3">
      <c r="A355" s="6">
        <v>7207</v>
      </c>
      <c r="B355" s="7" t="s">
        <v>383</v>
      </c>
      <c r="C355" t="s">
        <v>440</v>
      </c>
      <c r="D355" t="s">
        <v>72</v>
      </c>
      <c r="E355" s="8">
        <v>7.99</v>
      </c>
      <c r="F355" s="6">
        <v>336</v>
      </c>
      <c r="G355" s="7" t="s">
        <v>48</v>
      </c>
      <c r="H355" s="6">
        <v>1</v>
      </c>
      <c r="I355" s="6">
        <v>2</v>
      </c>
      <c r="J355" s="7" t="b">
        <v>0</v>
      </c>
      <c r="K355" s="6">
        <v>235</v>
      </c>
      <c r="L355" s="6">
        <v>25</v>
      </c>
      <c r="M355" s="7" t="s">
        <v>68</v>
      </c>
      <c r="N355" s="7" t="s">
        <v>56</v>
      </c>
      <c r="O355" s="7" t="s">
        <v>78</v>
      </c>
      <c r="P355" s="5">
        <v>31</v>
      </c>
      <c r="Q355" s="4">
        <v>3.9</v>
      </c>
      <c r="R355" s="7" t="b">
        <v>0</v>
      </c>
      <c r="S355" s="7" t="s">
        <v>30</v>
      </c>
      <c r="T355" s="5">
        <v>4905</v>
      </c>
      <c r="U355" s="7" t="s">
        <v>65</v>
      </c>
      <c r="V355" t="s">
        <v>32</v>
      </c>
      <c r="W355" s="7" t="s">
        <v>33</v>
      </c>
    </row>
    <row r="356" spans="1:23" x14ac:dyDescent="0.3">
      <c r="A356" s="6">
        <v>2361</v>
      </c>
      <c r="B356" s="7" t="s">
        <v>444</v>
      </c>
      <c r="C356" t="s">
        <v>436</v>
      </c>
      <c r="D356" t="s">
        <v>87</v>
      </c>
      <c r="E356" s="8">
        <v>15.99</v>
      </c>
      <c r="F356" s="6">
        <v>171</v>
      </c>
      <c r="G356" s="7" t="s">
        <v>26</v>
      </c>
      <c r="H356" s="6">
        <v>2</v>
      </c>
      <c r="I356" s="6">
        <v>3</v>
      </c>
      <c r="J356" s="7" t="b">
        <v>0</v>
      </c>
      <c r="K356" s="6">
        <v>763</v>
      </c>
      <c r="L356" s="6">
        <v>16</v>
      </c>
      <c r="M356" s="7" t="s">
        <v>49</v>
      </c>
      <c r="N356" s="7" t="s">
        <v>28</v>
      </c>
      <c r="O356" s="7" t="s">
        <v>57</v>
      </c>
      <c r="P356" s="5">
        <v>17</v>
      </c>
      <c r="Q356" s="4">
        <v>3.4</v>
      </c>
      <c r="R356" s="7" t="b">
        <v>1</v>
      </c>
      <c r="S356" s="7" t="s">
        <v>30</v>
      </c>
      <c r="T356" s="5">
        <v>428</v>
      </c>
      <c r="U356" s="7" t="s">
        <v>76</v>
      </c>
      <c r="V356" t="s">
        <v>39</v>
      </c>
      <c r="W356" s="7" t="s">
        <v>40</v>
      </c>
    </row>
    <row r="357" spans="1:23" x14ac:dyDescent="0.3">
      <c r="A357" s="6">
        <v>8766</v>
      </c>
      <c r="B357" s="7" t="s">
        <v>445</v>
      </c>
      <c r="C357" t="s">
        <v>446</v>
      </c>
      <c r="D357" t="s">
        <v>99</v>
      </c>
      <c r="E357" s="8">
        <v>15.99</v>
      </c>
      <c r="F357" s="6">
        <v>33</v>
      </c>
      <c r="G357" s="7" t="s">
        <v>51</v>
      </c>
      <c r="H357" s="6">
        <v>1</v>
      </c>
      <c r="I357" s="6">
        <v>4</v>
      </c>
      <c r="J357" s="7" t="b">
        <v>1</v>
      </c>
      <c r="K357" s="6">
        <v>475</v>
      </c>
      <c r="L357" s="6">
        <v>151</v>
      </c>
      <c r="M357" s="7" t="s">
        <v>43</v>
      </c>
      <c r="N357" s="7" t="s">
        <v>56</v>
      </c>
      <c r="O357" s="7" t="s">
        <v>78</v>
      </c>
      <c r="P357" s="5">
        <v>16</v>
      </c>
      <c r="Q357" s="4">
        <v>4.7</v>
      </c>
      <c r="R357" s="7" t="b">
        <v>1</v>
      </c>
      <c r="S357" s="7" t="s">
        <v>30</v>
      </c>
      <c r="T357" s="5">
        <v>1634</v>
      </c>
      <c r="U357" s="7" t="s">
        <v>58</v>
      </c>
      <c r="V357" t="s">
        <v>69</v>
      </c>
      <c r="W357" s="7" t="s">
        <v>33</v>
      </c>
    </row>
    <row r="358" spans="1:23" x14ac:dyDescent="0.3">
      <c r="A358" s="6">
        <v>7236</v>
      </c>
      <c r="B358" s="7" t="s">
        <v>52</v>
      </c>
      <c r="C358" t="s">
        <v>447</v>
      </c>
      <c r="D358" s="1">
        <v>45577</v>
      </c>
      <c r="E358" s="8">
        <v>7.99</v>
      </c>
      <c r="F358" s="6">
        <v>193</v>
      </c>
      <c r="G358" s="7" t="s">
        <v>100</v>
      </c>
      <c r="H358" s="6">
        <v>3</v>
      </c>
      <c r="I358" s="6">
        <v>6</v>
      </c>
      <c r="J358" s="7" t="b">
        <v>1</v>
      </c>
      <c r="K358" s="6">
        <v>453</v>
      </c>
      <c r="L358" s="6">
        <v>113</v>
      </c>
      <c r="M358" s="7" t="s">
        <v>49</v>
      </c>
      <c r="N358" s="7" t="s">
        <v>75</v>
      </c>
      <c r="O358" s="7" t="s">
        <v>78</v>
      </c>
      <c r="P358" s="5">
        <v>74</v>
      </c>
      <c r="Q358" s="4">
        <v>3.5</v>
      </c>
      <c r="R358" s="7" t="b">
        <v>1</v>
      </c>
      <c r="S358" s="7" t="s">
        <v>30</v>
      </c>
      <c r="T358" s="5">
        <v>4085</v>
      </c>
      <c r="U358" s="7" t="s">
        <v>65</v>
      </c>
      <c r="V358" t="s">
        <v>39</v>
      </c>
      <c r="W358" s="7" t="s">
        <v>40</v>
      </c>
    </row>
    <row r="359" spans="1:23" x14ac:dyDescent="0.3">
      <c r="A359" s="6">
        <v>8605</v>
      </c>
      <c r="B359" s="7" t="s">
        <v>143</v>
      </c>
      <c r="C359" t="s">
        <v>429</v>
      </c>
      <c r="D359" s="1">
        <v>45303</v>
      </c>
      <c r="E359" s="8">
        <v>11.99</v>
      </c>
      <c r="F359" s="6">
        <v>153</v>
      </c>
      <c r="G359" s="7" t="s">
        <v>63</v>
      </c>
      <c r="H359" s="6">
        <v>2</v>
      </c>
      <c r="I359" s="6">
        <v>2</v>
      </c>
      <c r="J359" s="7" t="b">
        <v>1</v>
      </c>
      <c r="K359" s="6">
        <v>40</v>
      </c>
      <c r="L359" s="6">
        <v>106</v>
      </c>
      <c r="M359" s="7" t="s">
        <v>55</v>
      </c>
      <c r="N359" s="7" t="s">
        <v>44</v>
      </c>
      <c r="O359" s="7" t="s">
        <v>78</v>
      </c>
      <c r="P359" s="5">
        <v>44</v>
      </c>
      <c r="Q359" s="4">
        <v>4.4000000000000004</v>
      </c>
      <c r="R359" s="7" t="b">
        <v>1</v>
      </c>
      <c r="S359" s="7" t="s">
        <v>30</v>
      </c>
      <c r="T359" s="5">
        <v>2790</v>
      </c>
      <c r="U359" s="7" t="s">
        <v>76</v>
      </c>
      <c r="V359" t="s">
        <v>39</v>
      </c>
      <c r="W359" s="7" t="s">
        <v>93</v>
      </c>
    </row>
    <row r="360" spans="1:23" x14ac:dyDescent="0.3">
      <c r="A360" s="6">
        <v>1055</v>
      </c>
      <c r="B360" s="7" t="s">
        <v>275</v>
      </c>
      <c r="C360" t="s">
        <v>279</v>
      </c>
      <c r="D360" s="1">
        <v>45638</v>
      </c>
      <c r="E360" s="8">
        <v>15.99</v>
      </c>
      <c r="F360" s="6">
        <v>140</v>
      </c>
      <c r="G360" s="7" t="s">
        <v>63</v>
      </c>
      <c r="H360" s="6">
        <v>5</v>
      </c>
      <c r="I360" s="6">
        <v>5</v>
      </c>
      <c r="J360" s="7" t="b">
        <v>1</v>
      </c>
      <c r="K360" s="6">
        <v>112</v>
      </c>
      <c r="L360" s="6">
        <v>30</v>
      </c>
      <c r="M360" s="7" t="s">
        <v>92</v>
      </c>
      <c r="N360" s="7" t="s">
        <v>56</v>
      </c>
      <c r="O360" s="7" t="s">
        <v>29</v>
      </c>
      <c r="P360" s="5">
        <v>60</v>
      </c>
      <c r="Q360" s="4">
        <v>3.1</v>
      </c>
      <c r="R360" s="7" t="b">
        <v>1</v>
      </c>
      <c r="S360" s="7" t="s">
        <v>30</v>
      </c>
      <c r="T360" s="5">
        <v>2440</v>
      </c>
      <c r="U360" s="7" t="s">
        <v>38</v>
      </c>
      <c r="V360" t="s">
        <v>32</v>
      </c>
      <c r="W360" s="7" t="s">
        <v>40</v>
      </c>
    </row>
    <row r="361" spans="1:23" x14ac:dyDescent="0.3">
      <c r="A361" s="6">
        <v>7986</v>
      </c>
      <c r="B361" s="7" t="s">
        <v>184</v>
      </c>
      <c r="C361" t="s">
        <v>267</v>
      </c>
      <c r="D361" s="1">
        <v>45577</v>
      </c>
      <c r="E361" s="8">
        <v>15.99</v>
      </c>
      <c r="F361" s="6">
        <v>196</v>
      </c>
      <c r="G361" s="7" t="s">
        <v>73</v>
      </c>
      <c r="H361" s="6">
        <v>2</v>
      </c>
      <c r="I361" s="6">
        <v>2</v>
      </c>
      <c r="J361" s="7" t="b">
        <v>1</v>
      </c>
      <c r="K361" s="6">
        <v>102</v>
      </c>
      <c r="L361" s="6">
        <v>66</v>
      </c>
      <c r="M361" s="7" t="s">
        <v>68</v>
      </c>
      <c r="N361" s="7" t="s">
        <v>75</v>
      </c>
      <c r="O361" s="7" t="s">
        <v>57</v>
      </c>
      <c r="P361" s="5">
        <v>11</v>
      </c>
      <c r="Q361" s="4">
        <v>3.7</v>
      </c>
      <c r="R361" s="7" t="b">
        <v>0</v>
      </c>
      <c r="S361" s="7" t="s">
        <v>30</v>
      </c>
      <c r="T361" s="5">
        <v>2741</v>
      </c>
      <c r="U361" s="7" t="s">
        <v>76</v>
      </c>
      <c r="V361" t="s">
        <v>69</v>
      </c>
      <c r="W361" s="7" t="s">
        <v>93</v>
      </c>
    </row>
    <row r="362" spans="1:23" x14ac:dyDescent="0.3">
      <c r="A362" s="6">
        <v>6170</v>
      </c>
      <c r="B362" s="7" t="s">
        <v>244</v>
      </c>
      <c r="C362" t="s">
        <v>392</v>
      </c>
      <c r="D362" t="s">
        <v>82</v>
      </c>
      <c r="E362" s="8">
        <v>15.99</v>
      </c>
      <c r="F362" s="6">
        <v>298</v>
      </c>
      <c r="G362" s="7" t="s">
        <v>63</v>
      </c>
      <c r="H362" s="6">
        <v>5</v>
      </c>
      <c r="I362" s="6">
        <v>1</v>
      </c>
      <c r="J362" s="7" t="b">
        <v>1</v>
      </c>
      <c r="K362" s="6">
        <v>943</v>
      </c>
      <c r="L362" s="6">
        <v>187</v>
      </c>
      <c r="M362" s="7" t="s">
        <v>49</v>
      </c>
      <c r="N362" s="7" t="s">
        <v>75</v>
      </c>
      <c r="O362" s="7" t="s">
        <v>57</v>
      </c>
      <c r="P362" s="5">
        <v>60</v>
      </c>
      <c r="Q362" s="4">
        <v>3.7</v>
      </c>
      <c r="R362" s="7" t="b">
        <v>0</v>
      </c>
      <c r="S362" s="7" t="s">
        <v>30</v>
      </c>
      <c r="T362" s="5">
        <v>4338</v>
      </c>
      <c r="U362" s="7" t="s">
        <v>38</v>
      </c>
      <c r="V362" t="s">
        <v>69</v>
      </c>
      <c r="W362" s="7" t="s">
        <v>33</v>
      </c>
    </row>
    <row r="363" spans="1:23" x14ac:dyDescent="0.3">
      <c r="A363" s="6">
        <v>7172</v>
      </c>
      <c r="B363" s="7" t="s">
        <v>448</v>
      </c>
      <c r="C363" s="1">
        <v>45176</v>
      </c>
      <c r="D363" t="s">
        <v>82</v>
      </c>
      <c r="E363" s="8">
        <v>11.99</v>
      </c>
      <c r="F363" s="6">
        <v>477</v>
      </c>
      <c r="G363" s="7" t="s">
        <v>51</v>
      </c>
      <c r="H363" s="6">
        <v>5</v>
      </c>
      <c r="I363" s="6">
        <v>4</v>
      </c>
      <c r="J363" s="7" t="b">
        <v>0</v>
      </c>
      <c r="K363" s="6">
        <v>426</v>
      </c>
      <c r="L363" s="6">
        <v>137</v>
      </c>
      <c r="M363" s="7" t="s">
        <v>92</v>
      </c>
      <c r="N363" s="7" t="s">
        <v>56</v>
      </c>
      <c r="O363" s="7" t="s">
        <v>29</v>
      </c>
      <c r="P363" s="5">
        <v>31</v>
      </c>
      <c r="Q363" s="4">
        <v>5</v>
      </c>
      <c r="R363" s="7" t="b">
        <v>0</v>
      </c>
      <c r="S363" s="7" t="s">
        <v>30</v>
      </c>
      <c r="T363" s="5">
        <v>2039</v>
      </c>
      <c r="U363" s="7" t="s">
        <v>58</v>
      </c>
      <c r="V363" t="s">
        <v>69</v>
      </c>
      <c r="W363" s="7" t="s">
        <v>60</v>
      </c>
    </row>
    <row r="364" spans="1:23" x14ac:dyDescent="0.3">
      <c r="A364" s="6">
        <v>7408</v>
      </c>
      <c r="B364" s="7" t="s">
        <v>236</v>
      </c>
      <c r="C364" t="s">
        <v>449</v>
      </c>
      <c r="D364" t="s">
        <v>156</v>
      </c>
      <c r="E364" s="8">
        <v>15.99</v>
      </c>
      <c r="F364" s="6">
        <v>308</v>
      </c>
      <c r="G364" s="7" t="s">
        <v>100</v>
      </c>
      <c r="H364" s="6">
        <v>1</v>
      </c>
      <c r="I364" s="6">
        <v>2</v>
      </c>
      <c r="J364" s="7" t="b">
        <v>1</v>
      </c>
      <c r="K364" s="6">
        <v>202</v>
      </c>
      <c r="L364" s="6">
        <v>12</v>
      </c>
      <c r="M364" s="7" t="s">
        <v>55</v>
      </c>
      <c r="N364" s="7" t="s">
        <v>75</v>
      </c>
      <c r="O364" s="7" t="s">
        <v>57</v>
      </c>
      <c r="P364" s="5">
        <v>21</v>
      </c>
      <c r="Q364" s="4">
        <v>4.5</v>
      </c>
      <c r="R364" s="7" t="b">
        <v>0</v>
      </c>
      <c r="S364" s="7" t="s">
        <v>30</v>
      </c>
      <c r="T364" s="5">
        <v>2097</v>
      </c>
      <c r="U364" s="7" t="s">
        <v>38</v>
      </c>
      <c r="V364" t="s">
        <v>39</v>
      </c>
      <c r="W364" s="7" t="s">
        <v>60</v>
      </c>
    </row>
    <row r="365" spans="1:23" x14ac:dyDescent="0.3">
      <c r="A365" s="6">
        <v>7274</v>
      </c>
      <c r="B365" s="7" t="s">
        <v>304</v>
      </c>
      <c r="C365" s="1">
        <v>45264</v>
      </c>
      <c r="D365" s="1">
        <v>45455</v>
      </c>
      <c r="E365" s="8">
        <v>11.99</v>
      </c>
      <c r="F365" s="6">
        <v>193</v>
      </c>
      <c r="G365" s="7" t="s">
        <v>51</v>
      </c>
      <c r="H365" s="6">
        <v>4</v>
      </c>
      <c r="I365" s="6">
        <v>4</v>
      </c>
      <c r="J365" s="7" t="b">
        <v>0</v>
      </c>
      <c r="K365" s="6">
        <v>364</v>
      </c>
      <c r="L365" s="6">
        <v>181</v>
      </c>
      <c r="M365" s="7" t="s">
        <v>92</v>
      </c>
      <c r="N365" s="7" t="s">
        <v>56</v>
      </c>
      <c r="O365" s="7" t="s">
        <v>64</v>
      </c>
      <c r="P365" s="5">
        <v>51</v>
      </c>
      <c r="Q365" s="4">
        <v>4.7</v>
      </c>
      <c r="R365" s="7" t="b">
        <v>0</v>
      </c>
      <c r="S365" s="7" t="s">
        <v>30</v>
      </c>
      <c r="T365" s="5">
        <v>2384</v>
      </c>
      <c r="U365" s="7" t="s">
        <v>38</v>
      </c>
      <c r="V365" t="s">
        <v>79</v>
      </c>
      <c r="W365" s="7" t="s">
        <v>93</v>
      </c>
    </row>
    <row r="366" spans="1:23" x14ac:dyDescent="0.3">
      <c r="A366" s="6">
        <v>6001</v>
      </c>
      <c r="B366" s="7" t="s">
        <v>276</v>
      </c>
      <c r="C366" s="1">
        <v>45331</v>
      </c>
      <c r="D366" t="s">
        <v>105</v>
      </c>
      <c r="E366" s="8">
        <v>15.99</v>
      </c>
      <c r="F366" s="6">
        <v>420</v>
      </c>
      <c r="G366" s="7" t="s">
        <v>51</v>
      </c>
      <c r="H366" s="6">
        <v>3</v>
      </c>
      <c r="I366" s="6">
        <v>3</v>
      </c>
      <c r="J366" s="7" t="b">
        <v>1</v>
      </c>
      <c r="K366" s="6">
        <v>562</v>
      </c>
      <c r="L366" s="6">
        <v>67</v>
      </c>
      <c r="M366" s="7" t="s">
        <v>27</v>
      </c>
      <c r="N366" s="7" t="s">
        <v>44</v>
      </c>
      <c r="O366" s="7" t="s">
        <v>64</v>
      </c>
      <c r="P366" s="5">
        <v>2</v>
      </c>
      <c r="Q366" s="4">
        <v>3.2</v>
      </c>
      <c r="R366" s="7" t="b">
        <v>1</v>
      </c>
      <c r="S366" s="7" t="s">
        <v>30</v>
      </c>
      <c r="T366" s="5">
        <v>4159</v>
      </c>
      <c r="U366" s="7" t="s">
        <v>58</v>
      </c>
      <c r="V366" t="s">
        <v>69</v>
      </c>
      <c r="W366" s="7" t="s">
        <v>40</v>
      </c>
    </row>
    <row r="367" spans="1:23" x14ac:dyDescent="0.3">
      <c r="A367" s="6">
        <v>9418</v>
      </c>
      <c r="B367" s="7" t="s">
        <v>450</v>
      </c>
      <c r="C367" t="s">
        <v>451</v>
      </c>
      <c r="D367" t="s">
        <v>214</v>
      </c>
      <c r="E367" s="8">
        <v>7.99</v>
      </c>
      <c r="F367" s="6">
        <v>128</v>
      </c>
      <c r="G367" s="7" t="s">
        <v>26</v>
      </c>
      <c r="H367" s="6">
        <v>5</v>
      </c>
      <c r="I367" s="6">
        <v>6</v>
      </c>
      <c r="J367" s="7" t="b">
        <v>1</v>
      </c>
      <c r="K367" s="6">
        <v>481</v>
      </c>
      <c r="L367" s="6">
        <v>128</v>
      </c>
      <c r="M367" s="7" t="s">
        <v>55</v>
      </c>
      <c r="N367" s="7" t="s">
        <v>56</v>
      </c>
      <c r="O367" s="7" t="s">
        <v>37</v>
      </c>
      <c r="P367" s="5">
        <v>89</v>
      </c>
      <c r="Q367" s="4">
        <v>3.3</v>
      </c>
      <c r="R367" s="7" t="b">
        <v>1</v>
      </c>
      <c r="S367" s="7" t="s">
        <v>30</v>
      </c>
      <c r="T367" s="5">
        <v>2002</v>
      </c>
      <c r="U367" s="7" t="s">
        <v>76</v>
      </c>
      <c r="V367" t="s">
        <v>59</v>
      </c>
      <c r="W367" s="7" t="s">
        <v>60</v>
      </c>
    </row>
    <row r="368" spans="1:23" x14ac:dyDescent="0.3">
      <c r="A368" s="6">
        <v>9354</v>
      </c>
      <c r="B368" s="7" t="s">
        <v>441</v>
      </c>
      <c r="C368" t="s">
        <v>416</v>
      </c>
      <c r="D368" t="s">
        <v>90</v>
      </c>
      <c r="E368" s="8">
        <v>11.99</v>
      </c>
      <c r="F368" s="6">
        <v>133</v>
      </c>
      <c r="G368" s="7" t="s">
        <v>26</v>
      </c>
      <c r="H368" s="6">
        <v>4</v>
      </c>
      <c r="I368" s="6">
        <v>6</v>
      </c>
      <c r="J368" s="7" t="b">
        <v>0</v>
      </c>
      <c r="K368" s="6">
        <v>469</v>
      </c>
      <c r="L368" s="6">
        <v>182</v>
      </c>
      <c r="M368" s="7" t="s">
        <v>68</v>
      </c>
      <c r="N368" s="7" t="s">
        <v>28</v>
      </c>
      <c r="O368" s="7" t="s">
        <v>64</v>
      </c>
      <c r="P368" s="5">
        <v>85</v>
      </c>
      <c r="Q368" s="4">
        <v>4.4000000000000004</v>
      </c>
      <c r="R368" s="7" t="b">
        <v>0</v>
      </c>
      <c r="S368" s="7" t="s">
        <v>30</v>
      </c>
      <c r="T368" s="5">
        <v>782</v>
      </c>
      <c r="U368" s="7" t="s">
        <v>76</v>
      </c>
      <c r="V368" t="s">
        <v>32</v>
      </c>
      <c r="W368" s="7" t="s">
        <v>93</v>
      </c>
    </row>
    <row r="369" spans="1:23" x14ac:dyDescent="0.3">
      <c r="A369" s="6">
        <v>8122</v>
      </c>
      <c r="B369" s="7" t="s">
        <v>452</v>
      </c>
      <c r="C369" s="1">
        <v>45605</v>
      </c>
      <c r="D369" t="s">
        <v>168</v>
      </c>
      <c r="E369" s="8">
        <v>15.99</v>
      </c>
      <c r="F369" s="6">
        <v>413</v>
      </c>
      <c r="G369" s="7" t="s">
        <v>48</v>
      </c>
      <c r="H369" s="6">
        <v>5</v>
      </c>
      <c r="I369" s="6">
        <v>2</v>
      </c>
      <c r="J369" s="7" t="b">
        <v>0</v>
      </c>
      <c r="K369" s="6">
        <v>708</v>
      </c>
      <c r="L369" s="6">
        <v>4</v>
      </c>
      <c r="M369" s="7" t="s">
        <v>49</v>
      </c>
      <c r="N369" s="7" t="s">
        <v>56</v>
      </c>
      <c r="O369" s="7" t="s">
        <v>78</v>
      </c>
      <c r="P369" s="5">
        <v>62</v>
      </c>
      <c r="Q369" s="4">
        <v>4.3</v>
      </c>
      <c r="R369" s="7" t="b">
        <v>1</v>
      </c>
      <c r="S369" s="7" t="s">
        <v>30</v>
      </c>
      <c r="T369" s="5">
        <v>4056</v>
      </c>
      <c r="U369" s="7" t="s">
        <v>31</v>
      </c>
      <c r="V369" t="s">
        <v>79</v>
      </c>
      <c r="W369" s="7" t="s">
        <v>40</v>
      </c>
    </row>
    <row r="370" spans="1:23" x14ac:dyDescent="0.3">
      <c r="A370" s="6">
        <v>1765</v>
      </c>
      <c r="B370" s="7" t="s">
        <v>453</v>
      </c>
      <c r="C370" t="s">
        <v>454</v>
      </c>
      <c r="D370" t="s">
        <v>156</v>
      </c>
      <c r="E370" s="8">
        <v>11.99</v>
      </c>
      <c r="F370" s="6">
        <v>28</v>
      </c>
      <c r="G370" s="7" t="s">
        <v>51</v>
      </c>
      <c r="H370" s="6">
        <v>4</v>
      </c>
      <c r="I370" s="6">
        <v>1</v>
      </c>
      <c r="J370" s="7" t="b">
        <v>1</v>
      </c>
      <c r="K370" s="6">
        <v>990</v>
      </c>
      <c r="L370" s="6">
        <v>88</v>
      </c>
      <c r="M370" s="7" t="s">
        <v>49</v>
      </c>
      <c r="N370" s="7" t="s">
        <v>56</v>
      </c>
      <c r="O370" s="7" t="s">
        <v>78</v>
      </c>
      <c r="P370" s="5">
        <v>97</v>
      </c>
      <c r="Q370" s="4">
        <v>5</v>
      </c>
      <c r="R370" s="7" t="b">
        <v>0</v>
      </c>
      <c r="S370" s="7" t="s">
        <v>30</v>
      </c>
      <c r="T370" s="5">
        <v>1341</v>
      </c>
      <c r="U370" s="7" t="s">
        <v>76</v>
      </c>
      <c r="V370" t="s">
        <v>32</v>
      </c>
      <c r="W370" s="7" t="s">
        <v>33</v>
      </c>
    </row>
    <row r="371" spans="1:23" x14ac:dyDescent="0.3">
      <c r="A371" s="6">
        <v>5352</v>
      </c>
      <c r="B371" s="7" t="s">
        <v>290</v>
      </c>
      <c r="C371" t="s">
        <v>455</v>
      </c>
      <c r="D371" t="s">
        <v>42</v>
      </c>
      <c r="E371" s="8">
        <v>15.99</v>
      </c>
      <c r="F371" s="6">
        <v>453</v>
      </c>
      <c r="G371" s="7" t="s">
        <v>36</v>
      </c>
      <c r="H371" s="6">
        <v>5</v>
      </c>
      <c r="I371" s="6">
        <v>3</v>
      </c>
      <c r="J371" s="7" t="b">
        <v>1</v>
      </c>
      <c r="K371" s="6">
        <v>236</v>
      </c>
      <c r="L371" s="6">
        <v>121</v>
      </c>
      <c r="M371" s="7" t="s">
        <v>27</v>
      </c>
      <c r="N371" s="7" t="s">
        <v>75</v>
      </c>
      <c r="O371" s="7" t="s">
        <v>45</v>
      </c>
      <c r="P371" s="5">
        <v>1</v>
      </c>
      <c r="Q371" s="4">
        <v>3.7</v>
      </c>
      <c r="R371" s="7" t="b">
        <v>0</v>
      </c>
      <c r="S371" s="7" t="s">
        <v>30</v>
      </c>
      <c r="T371" s="5">
        <v>3028</v>
      </c>
      <c r="U371" s="7" t="s">
        <v>38</v>
      </c>
      <c r="V371" t="s">
        <v>79</v>
      </c>
      <c r="W371" s="7" t="s">
        <v>60</v>
      </c>
    </row>
    <row r="372" spans="1:23" x14ac:dyDescent="0.3">
      <c r="A372" s="6">
        <v>7578</v>
      </c>
      <c r="B372" s="7" t="s">
        <v>130</v>
      </c>
      <c r="C372" s="1">
        <v>44995</v>
      </c>
      <c r="D372" s="1">
        <v>45363</v>
      </c>
      <c r="E372" s="8">
        <v>11.99</v>
      </c>
      <c r="F372" s="6">
        <v>186</v>
      </c>
      <c r="G372" s="7" t="s">
        <v>36</v>
      </c>
      <c r="H372" s="6">
        <v>2</v>
      </c>
      <c r="I372" s="6">
        <v>5</v>
      </c>
      <c r="J372" s="7" t="b">
        <v>1</v>
      </c>
      <c r="K372" s="6">
        <v>784</v>
      </c>
      <c r="L372" s="6">
        <v>29</v>
      </c>
      <c r="M372" s="7" t="s">
        <v>27</v>
      </c>
      <c r="N372" s="7" t="s">
        <v>44</v>
      </c>
      <c r="O372" s="7" t="s">
        <v>37</v>
      </c>
      <c r="P372" s="5">
        <v>76</v>
      </c>
      <c r="Q372" s="4">
        <v>4.3</v>
      </c>
      <c r="R372" s="7" t="b">
        <v>1</v>
      </c>
      <c r="S372" s="7" t="s">
        <v>30</v>
      </c>
      <c r="T372" s="5">
        <v>4799</v>
      </c>
      <c r="U372" s="7" t="s">
        <v>38</v>
      </c>
      <c r="V372" t="s">
        <v>59</v>
      </c>
      <c r="W372" s="7" t="s">
        <v>60</v>
      </c>
    </row>
    <row r="373" spans="1:23" x14ac:dyDescent="0.3">
      <c r="A373" s="6">
        <v>8912</v>
      </c>
      <c r="B373" s="7" t="s">
        <v>169</v>
      </c>
      <c r="C373" s="1">
        <v>45421</v>
      </c>
      <c r="D373" t="s">
        <v>134</v>
      </c>
      <c r="E373" s="8">
        <v>15.99</v>
      </c>
      <c r="F373" s="6">
        <v>287</v>
      </c>
      <c r="G373" s="7" t="s">
        <v>100</v>
      </c>
      <c r="H373" s="6">
        <v>3</v>
      </c>
      <c r="I373" s="6">
        <v>6</v>
      </c>
      <c r="J373" s="7" t="b">
        <v>0</v>
      </c>
      <c r="K373" s="6">
        <v>714</v>
      </c>
      <c r="L373" s="6">
        <v>3</v>
      </c>
      <c r="M373" s="7" t="s">
        <v>55</v>
      </c>
      <c r="N373" s="7" t="s">
        <v>44</v>
      </c>
      <c r="O373" s="7" t="s">
        <v>45</v>
      </c>
      <c r="P373" s="5">
        <v>45</v>
      </c>
      <c r="Q373" s="4">
        <v>4.3</v>
      </c>
      <c r="R373" s="7" t="b">
        <v>1</v>
      </c>
      <c r="S373" s="7" t="s">
        <v>30</v>
      </c>
      <c r="T373" s="5">
        <v>4556</v>
      </c>
      <c r="U373" s="7" t="s">
        <v>76</v>
      </c>
      <c r="V373" t="s">
        <v>69</v>
      </c>
      <c r="W373" s="7" t="s">
        <v>60</v>
      </c>
    </row>
    <row r="374" spans="1:23" x14ac:dyDescent="0.3">
      <c r="A374" s="6">
        <v>6641</v>
      </c>
      <c r="B374" s="7" t="s">
        <v>140</v>
      </c>
      <c r="C374" t="s">
        <v>192</v>
      </c>
      <c r="D374" s="1">
        <v>45516</v>
      </c>
      <c r="E374" s="8">
        <v>7.99</v>
      </c>
      <c r="F374" s="6">
        <v>45</v>
      </c>
      <c r="G374" s="7" t="s">
        <v>63</v>
      </c>
      <c r="H374" s="6">
        <v>4</v>
      </c>
      <c r="I374" s="6">
        <v>3</v>
      </c>
      <c r="J374" s="7" t="b">
        <v>0</v>
      </c>
      <c r="K374" s="6">
        <v>420</v>
      </c>
      <c r="L374" s="6">
        <v>87</v>
      </c>
      <c r="M374" s="7" t="s">
        <v>49</v>
      </c>
      <c r="N374" s="7" t="s">
        <v>75</v>
      </c>
      <c r="O374" s="7" t="s">
        <v>45</v>
      </c>
      <c r="P374" s="5">
        <v>41</v>
      </c>
      <c r="Q374" s="4">
        <v>3.3</v>
      </c>
      <c r="R374" s="7" t="b">
        <v>1</v>
      </c>
      <c r="S374" s="7" t="s">
        <v>30</v>
      </c>
      <c r="T374" s="5">
        <v>2965</v>
      </c>
      <c r="U374" s="7" t="s">
        <v>65</v>
      </c>
      <c r="V374" t="s">
        <v>79</v>
      </c>
      <c r="W374" s="7" t="s">
        <v>40</v>
      </c>
    </row>
    <row r="375" spans="1:23" x14ac:dyDescent="0.3">
      <c r="A375" s="6">
        <v>9664</v>
      </c>
      <c r="B375" s="7" t="s">
        <v>456</v>
      </c>
      <c r="C375" s="1">
        <v>45237</v>
      </c>
      <c r="D375" t="s">
        <v>82</v>
      </c>
      <c r="E375" s="8">
        <v>11.99</v>
      </c>
      <c r="F375" s="6">
        <v>463</v>
      </c>
      <c r="G375" s="7" t="s">
        <v>73</v>
      </c>
      <c r="H375" s="6">
        <v>5</v>
      </c>
      <c r="I375" s="6">
        <v>4</v>
      </c>
      <c r="J375" s="7" t="b">
        <v>0</v>
      </c>
      <c r="K375" s="6">
        <v>961</v>
      </c>
      <c r="L375" s="6">
        <v>9</v>
      </c>
      <c r="M375" s="7" t="s">
        <v>49</v>
      </c>
      <c r="N375" s="7" t="s">
        <v>75</v>
      </c>
      <c r="O375" s="7" t="s">
        <v>57</v>
      </c>
      <c r="P375" s="5">
        <v>62</v>
      </c>
      <c r="Q375" s="4">
        <v>3.4</v>
      </c>
      <c r="R375" s="7" t="b">
        <v>1</v>
      </c>
      <c r="S375" s="7" t="s">
        <v>30</v>
      </c>
      <c r="T375" s="5">
        <v>3556</v>
      </c>
      <c r="U375" s="7" t="s">
        <v>65</v>
      </c>
      <c r="V375" t="s">
        <v>59</v>
      </c>
      <c r="W375" s="7" t="s">
        <v>40</v>
      </c>
    </row>
    <row r="376" spans="1:23" x14ac:dyDescent="0.3">
      <c r="A376" s="6">
        <v>9134</v>
      </c>
      <c r="B376" s="7" t="s">
        <v>130</v>
      </c>
      <c r="C376" t="s">
        <v>457</v>
      </c>
      <c r="D376" t="s">
        <v>54</v>
      </c>
      <c r="E376" s="8">
        <v>15.99</v>
      </c>
      <c r="F376" s="6">
        <v>241</v>
      </c>
      <c r="G376" s="7" t="s">
        <v>48</v>
      </c>
      <c r="H376" s="6">
        <v>1</v>
      </c>
      <c r="I376" s="6">
        <v>5</v>
      </c>
      <c r="J376" s="7" t="b">
        <v>1</v>
      </c>
      <c r="K376" s="6">
        <v>775</v>
      </c>
      <c r="L376" s="6">
        <v>194</v>
      </c>
      <c r="M376" s="7" t="s">
        <v>92</v>
      </c>
      <c r="N376" s="7" t="s">
        <v>44</v>
      </c>
      <c r="O376" s="7" t="s">
        <v>29</v>
      </c>
      <c r="P376" s="5">
        <v>94</v>
      </c>
      <c r="Q376" s="4">
        <v>3.1</v>
      </c>
      <c r="R376" s="7" t="b">
        <v>0</v>
      </c>
      <c r="S376" s="7" t="s">
        <v>30</v>
      </c>
      <c r="T376" s="5">
        <v>2901</v>
      </c>
      <c r="U376" s="7" t="s">
        <v>65</v>
      </c>
      <c r="V376" t="s">
        <v>79</v>
      </c>
      <c r="W376" s="7" t="s">
        <v>60</v>
      </c>
    </row>
    <row r="377" spans="1:23" x14ac:dyDescent="0.3">
      <c r="A377" s="6">
        <v>6663</v>
      </c>
      <c r="B377" s="7" t="s">
        <v>184</v>
      </c>
      <c r="C377" t="s">
        <v>303</v>
      </c>
      <c r="D377" s="1">
        <v>45485</v>
      </c>
      <c r="E377" s="8">
        <v>7.99</v>
      </c>
      <c r="F377" s="6">
        <v>11</v>
      </c>
      <c r="G377" s="7" t="s">
        <v>51</v>
      </c>
      <c r="H377" s="6">
        <v>4</v>
      </c>
      <c r="I377" s="6">
        <v>1</v>
      </c>
      <c r="J377" s="7" t="b">
        <v>1</v>
      </c>
      <c r="K377" s="6">
        <v>773</v>
      </c>
      <c r="L377" s="6">
        <v>139</v>
      </c>
      <c r="M377" s="7" t="s">
        <v>74</v>
      </c>
      <c r="N377" s="7" t="s">
        <v>44</v>
      </c>
      <c r="O377" s="7" t="s">
        <v>37</v>
      </c>
      <c r="P377" s="5">
        <v>45</v>
      </c>
      <c r="Q377" s="4">
        <v>4.0999999999999996</v>
      </c>
      <c r="R377" s="7" t="b">
        <v>0</v>
      </c>
      <c r="S377" s="7" t="s">
        <v>30</v>
      </c>
      <c r="T377" s="5">
        <v>3520</v>
      </c>
      <c r="U377" s="7" t="s">
        <v>76</v>
      </c>
      <c r="V377" t="s">
        <v>79</v>
      </c>
      <c r="W377" s="7" t="s">
        <v>40</v>
      </c>
    </row>
    <row r="378" spans="1:23" x14ac:dyDescent="0.3">
      <c r="A378" s="6">
        <v>9800</v>
      </c>
      <c r="B378" s="7" t="s">
        <v>458</v>
      </c>
      <c r="C378" t="s">
        <v>163</v>
      </c>
      <c r="D378" s="1">
        <v>45424</v>
      </c>
      <c r="E378" s="8">
        <v>15.99</v>
      </c>
      <c r="F378" s="6">
        <v>123</v>
      </c>
      <c r="G378" s="7" t="s">
        <v>63</v>
      </c>
      <c r="H378" s="6">
        <v>1</v>
      </c>
      <c r="I378" s="6">
        <v>1</v>
      </c>
      <c r="J378" s="7" t="b">
        <v>1</v>
      </c>
      <c r="K378" s="6">
        <v>841</v>
      </c>
      <c r="L378" s="6">
        <v>45</v>
      </c>
      <c r="M378" s="7" t="s">
        <v>49</v>
      </c>
      <c r="N378" s="7" t="s">
        <v>28</v>
      </c>
      <c r="O378" s="7" t="s">
        <v>29</v>
      </c>
      <c r="P378" s="5">
        <v>76</v>
      </c>
      <c r="Q378" s="4">
        <v>4.3</v>
      </c>
      <c r="R378" s="7" t="b">
        <v>1</v>
      </c>
      <c r="S378" s="7" t="s">
        <v>30</v>
      </c>
      <c r="T378" s="5">
        <v>3983</v>
      </c>
      <c r="U378" s="7" t="s">
        <v>31</v>
      </c>
      <c r="V378" t="s">
        <v>32</v>
      </c>
      <c r="W378" s="7" t="s">
        <v>33</v>
      </c>
    </row>
    <row r="379" spans="1:23" x14ac:dyDescent="0.3">
      <c r="A379" s="6">
        <v>2363</v>
      </c>
      <c r="B379" s="7" t="s">
        <v>408</v>
      </c>
      <c r="C379" t="s">
        <v>459</v>
      </c>
      <c r="D379" s="1">
        <v>45303</v>
      </c>
      <c r="E379" s="8">
        <v>7.99</v>
      </c>
      <c r="F379" s="6">
        <v>411</v>
      </c>
      <c r="G379" s="7" t="s">
        <v>51</v>
      </c>
      <c r="H379" s="6">
        <v>3</v>
      </c>
      <c r="I379" s="6">
        <v>2</v>
      </c>
      <c r="J379" s="7" t="b">
        <v>1</v>
      </c>
      <c r="K379" s="6">
        <v>412</v>
      </c>
      <c r="L379" s="6">
        <v>20</v>
      </c>
      <c r="M379" s="7" t="s">
        <v>68</v>
      </c>
      <c r="N379" s="7" t="s">
        <v>28</v>
      </c>
      <c r="O379" s="7" t="s">
        <v>57</v>
      </c>
      <c r="P379" s="5">
        <v>94</v>
      </c>
      <c r="Q379" s="4">
        <v>4.7</v>
      </c>
      <c r="R379" s="7" t="b">
        <v>1</v>
      </c>
      <c r="S379" s="7" t="s">
        <v>30</v>
      </c>
      <c r="T379" s="5">
        <v>4632</v>
      </c>
      <c r="U379" s="7" t="s">
        <v>31</v>
      </c>
      <c r="V379" t="s">
        <v>39</v>
      </c>
      <c r="W379" s="7" t="s">
        <v>40</v>
      </c>
    </row>
    <row r="380" spans="1:23" x14ac:dyDescent="0.3">
      <c r="A380" s="6">
        <v>4875</v>
      </c>
      <c r="B380" s="7" t="s">
        <v>272</v>
      </c>
      <c r="C380" t="s">
        <v>460</v>
      </c>
      <c r="D380" t="s">
        <v>109</v>
      </c>
      <c r="E380" s="8">
        <v>7.99</v>
      </c>
      <c r="F380" s="6">
        <v>469</v>
      </c>
      <c r="G380" s="7" t="s">
        <v>73</v>
      </c>
      <c r="H380" s="6">
        <v>2</v>
      </c>
      <c r="I380" s="6">
        <v>1</v>
      </c>
      <c r="J380" s="7" t="b">
        <v>0</v>
      </c>
      <c r="K380" s="6">
        <v>160</v>
      </c>
      <c r="L380" s="6">
        <v>79</v>
      </c>
      <c r="M380" s="7" t="s">
        <v>74</v>
      </c>
      <c r="N380" s="7" t="s">
        <v>44</v>
      </c>
      <c r="O380" s="7" t="s">
        <v>78</v>
      </c>
      <c r="P380" s="5">
        <v>57</v>
      </c>
      <c r="Q380" s="4">
        <v>4.5</v>
      </c>
      <c r="R380" s="7" t="b">
        <v>1</v>
      </c>
      <c r="S380" s="7" t="s">
        <v>30</v>
      </c>
      <c r="T380" s="5">
        <v>314</v>
      </c>
      <c r="U380" s="7" t="s">
        <v>31</v>
      </c>
      <c r="V380" t="s">
        <v>39</v>
      </c>
      <c r="W380" s="7" t="s">
        <v>33</v>
      </c>
    </row>
    <row r="381" spans="1:23" x14ac:dyDescent="0.3">
      <c r="A381" s="6">
        <v>8961</v>
      </c>
      <c r="B381" s="7" t="s">
        <v>137</v>
      </c>
      <c r="C381" s="1">
        <v>45176</v>
      </c>
      <c r="D381" s="1">
        <v>45485</v>
      </c>
      <c r="E381" s="8">
        <v>11.99</v>
      </c>
      <c r="F381" s="6">
        <v>120</v>
      </c>
      <c r="G381" s="7" t="s">
        <v>63</v>
      </c>
      <c r="H381" s="6">
        <v>3</v>
      </c>
      <c r="I381" s="6">
        <v>6</v>
      </c>
      <c r="J381" s="7" t="b">
        <v>0</v>
      </c>
      <c r="K381" s="6">
        <v>346</v>
      </c>
      <c r="L381" s="6">
        <v>125</v>
      </c>
      <c r="M381" s="7" t="s">
        <v>27</v>
      </c>
      <c r="N381" s="7" t="s">
        <v>75</v>
      </c>
      <c r="O381" s="7" t="s">
        <v>37</v>
      </c>
      <c r="P381" s="5">
        <v>25</v>
      </c>
      <c r="Q381" s="4">
        <v>4.0999999999999996</v>
      </c>
      <c r="R381" s="7" t="b">
        <v>0</v>
      </c>
      <c r="S381" s="7" t="s">
        <v>30</v>
      </c>
      <c r="T381" s="5">
        <v>4012</v>
      </c>
      <c r="U381" s="7" t="s">
        <v>38</v>
      </c>
      <c r="V381" t="s">
        <v>39</v>
      </c>
      <c r="W381" s="7" t="s">
        <v>60</v>
      </c>
    </row>
    <row r="382" spans="1:23" x14ac:dyDescent="0.3">
      <c r="A382" s="6">
        <v>1539</v>
      </c>
      <c r="B382" s="7" t="s">
        <v>77</v>
      </c>
      <c r="C382" t="s">
        <v>461</v>
      </c>
      <c r="D382" t="s">
        <v>168</v>
      </c>
      <c r="E382" s="8">
        <v>15.99</v>
      </c>
      <c r="F382" s="6">
        <v>348</v>
      </c>
      <c r="G382" s="7" t="s">
        <v>36</v>
      </c>
      <c r="H382" s="6">
        <v>1</v>
      </c>
      <c r="I382" s="6">
        <v>5</v>
      </c>
      <c r="J382" s="7" t="b">
        <v>1</v>
      </c>
      <c r="K382" s="6">
        <v>266</v>
      </c>
      <c r="L382" s="6">
        <v>94</v>
      </c>
      <c r="M382" s="7" t="s">
        <v>68</v>
      </c>
      <c r="N382" s="7" t="s">
        <v>44</v>
      </c>
      <c r="O382" s="7" t="s">
        <v>64</v>
      </c>
      <c r="P382" s="5">
        <v>82</v>
      </c>
      <c r="Q382" s="4">
        <v>4.3</v>
      </c>
      <c r="R382" s="7" t="b">
        <v>1</v>
      </c>
      <c r="S382" s="7" t="s">
        <v>30</v>
      </c>
      <c r="T382" s="5">
        <v>2356</v>
      </c>
      <c r="U382" s="7" t="s">
        <v>65</v>
      </c>
      <c r="V382" t="s">
        <v>69</v>
      </c>
      <c r="W382" s="7" t="s">
        <v>60</v>
      </c>
    </row>
    <row r="383" spans="1:23" x14ac:dyDescent="0.3">
      <c r="A383" s="6">
        <v>4037</v>
      </c>
      <c r="B383" s="7" t="s">
        <v>405</v>
      </c>
      <c r="C383" t="s">
        <v>462</v>
      </c>
      <c r="D383" t="s">
        <v>42</v>
      </c>
      <c r="E383" s="8">
        <v>11.99</v>
      </c>
      <c r="F383" s="6">
        <v>103</v>
      </c>
      <c r="G383" s="7" t="s">
        <v>100</v>
      </c>
      <c r="H383" s="6">
        <v>4</v>
      </c>
      <c r="I383" s="6">
        <v>4</v>
      </c>
      <c r="J383" s="7" t="b">
        <v>0</v>
      </c>
      <c r="K383" s="6">
        <v>305</v>
      </c>
      <c r="L383" s="6">
        <v>191</v>
      </c>
      <c r="M383" s="7" t="s">
        <v>43</v>
      </c>
      <c r="N383" s="7" t="s">
        <v>28</v>
      </c>
      <c r="O383" s="7" t="s">
        <v>78</v>
      </c>
      <c r="P383" s="5">
        <v>98</v>
      </c>
      <c r="Q383" s="4">
        <v>4.7</v>
      </c>
      <c r="R383" s="7" t="b">
        <v>1</v>
      </c>
      <c r="S383" s="7" t="s">
        <v>30</v>
      </c>
      <c r="T383" s="5">
        <v>1824</v>
      </c>
      <c r="U383" s="7" t="s">
        <v>76</v>
      </c>
      <c r="V383" t="s">
        <v>59</v>
      </c>
      <c r="W383" s="7" t="s">
        <v>93</v>
      </c>
    </row>
    <row r="384" spans="1:23" x14ac:dyDescent="0.3">
      <c r="A384" s="6">
        <v>4239</v>
      </c>
      <c r="B384" s="7" t="s">
        <v>272</v>
      </c>
      <c r="C384" t="s">
        <v>258</v>
      </c>
      <c r="D384" t="s">
        <v>109</v>
      </c>
      <c r="E384" s="8">
        <v>7.99</v>
      </c>
      <c r="F384" s="6">
        <v>470</v>
      </c>
      <c r="G384" s="7" t="s">
        <v>73</v>
      </c>
      <c r="H384" s="6">
        <v>2</v>
      </c>
      <c r="I384" s="6">
        <v>3</v>
      </c>
      <c r="J384" s="7" t="b">
        <v>0</v>
      </c>
      <c r="K384" s="6">
        <v>89</v>
      </c>
      <c r="L384" s="6">
        <v>135</v>
      </c>
      <c r="M384" s="7" t="s">
        <v>55</v>
      </c>
      <c r="N384" s="7" t="s">
        <v>44</v>
      </c>
      <c r="O384" s="7" t="s">
        <v>45</v>
      </c>
      <c r="P384" s="5">
        <v>45</v>
      </c>
      <c r="Q384" s="4">
        <v>4.5</v>
      </c>
      <c r="R384" s="7" t="b">
        <v>0</v>
      </c>
      <c r="S384" s="7" t="s">
        <v>30</v>
      </c>
      <c r="T384" s="5">
        <v>4236</v>
      </c>
      <c r="U384" s="7" t="s">
        <v>31</v>
      </c>
      <c r="V384" t="s">
        <v>59</v>
      </c>
      <c r="W384" s="7" t="s">
        <v>60</v>
      </c>
    </row>
    <row r="385" spans="1:23" x14ac:dyDescent="0.3">
      <c r="A385" s="6">
        <v>4364</v>
      </c>
      <c r="B385" s="7" t="s">
        <v>355</v>
      </c>
      <c r="C385" t="s">
        <v>326</v>
      </c>
      <c r="D385" s="1">
        <v>45303</v>
      </c>
      <c r="E385" s="8">
        <v>7.99</v>
      </c>
      <c r="F385" s="6">
        <v>241</v>
      </c>
      <c r="G385" s="7" t="s">
        <v>100</v>
      </c>
      <c r="H385" s="6">
        <v>3</v>
      </c>
      <c r="I385" s="6">
        <v>6</v>
      </c>
      <c r="J385" s="7" t="b">
        <v>0</v>
      </c>
      <c r="K385" s="6">
        <v>905</v>
      </c>
      <c r="L385" s="6">
        <v>127</v>
      </c>
      <c r="M385" s="7" t="s">
        <v>55</v>
      </c>
      <c r="N385" s="7" t="s">
        <v>28</v>
      </c>
      <c r="O385" s="7" t="s">
        <v>57</v>
      </c>
      <c r="P385" s="5">
        <v>93</v>
      </c>
      <c r="Q385" s="4">
        <v>4</v>
      </c>
      <c r="R385" s="7" t="b">
        <v>0</v>
      </c>
      <c r="S385" s="7" t="s">
        <v>30</v>
      </c>
      <c r="T385" s="5">
        <v>2102</v>
      </c>
      <c r="U385" s="7" t="s">
        <v>38</v>
      </c>
      <c r="V385" t="s">
        <v>32</v>
      </c>
      <c r="W385" s="7" t="s">
        <v>60</v>
      </c>
    </row>
    <row r="386" spans="1:23" x14ac:dyDescent="0.3">
      <c r="A386" s="6">
        <v>8946</v>
      </c>
      <c r="B386" s="7" t="s">
        <v>463</v>
      </c>
      <c r="C386" t="s">
        <v>95</v>
      </c>
      <c r="D386" t="s">
        <v>42</v>
      </c>
      <c r="E386" s="8">
        <v>15.99</v>
      </c>
      <c r="F386" s="6">
        <v>277</v>
      </c>
      <c r="G386" s="7" t="s">
        <v>100</v>
      </c>
      <c r="H386" s="6">
        <v>3</v>
      </c>
      <c r="I386" s="6">
        <v>5</v>
      </c>
      <c r="J386" s="7" t="b">
        <v>0</v>
      </c>
      <c r="K386" s="6">
        <v>959</v>
      </c>
      <c r="L386" s="6">
        <v>174</v>
      </c>
      <c r="M386" s="7" t="s">
        <v>27</v>
      </c>
      <c r="N386" s="7" t="s">
        <v>28</v>
      </c>
      <c r="O386" s="7" t="s">
        <v>78</v>
      </c>
      <c r="P386" s="5">
        <v>51</v>
      </c>
      <c r="Q386" s="4">
        <v>3.4</v>
      </c>
      <c r="R386" s="7" t="b">
        <v>1</v>
      </c>
      <c r="S386" s="7" t="s">
        <v>30</v>
      </c>
      <c r="T386" s="5">
        <v>1876</v>
      </c>
      <c r="U386" s="7" t="s">
        <v>31</v>
      </c>
      <c r="V386" t="s">
        <v>39</v>
      </c>
      <c r="W386" s="7" t="s">
        <v>33</v>
      </c>
    </row>
    <row r="387" spans="1:23" x14ac:dyDescent="0.3">
      <c r="A387" s="6">
        <v>5911</v>
      </c>
      <c r="B387" s="7" t="s">
        <v>130</v>
      </c>
      <c r="C387" s="1">
        <v>45323</v>
      </c>
      <c r="D387" s="1">
        <v>45577</v>
      </c>
      <c r="E387" s="8">
        <v>7.99</v>
      </c>
      <c r="F387" s="6">
        <v>158</v>
      </c>
      <c r="G387" s="7" t="s">
        <v>100</v>
      </c>
      <c r="H387" s="6">
        <v>3</v>
      </c>
      <c r="I387" s="6">
        <v>1</v>
      </c>
      <c r="J387" s="7" t="b">
        <v>1</v>
      </c>
      <c r="K387" s="6">
        <v>426</v>
      </c>
      <c r="L387" s="6">
        <v>7</v>
      </c>
      <c r="M387" s="7" t="s">
        <v>92</v>
      </c>
      <c r="N387" s="7" t="s">
        <v>75</v>
      </c>
      <c r="O387" s="7" t="s">
        <v>78</v>
      </c>
      <c r="P387" s="5">
        <v>36</v>
      </c>
      <c r="Q387" s="4">
        <v>3.6</v>
      </c>
      <c r="R387" s="7" t="b">
        <v>0</v>
      </c>
      <c r="S387" s="7" t="s">
        <v>30</v>
      </c>
      <c r="T387" s="5">
        <v>242</v>
      </c>
      <c r="U387" s="7" t="s">
        <v>76</v>
      </c>
      <c r="V387" t="s">
        <v>79</v>
      </c>
      <c r="W387" s="7" t="s">
        <v>60</v>
      </c>
    </row>
    <row r="388" spans="1:23" x14ac:dyDescent="0.3">
      <c r="A388" s="6">
        <v>8033</v>
      </c>
      <c r="B388" s="7" t="s">
        <v>379</v>
      </c>
      <c r="C388" t="s">
        <v>464</v>
      </c>
      <c r="D388" t="s">
        <v>105</v>
      </c>
      <c r="E388" s="8">
        <v>15.99</v>
      </c>
      <c r="F388" s="6">
        <v>23</v>
      </c>
      <c r="G388" s="7" t="s">
        <v>100</v>
      </c>
      <c r="H388" s="6">
        <v>1</v>
      </c>
      <c r="I388" s="6">
        <v>1</v>
      </c>
      <c r="J388" s="7" t="b">
        <v>0</v>
      </c>
      <c r="K388" s="6">
        <v>585</v>
      </c>
      <c r="L388" s="6">
        <v>97</v>
      </c>
      <c r="M388" s="7" t="s">
        <v>68</v>
      </c>
      <c r="N388" s="7" t="s">
        <v>44</v>
      </c>
      <c r="O388" s="7" t="s">
        <v>29</v>
      </c>
      <c r="P388" s="5">
        <v>23</v>
      </c>
      <c r="Q388" s="4">
        <v>3.4</v>
      </c>
      <c r="R388" s="7" t="b">
        <v>1</v>
      </c>
      <c r="S388" s="7" t="s">
        <v>30</v>
      </c>
      <c r="T388" s="5">
        <v>4531</v>
      </c>
      <c r="U388" s="7" t="s">
        <v>76</v>
      </c>
      <c r="V388" t="s">
        <v>39</v>
      </c>
      <c r="W388" s="7" t="s">
        <v>40</v>
      </c>
    </row>
    <row r="389" spans="1:23" x14ac:dyDescent="0.3">
      <c r="A389" s="6">
        <v>6603</v>
      </c>
      <c r="B389" s="7" t="s">
        <v>280</v>
      </c>
      <c r="C389" t="s">
        <v>121</v>
      </c>
      <c r="D389" s="1">
        <v>45485</v>
      </c>
      <c r="E389" s="8">
        <v>11.99</v>
      </c>
      <c r="F389" s="6">
        <v>200</v>
      </c>
      <c r="G389" s="7" t="s">
        <v>100</v>
      </c>
      <c r="H389" s="6">
        <v>4</v>
      </c>
      <c r="I389" s="6">
        <v>5</v>
      </c>
      <c r="J389" s="7" t="b">
        <v>0</v>
      </c>
      <c r="K389" s="6">
        <v>65</v>
      </c>
      <c r="L389" s="6">
        <v>11</v>
      </c>
      <c r="M389" s="7" t="s">
        <v>68</v>
      </c>
      <c r="N389" s="7" t="s">
        <v>75</v>
      </c>
      <c r="O389" s="7" t="s">
        <v>78</v>
      </c>
      <c r="P389" s="5">
        <v>30</v>
      </c>
      <c r="Q389" s="4">
        <v>3.2</v>
      </c>
      <c r="R389" s="7" t="b">
        <v>1</v>
      </c>
      <c r="S389" s="7" t="s">
        <v>30</v>
      </c>
      <c r="T389" s="5">
        <v>959</v>
      </c>
      <c r="U389" s="7" t="s">
        <v>38</v>
      </c>
      <c r="V389" t="s">
        <v>39</v>
      </c>
      <c r="W389" s="7" t="s">
        <v>93</v>
      </c>
    </row>
    <row r="390" spans="1:23" x14ac:dyDescent="0.3">
      <c r="A390" s="6">
        <v>9630</v>
      </c>
      <c r="B390" s="7" t="s">
        <v>101</v>
      </c>
      <c r="C390" s="1">
        <v>44932</v>
      </c>
      <c r="D390" t="s">
        <v>214</v>
      </c>
      <c r="E390" s="8">
        <v>7.99</v>
      </c>
      <c r="F390" s="6">
        <v>264</v>
      </c>
      <c r="G390" s="7" t="s">
        <v>36</v>
      </c>
      <c r="H390" s="6">
        <v>5</v>
      </c>
      <c r="I390" s="6">
        <v>6</v>
      </c>
      <c r="J390" s="7" t="b">
        <v>0</v>
      </c>
      <c r="K390" s="6">
        <v>367</v>
      </c>
      <c r="L390" s="6">
        <v>163</v>
      </c>
      <c r="M390" s="7" t="s">
        <v>74</v>
      </c>
      <c r="N390" s="7" t="s">
        <v>75</v>
      </c>
      <c r="O390" s="7" t="s">
        <v>78</v>
      </c>
      <c r="P390" s="5">
        <v>88</v>
      </c>
      <c r="Q390" s="4">
        <v>3.5</v>
      </c>
      <c r="R390" s="7" t="b">
        <v>1</v>
      </c>
      <c r="S390" s="7" t="s">
        <v>30</v>
      </c>
      <c r="T390" s="5">
        <v>2156</v>
      </c>
      <c r="U390" s="7" t="s">
        <v>65</v>
      </c>
      <c r="V390" t="s">
        <v>69</v>
      </c>
      <c r="W390" s="7" t="s">
        <v>33</v>
      </c>
    </row>
    <row r="391" spans="1:23" x14ac:dyDescent="0.3">
      <c r="A391" s="6">
        <v>1691</v>
      </c>
      <c r="B391" s="7" t="s">
        <v>147</v>
      </c>
      <c r="C391" s="1">
        <v>45025</v>
      </c>
      <c r="D391" s="1">
        <v>45485</v>
      </c>
      <c r="E391" s="8">
        <v>11.99</v>
      </c>
      <c r="F391" s="6">
        <v>309</v>
      </c>
      <c r="G391" s="7" t="s">
        <v>48</v>
      </c>
      <c r="H391" s="6">
        <v>4</v>
      </c>
      <c r="I391" s="6">
        <v>4</v>
      </c>
      <c r="J391" s="7" t="b">
        <v>0</v>
      </c>
      <c r="K391" s="6">
        <v>891</v>
      </c>
      <c r="L391" s="6">
        <v>93</v>
      </c>
      <c r="M391" s="7" t="s">
        <v>43</v>
      </c>
      <c r="N391" s="7" t="s">
        <v>75</v>
      </c>
      <c r="O391" s="7" t="s">
        <v>57</v>
      </c>
      <c r="P391" s="5">
        <v>65</v>
      </c>
      <c r="Q391" s="4">
        <v>4</v>
      </c>
      <c r="R391" s="7" t="b">
        <v>1</v>
      </c>
      <c r="S391" s="7" t="s">
        <v>30</v>
      </c>
      <c r="T391" s="5">
        <v>1442</v>
      </c>
      <c r="U391" s="7" t="s">
        <v>58</v>
      </c>
      <c r="V391" t="s">
        <v>79</v>
      </c>
      <c r="W391" s="7" t="s">
        <v>60</v>
      </c>
    </row>
    <row r="392" spans="1:23" x14ac:dyDescent="0.3">
      <c r="A392" s="6">
        <v>5590</v>
      </c>
      <c r="B392" s="7" t="s">
        <v>88</v>
      </c>
      <c r="C392" t="s">
        <v>465</v>
      </c>
      <c r="D392" t="s">
        <v>35</v>
      </c>
      <c r="E392" s="8">
        <v>7.99</v>
      </c>
      <c r="F392" s="6">
        <v>30</v>
      </c>
      <c r="G392" s="7" t="s">
        <v>51</v>
      </c>
      <c r="H392" s="6">
        <v>2</v>
      </c>
      <c r="I392" s="6">
        <v>6</v>
      </c>
      <c r="J392" s="7" t="b">
        <v>0</v>
      </c>
      <c r="K392" s="6">
        <v>468</v>
      </c>
      <c r="L392" s="6">
        <v>196</v>
      </c>
      <c r="M392" s="7" t="s">
        <v>49</v>
      </c>
      <c r="N392" s="7" t="s">
        <v>28</v>
      </c>
      <c r="O392" s="7" t="s">
        <v>29</v>
      </c>
      <c r="P392" s="5">
        <v>52</v>
      </c>
      <c r="Q392" s="4">
        <v>4.5</v>
      </c>
      <c r="R392" s="7" t="b">
        <v>0</v>
      </c>
      <c r="S392" s="7" t="s">
        <v>30</v>
      </c>
      <c r="T392" s="5">
        <v>4586</v>
      </c>
      <c r="U392" s="7" t="s">
        <v>31</v>
      </c>
      <c r="V392" t="s">
        <v>59</v>
      </c>
      <c r="W392" s="7" t="s">
        <v>93</v>
      </c>
    </row>
    <row r="393" spans="1:23" x14ac:dyDescent="0.3">
      <c r="A393" s="6">
        <v>8645</v>
      </c>
      <c r="B393" s="7" t="s">
        <v>257</v>
      </c>
      <c r="C393" t="s">
        <v>466</v>
      </c>
      <c r="D393" t="s">
        <v>168</v>
      </c>
      <c r="E393" s="8">
        <v>11.99</v>
      </c>
      <c r="F393" s="6">
        <v>289</v>
      </c>
      <c r="G393" s="7" t="s">
        <v>48</v>
      </c>
      <c r="H393" s="6">
        <v>4</v>
      </c>
      <c r="I393" s="6">
        <v>3</v>
      </c>
      <c r="J393" s="7" t="b">
        <v>1</v>
      </c>
      <c r="K393" s="6">
        <v>999</v>
      </c>
      <c r="L393" s="6">
        <v>22</v>
      </c>
      <c r="M393" s="7" t="s">
        <v>27</v>
      </c>
      <c r="N393" s="7" t="s">
        <v>28</v>
      </c>
      <c r="O393" s="7" t="s">
        <v>45</v>
      </c>
      <c r="P393" s="5">
        <v>50</v>
      </c>
      <c r="Q393" s="4">
        <v>4.3</v>
      </c>
      <c r="R393" s="7" t="b">
        <v>1</v>
      </c>
      <c r="S393" s="7" t="s">
        <v>30</v>
      </c>
      <c r="T393" s="5">
        <v>4170</v>
      </c>
      <c r="U393" s="7" t="s">
        <v>58</v>
      </c>
      <c r="V393" t="s">
        <v>79</v>
      </c>
      <c r="W393" s="7" t="s">
        <v>33</v>
      </c>
    </row>
    <row r="394" spans="1:23" x14ac:dyDescent="0.3">
      <c r="A394" s="6">
        <v>7663</v>
      </c>
      <c r="B394" s="7" t="s">
        <v>179</v>
      </c>
      <c r="C394" s="1">
        <v>45417</v>
      </c>
      <c r="D394" t="s">
        <v>105</v>
      </c>
      <c r="E394" s="8">
        <v>7.99</v>
      </c>
      <c r="F394" s="6">
        <v>432</v>
      </c>
      <c r="G394" s="7" t="s">
        <v>51</v>
      </c>
      <c r="H394" s="6">
        <v>5</v>
      </c>
      <c r="I394" s="6">
        <v>4</v>
      </c>
      <c r="J394" s="7" t="b">
        <v>1</v>
      </c>
      <c r="K394" s="6">
        <v>263</v>
      </c>
      <c r="L394" s="6">
        <v>55</v>
      </c>
      <c r="M394" s="7" t="s">
        <v>92</v>
      </c>
      <c r="N394" s="7" t="s">
        <v>56</v>
      </c>
      <c r="O394" s="7" t="s">
        <v>64</v>
      </c>
      <c r="P394" s="5">
        <v>22</v>
      </c>
      <c r="Q394" s="4">
        <v>3.5</v>
      </c>
      <c r="R394" s="7" t="b">
        <v>1</v>
      </c>
      <c r="S394" s="7" t="s">
        <v>30</v>
      </c>
      <c r="T394" s="5">
        <v>1294</v>
      </c>
      <c r="U394" s="7" t="s">
        <v>38</v>
      </c>
      <c r="V394" t="s">
        <v>69</v>
      </c>
      <c r="W394" s="7" t="s">
        <v>60</v>
      </c>
    </row>
    <row r="395" spans="1:23" x14ac:dyDescent="0.3">
      <c r="A395" s="6">
        <v>2647</v>
      </c>
      <c r="B395" s="7" t="s">
        <v>224</v>
      </c>
      <c r="C395" t="s">
        <v>467</v>
      </c>
      <c r="D395" t="s">
        <v>72</v>
      </c>
      <c r="E395" s="8">
        <v>7.99</v>
      </c>
      <c r="F395" s="6">
        <v>393</v>
      </c>
      <c r="G395" s="7" t="s">
        <v>63</v>
      </c>
      <c r="H395" s="6">
        <v>4</v>
      </c>
      <c r="I395" s="6">
        <v>2</v>
      </c>
      <c r="J395" s="7" t="b">
        <v>1</v>
      </c>
      <c r="K395" s="6">
        <v>487</v>
      </c>
      <c r="L395" s="6">
        <v>105</v>
      </c>
      <c r="M395" s="7" t="s">
        <v>43</v>
      </c>
      <c r="N395" s="7" t="s">
        <v>28</v>
      </c>
      <c r="O395" s="7" t="s">
        <v>78</v>
      </c>
      <c r="P395" s="5">
        <v>99</v>
      </c>
      <c r="Q395" s="4">
        <v>3.4</v>
      </c>
      <c r="R395" s="7" t="b">
        <v>0</v>
      </c>
      <c r="S395" s="7" t="s">
        <v>30</v>
      </c>
      <c r="T395" s="5">
        <v>2460</v>
      </c>
      <c r="U395" s="7" t="s">
        <v>76</v>
      </c>
      <c r="V395" t="s">
        <v>32</v>
      </c>
      <c r="W395" s="7" t="s">
        <v>60</v>
      </c>
    </row>
    <row r="396" spans="1:23" x14ac:dyDescent="0.3">
      <c r="A396" s="6">
        <v>6539</v>
      </c>
      <c r="B396" s="7" t="s">
        <v>201</v>
      </c>
      <c r="C396" t="s">
        <v>468</v>
      </c>
      <c r="D396" s="1">
        <v>45303</v>
      </c>
      <c r="E396" s="8">
        <v>11.99</v>
      </c>
      <c r="F396" s="6">
        <v>203</v>
      </c>
      <c r="G396" s="7" t="s">
        <v>63</v>
      </c>
      <c r="H396" s="6">
        <v>1</v>
      </c>
      <c r="I396" s="6">
        <v>3</v>
      </c>
      <c r="J396" s="7" t="b">
        <v>0</v>
      </c>
      <c r="K396" s="6">
        <v>961</v>
      </c>
      <c r="L396" s="6">
        <v>41</v>
      </c>
      <c r="M396" s="7" t="s">
        <v>68</v>
      </c>
      <c r="N396" s="7" t="s">
        <v>44</v>
      </c>
      <c r="O396" s="7" t="s">
        <v>37</v>
      </c>
      <c r="P396" s="5">
        <v>76</v>
      </c>
      <c r="Q396" s="4">
        <v>4.2</v>
      </c>
      <c r="R396" s="7" t="b">
        <v>1</v>
      </c>
      <c r="S396" s="7" t="s">
        <v>30</v>
      </c>
      <c r="T396" s="5">
        <v>3276</v>
      </c>
      <c r="U396" s="7" t="s">
        <v>58</v>
      </c>
      <c r="V396" t="s">
        <v>79</v>
      </c>
      <c r="W396" s="7" t="s">
        <v>33</v>
      </c>
    </row>
    <row r="397" spans="1:23" x14ac:dyDescent="0.3">
      <c r="A397" s="6">
        <v>3472</v>
      </c>
      <c r="B397" s="7" t="s">
        <v>153</v>
      </c>
      <c r="C397" t="s">
        <v>469</v>
      </c>
      <c r="D397" t="s">
        <v>109</v>
      </c>
      <c r="E397" s="8">
        <v>7.99</v>
      </c>
      <c r="F397" s="6">
        <v>43</v>
      </c>
      <c r="G397" s="7" t="s">
        <v>73</v>
      </c>
      <c r="H397" s="6">
        <v>4</v>
      </c>
      <c r="I397" s="6">
        <v>1</v>
      </c>
      <c r="J397" s="7" t="b">
        <v>0</v>
      </c>
      <c r="K397" s="6">
        <v>973</v>
      </c>
      <c r="L397" s="6">
        <v>7</v>
      </c>
      <c r="M397" s="7" t="s">
        <v>49</v>
      </c>
      <c r="N397" s="7" t="s">
        <v>56</v>
      </c>
      <c r="O397" s="7" t="s">
        <v>29</v>
      </c>
      <c r="P397" s="5">
        <v>76</v>
      </c>
      <c r="Q397" s="4">
        <v>4.0999999999999996</v>
      </c>
      <c r="R397" s="7" t="b">
        <v>1</v>
      </c>
      <c r="S397" s="7" t="s">
        <v>30</v>
      </c>
      <c r="T397" s="5">
        <v>941</v>
      </c>
      <c r="U397" s="7" t="s">
        <v>31</v>
      </c>
      <c r="V397" t="s">
        <v>79</v>
      </c>
      <c r="W397" s="7" t="s">
        <v>60</v>
      </c>
    </row>
    <row r="398" spans="1:23" x14ac:dyDescent="0.3">
      <c r="A398" s="6">
        <v>4314</v>
      </c>
      <c r="B398" s="7" t="s">
        <v>373</v>
      </c>
      <c r="C398" s="1">
        <v>45206</v>
      </c>
      <c r="D398" t="s">
        <v>35</v>
      </c>
      <c r="E398" s="8">
        <v>7.99</v>
      </c>
      <c r="F398" s="6">
        <v>311</v>
      </c>
      <c r="G398" s="7" t="s">
        <v>100</v>
      </c>
      <c r="H398" s="6">
        <v>3</v>
      </c>
      <c r="I398" s="6">
        <v>5</v>
      </c>
      <c r="J398" s="7" t="b">
        <v>1</v>
      </c>
      <c r="K398" s="6">
        <v>724</v>
      </c>
      <c r="L398" s="6">
        <v>191</v>
      </c>
      <c r="M398" s="7" t="s">
        <v>27</v>
      </c>
      <c r="N398" s="7" t="s">
        <v>28</v>
      </c>
      <c r="O398" s="7" t="s">
        <v>29</v>
      </c>
      <c r="P398" s="5">
        <v>55</v>
      </c>
      <c r="Q398" s="4">
        <v>4.7</v>
      </c>
      <c r="R398" s="7" t="b">
        <v>1</v>
      </c>
      <c r="S398" s="7" t="s">
        <v>30</v>
      </c>
      <c r="T398" s="5">
        <v>4062</v>
      </c>
      <c r="U398" s="7" t="s">
        <v>58</v>
      </c>
      <c r="V398" t="s">
        <v>32</v>
      </c>
      <c r="W398" s="7" t="s">
        <v>60</v>
      </c>
    </row>
    <row r="399" spans="1:23" x14ac:dyDescent="0.3">
      <c r="A399" s="6">
        <v>6739</v>
      </c>
      <c r="B399" s="7" t="s">
        <v>357</v>
      </c>
      <c r="C399" t="s">
        <v>470</v>
      </c>
      <c r="D399" s="1">
        <v>45303</v>
      </c>
      <c r="E399" s="8">
        <v>11.99</v>
      </c>
      <c r="F399" s="6">
        <v>23</v>
      </c>
      <c r="G399" s="7" t="s">
        <v>51</v>
      </c>
      <c r="H399" s="6">
        <v>5</v>
      </c>
      <c r="I399" s="6">
        <v>3</v>
      </c>
      <c r="J399" s="7" t="b">
        <v>0</v>
      </c>
      <c r="K399" s="6">
        <v>725</v>
      </c>
      <c r="L399" s="6">
        <v>168</v>
      </c>
      <c r="M399" s="7" t="s">
        <v>27</v>
      </c>
      <c r="N399" s="7" t="s">
        <v>44</v>
      </c>
      <c r="O399" s="7" t="s">
        <v>29</v>
      </c>
      <c r="P399" s="5">
        <v>25</v>
      </c>
      <c r="Q399" s="4">
        <v>3.6</v>
      </c>
      <c r="R399" s="7" t="b">
        <v>1</v>
      </c>
      <c r="S399" s="7" t="s">
        <v>30</v>
      </c>
      <c r="T399" s="5">
        <v>4322</v>
      </c>
      <c r="U399" s="7" t="s">
        <v>65</v>
      </c>
      <c r="V399" t="s">
        <v>59</v>
      </c>
      <c r="W399" s="7" t="s">
        <v>33</v>
      </c>
    </row>
    <row r="400" spans="1:23" x14ac:dyDescent="0.3">
      <c r="A400" s="6">
        <v>6368</v>
      </c>
      <c r="B400" s="7" t="s">
        <v>41</v>
      </c>
      <c r="C400" t="s">
        <v>471</v>
      </c>
      <c r="D400" t="s">
        <v>42</v>
      </c>
      <c r="E400" s="8">
        <v>11.99</v>
      </c>
      <c r="F400" s="6">
        <v>370</v>
      </c>
      <c r="G400" s="7" t="s">
        <v>73</v>
      </c>
      <c r="H400" s="6">
        <v>3</v>
      </c>
      <c r="I400" s="6">
        <v>4</v>
      </c>
      <c r="J400" s="7" t="b">
        <v>1</v>
      </c>
      <c r="K400" s="6">
        <v>973</v>
      </c>
      <c r="L400" s="6">
        <v>152</v>
      </c>
      <c r="M400" s="7" t="s">
        <v>43</v>
      </c>
      <c r="N400" s="7" t="s">
        <v>56</v>
      </c>
      <c r="O400" s="7" t="s">
        <v>29</v>
      </c>
      <c r="P400" s="5">
        <v>98</v>
      </c>
      <c r="Q400" s="4">
        <v>3.1</v>
      </c>
      <c r="R400" s="7" t="b">
        <v>1</v>
      </c>
      <c r="S400" s="7" t="s">
        <v>30</v>
      </c>
      <c r="T400" s="5">
        <v>1456</v>
      </c>
      <c r="U400" s="7" t="s">
        <v>76</v>
      </c>
      <c r="V400" t="s">
        <v>69</v>
      </c>
      <c r="W400" s="7" t="s">
        <v>93</v>
      </c>
    </row>
    <row r="401" spans="1:23" x14ac:dyDescent="0.3">
      <c r="A401" s="6">
        <v>7309</v>
      </c>
      <c r="B401" s="7" t="s">
        <v>176</v>
      </c>
      <c r="C401" t="s">
        <v>472</v>
      </c>
      <c r="D401" t="s">
        <v>54</v>
      </c>
      <c r="E401" s="8">
        <v>15.99</v>
      </c>
      <c r="F401" s="6">
        <v>343</v>
      </c>
      <c r="G401" s="7" t="s">
        <v>51</v>
      </c>
      <c r="H401" s="6">
        <v>2</v>
      </c>
      <c r="I401" s="6">
        <v>2</v>
      </c>
      <c r="J401" s="7" t="b">
        <v>0</v>
      </c>
      <c r="K401" s="6">
        <v>830</v>
      </c>
      <c r="L401" s="6">
        <v>172</v>
      </c>
      <c r="M401" s="7" t="s">
        <v>43</v>
      </c>
      <c r="N401" s="7" t="s">
        <v>56</v>
      </c>
      <c r="O401" s="7" t="s">
        <v>37</v>
      </c>
      <c r="P401" s="5">
        <v>99</v>
      </c>
      <c r="Q401" s="4">
        <v>4.9000000000000004</v>
      </c>
      <c r="R401" s="7" t="b">
        <v>0</v>
      </c>
      <c r="S401" s="7" t="s">
        <v>30</v>
      </c>
      <c r="T401" s="5">
        <v>1281</v>
      </c>
      <c r="U401" s="7" t="s">
        <v>58</v>
      </c>
      <c r="V401" t="s">
        <v>69</v>
      </c>
      <c r="W401" s="7" t="s">
        <v>60</v>
      </c>
    </row>
    <row r="402" spans="1:23" x14ac:dyDescent="0.3">
      <c r="A402" s="6">
        <v>3976</v>
      </c>
      <c r="B402" s="7" t="s">
        <v>297</v>
      </c>
      <c r="C402" s="1">
        <v>45118</v>
      </c>
      <c r="D402" s="1">
        <v>45363</v>
      </c>
      <c r="E402" s="8">
        <v>7.99</v>
      </c>
      <c r="F402" s="6">
        <v>391</v>
      </c>
      <c r="G402" s="7" t="s">
        <v>48</v>
      </c>
      <c r="H402" s="6">
        <v>4</v>
      </c>
      <c r="I402" s="6">
        <v>6</v>
      </c>
      <c r="J402" s="7" t="b">
        <v>0</v>
      </c>
      <c r="K402" s="6">
        <v>726</v>
      </c>
      <c r="L402" s="6">
        <v>176</v>
      </c>
      <c r="M402" s="7" t="s">
        <v>43</v>
      </c>
      <c r="N402" s="7" t="s">
        <v>44</v>
      </c>
      <c r="O402" s="7" t="s">
        <v>78</v>
      </c>
      <c r="P402" s="5">
        <v>65</v>
      </c>
      <c r="Q402" s="4">
        <v>3.8</v>
      </c>
      <c r="R402" s="7" t="b">
        <v>0</v>
      </c>
      <c r="S402" s="7" t="s">
        <v>30</v>
      </c>
      <c r="T402" s="5">
        <v>1926</v>
      </c>
      <c r="U402" s="7" t="s">
        <v>65</v>
      </c>
      <c r="V402" t="s">
        <v>69</v>
      </c>
      <c r="W402" s="7" t="s">
        <v>93</v>
      </c>
    </row>
    <row r="403" spans="1:23" x14ac:dyDescent="0.3">
      <c r="A403" s="6">
        <v>7230</v>
      </c>
      <c r="B403" s="7" t="s">
        <v>473</v>
      </c>
      <c r="C403" t="s">
        <v>474</v>
      </c>
      <c r="D403" t="s">
        <v>25</v>
      </c>
      <c r="E403" s="8">
        <v>11.99</v>
      </c>
      <c r="F403" s="6">
        <v>405</v>
      </c>
      <c r="G403" s="7" t="s">
        <v>36</v>
      </c>
      <c r="H403" s="6">
        <v>3</v>
      </c>
      <c r="I403" s="6">
        <v>3</v>
      </c>
      <c r="J403" s="7" t="b">
        <v>0</v>
      </c>
      <c r="K403" s="6">
        <v>90</v>
      </c>
      <c r="L403" s="6">
        <v>151</v>
      </c>
      <c r="M403" s="7" t="s">
        <v>43</v>
      </c>
      <c r="N403" s="7" t="s">
        <v>44</v>
      </c>
      <c r="O403" s="7" t="s">
        <v>37</v>
      </c>
      <c r="P403" s="5">
        <v>64</v>
      </c>
      <c r="Q403" s="4">
        <v>4.0999999999999996</v>
      </c>
      <c r="R403" s="7" t="b">
        <v>0</v>
      </c>
      <c r="S403" s="7" t="s">
        <v>30</v>
      </c>
      <c r="T403" s="5">
        <v>1368</v>
      </c>
      <c r="U403" s="7" t="s">
        <v>58</v>
      </c>
      <c r="V403" t="s">
        <v>32</v>
      </c>
      <c r="W403" s="7" t="s">
        <v>33</v>
      </c>
    </row>
    <row r="404" spans="1:23" x14ac:dyDescent="0.3">
      <c r="A404" s="6">
        <v>8888</v>
      </c>
      <c r="B404" s="7" t="s">
        <v>344</v>
      </c>
      <c r="C404" t="s">
        <v>475</v>
      </c>
      <c r="D404" t="s">
        <v>25</v>
      </c>
      <c r="E404" s="8">
        <v>15.99</v>
      </c>
      <c r="F404" s="6">
        <v>14</v>
      </c>
      <c r="G404" s="7" t="s">
        <v>63</v>
      </c>
      <c r="H404" s="6">
        <v>5</v>
      </c>
      <c r="I404" s="6">
        <v>1</v>
      </c>
      <c r="J404" s="7" t="b">
        <v>0</v>
      </c>
      <c r="K404" s="6">
        <v>617</v>
      </c>
      <c r="L404" s="6">
        <v>128</v>
      </c>
      <c r="M404" s="7" t="s">
        <v>55</v>
      </c>
      <c r="N404" s="7" t="s">
        <v>44</v>
      </c>
      <c r="O404" s="7" t="s">
        <v>78</v>
      </c>
      <c r="P404" s="5">
        <v>31</v>
      </c>
      <c r="Q404" s="4">
        <v>3.5</v>
      </c>
      <c r="R404" s="7" t="b">
        <v>0</v>
      </c>
      <c r="S404" s="7" t="s">
        <v>30</v>
      </c>
      <c r="T404" s="5">
        <v>571</v>
      </c>
      <c r="U404" s="7" t="s">
        <v>31</v>
      </c>
      <c r="V404" t="s">
        <v>32</v>
      </c>
      <c r="W404" s="7" t="s">
        <v>40</v>
      </c>
    </row>
    <row r="405" spans="1:23" x14ac:dyDescent="0.3">
      <c r="A405" s="6">
        <v>1194</v>
      </c>
      <c r="B405" s="7" t="s">
        <v>357</v>
      </c>
      <c r="C405" t="s">
        <v>203</v>
      </c>
      <c r="D405" s="1">
        <v>45334</v>
      </c>
      <c r="E405" s="8">
        <v>7.99</v>
      </c>
      <c r="F405" s="6">
        <v>11</v>
      </c>
      <c r="G405" s="7" t="s">
        <v>63</v>
      </c>
      <c r="H405" s="6">
        <v>4</v>
      </c>
      <c r="I405" s="6">
        <v>6</v>
      </c>
      <c r="J405" s="7" t="b">
        <v>0</v>
      </c>
      <c r="K405" s="6">
        <v>246</v>
      </c>
      <c r="L405" s="6">
        <v>96</v>
      </c>
      <c r="M405" s="7" t="s">
        <v>92</v>
      </c>
      <c r="N405" s="7" t="s">
        <v>28</v>
      </c>
      <c r="O405" s="7" t="s">
        <v>57</v>
      </c>
      <c r="P405" s="5">
        <v>56</v>
      </c>
      <c r="Q405" s="4">
        <v>4.5999999999999996</v>
      </c>
      <c r="R405" s="7" t="b">
        <v>1</v>
      </c>
      <c r="S405" s="7" t="s">
        <v>30</v>
      </c>
      <c r="T405" s="5">
        <v>3807</v>
      </c>
      <c r="U405" s="7" t="s">
        <v>65</v>
      </c>
      <c r="V405" t="s">
        <v>79</v>
      </c>
      <c r="W405" s="7" t="s">
        <v>60</v>
      </c>
    </row>
    <row r="406" spans="1:23" x14ac:dyDescent="0.3">
      <c r="A406" s="6">
        <v>6983</v>
      </c>
      <c r="B406" s="7" t="s">
        <v>88</v>
      </c>
      <c r="C406" t="s">
        <v>476</v>
      </c>
      <c r="D406" s="1">
        <v>45485</v>
      </c>
      <c r="E406" s="8">
        <v>11.99</v>
      </c>
      <c r="F406" s="6">
        <v>335</v>
      </c>
      <c r="G406" s="7" t="s">
        <v>48</v>
      </c>
      <c r="H406" s="6">
        <v>1</v>
      </c>
      <c r="I406" s="6">
        <v>2</v>
      </c>
      <c r="J406" s="7" t="b">
        <v>1</v>
      </c>
      <c r="K406" s="6">
        <v>484</v>
      </c>
      <c r="L406" s="6">
        <v>54</v>
      </c>
      <c r="M406" s="7" t="s">
        <v>49</v>
      </c>
      <c r="N406" s="7" t="s">
        <v>28</v>
      </c>
      <c r="O406" s="7" t="s">
        <v>78</v>
      </c>
      <c r="P406" s="5">
        <v>51</v>
      </c>
      <c r="Q406" s="4">
        <v>4</v>
      </c>
      <c r="R406" s="7" t="b">
        <v>1</v>
      </c>
      <c r="S406" s="7" t="s">
        <v>30</v>
      </c>
      <c r="T406" s="5">
        <v>3424</v>
      </c>
      <c r="U406" s="7" t="s">
        <v>31</v>
      </c>
      <c r="V406" t="s">
        <v>69</v>
      </c>
      <c r="W406" s="7" t="s">
        <v>40</v>
      </c>
    </row>
    <row r="407" spans="1:23" x14ac:dyDescent="0.3">
      <c r="A407" s="6">
        <v>1413</v>
      </c>
      <c r="B407" s="7" t="s">
        <v>98</v>
      </c>
      <c r="C407" t="s">
        <v>477</v>
      </c>
      <c r="D407" t="s">
        <v>90</v>
      </c>
      <c r="E407" s="8">
        <v>11.99</v>
      </c>
      <c r="F407" s="6">
        <v>408</v>
      </c>
      <c r="G407" s="7" t="s">
        <v>48</v>
      </c>
      <c r="H407" s="6">
        <v>3</v>
      </c>
      <c r="I407" s="6">
        <v>5</v>
      </c>
      <c r="J407" s="7" t="b">
        <v>1</v>
      </c>
      <c r="K407" s="6">
        <v>418</v>
      </c>
      <c r="L407" s="6">
        <v>198</v>
      </c>
      <c r="M407" s="7" t="s">
        <v>27</v>
      </c>
      <c r="N407" s="7" t="s">
        <v>28</v>
      </c>
      <c r="O407" s="7" t="s">
        <v>57</v>
      </c>
      <c r="P407" s="5">
        <v>0</v>
      </c>
      <c r="Q407" s="4">
        <v>3</v>
      </c>
      <c r="R407" s="7" t="b">
        <v>0</v>
      </c>
      <c r="S407" s="7" t="s">
        <v>30</v>
      </c>
      <c r="T407" s="5">
        <v>1428</v>
      </c>
      <c r="U407" s="7" t="s">
        <v>31</v>
      </c>
      <c r="V407" t="s">
        <v>59</v>
      </c>
      <c r="W407" s="7" t="s">
        <v>93</v>
      </c>
    </row>
    <row r="408" spans="1:23" x14ac:dyDescent="0.3">
      <c r="A408" s="6">
        <v>9509</v>
      </c>
      <c r="B408" s="7" t="s">
        <v>232</v>
      </c>
      <c r="C408" t="s">
        <v>407</v>
      </c>
      <c r="D408" t="s">
        <v>214</v>
      </c>
      <c r="E408" s="8">
        <v>11.99</v>
      </c>
      <c r="F408" s="6">
        <v>302</v>
      </c>
      <c r="G408" s="7" t="s">
        <v>26</v>
      </c>
      <c r="H408" s="6">
        <v>2</v>
      </c>
      <c r="I408" s="6">
        <v>2</v>
      </c>
      <c r="J408" s="7" t="b">
        <v>0</v>
      </c>
      <c r="K408" s="6">
        <v>431</v>
      </c>
      <c r="L408" s="6">
        <v>116</v>
      </c>
      <c r="M408" s="7" t="s">
        <v>55</v>
      </c>
      <c r="N408" s="7" t="s">
        <v>44</v>
      </c>
      <c r="O408" s="7" t="s">
        <v>78</v>
      </c>
      <c r="P408" s="5">
        <v>15</v>
      </c>
      <c r="Q408" s="4">
        <v>3.9</v>
      </c>
      <c r="R408" s="7" t="b">
        <v>1</v>
      </c>
      <c r="S408" s="7" t="s">
        <v>30</v>
      </c>
      <c r="T408" s="5">
        <v>2387</v>
      </c>
      <c r="U408" s="7" t="s">
        <v>58</v>
      </c>
      <c r="V408" t="s">
        <v>69</v>
      </c>
      <c r="W408" s="7" t="s">
        <v>60</v>
      </c>
    </row>
    <row r="409" spans="1:23" x14ac:dyDescent="0.3">
      <c r="A409" s="6">
        <v>6330</v>
      </c>
      <c r="B409" s="7" t="s">
        <v>478</v>
      </c>
      <c r="C409" t="s">
        <v>479</v>
      </c>
      <c r="D409" s="1">
        <v>45394</v>
      </c>
      <c r="E409" s="8">
        <v>7.99</v>
      </c>
      <c r="F409" s="6">
        <v>329</v>
      </c>
      <c r="G409" s="7" t="s">
        <v>48</v>
      </c>
      <c r="H409" s="6">
        <v>4</v>
      </c>
      <c r="I409" s="6">
        <v>1</v>
      </c>
      <c r="J409" s="7" t="b">
        <v>1</v>
      </c>
      <c r="K409" s="6">
        <v>973</v>
      </c>
      <c r="L409" s="6">
        <v>163</v>
      </c>
      <c r="M409" s="7" t="s">
        <v>27</v>
      </c>
      <c r="N409" s="7" t="s">
        <v>75</v>
      </c>
      <c r="O409" s="7" t="s">
        <v>64</v>
      </c>
      <c r="P409" s="5">
        <v>78</v>
      </c>
      <c r="Q409" s="4">
        <v>4.2</v>
      </c>
      <c r="R409" s="7" t="b">
        <v>1</v>
      </c>
      <c r="S409" s="7" t="s">
        <v>30</v>
      </c>
      <c r="T409" s="5">
        <v>218</v>
      </c>
      <c r="U409" s="7" t="s">
        <v>76</v>
      </c>
      <c r="V409" t="s">
        <v>59</v>
      </c>
      <c r="W409" s="7" t="s">
        <v>40</v>
      </c>
    </row>
    <row r="410" spans="1:23" x14ac:dyDescent="0.3">
      <c r="A410" s="6">
        <v>2504</v>
      </c>
      <c r="B410" s="7" t="s">
        <v>480</v>
      </c>
      <c r="C410" t="s">
        <v>481</v>
      </c>
      <c r="D410" t="s">
        <v>35</v>
      </c>
      <c r="E410" s="8">
        <v>11.99</v>
      </c>
      <c r="F410" s="6">
        <v>328</v>
      </c>
      <c r="G410" s="7" t="s">
        <v>73</v>
      </c>
      <c r="H410" s="6">
        <v>4</v>
      </c>
      <c r="I410" s="6">
        <v>6</v>
      </c>
      <c r="J410" s="7" t="b">
        <v>1</v>
      </c>
      <c r="K410" s="6">
        <v>858</v>
      </c>
      <c r="L410" s="6">
        <v>159</v>
      </c>
      <c r="M410" s="7" t="s">
        <v>49</v>
      </c>
      <c r="N410" s="7" t="s">
        <v>28</v>
      </c>
      <c r="O410" s="7" t="s">
        <v>37</v>
      </c>
      <c r="P410" s="5">
        <v>75</v>
      </c>
      <c r="Q410" s="4">
        <v>4.5999999999999996</v>
      </c>
      <c r="R410" s="7" t="b">
        <v>1</v>
      </c>
      <c r="S410" s="7" t="s">
        <v>30</v>
      </c>
      <c r="T410" s="5">
        <v>68</v>
      </c>
      <c r="U410" s="7" t="s">
        <v>31</v>
      </c>
      <c r="V410" t="s">
        <v>69</v>
      </c>
      <c r="W410" s="7" t="s">
        <v>93</v>
      </c>
    </row>
    <row r="411" spans="1:23" x14ac:dyDescent="0.3">
      <c r="A411" s="6">
        <v>6593</v>
      </c>
      <c r="B411" s="7" t="s">
        <v>357</v>
      </c>
      <c r="C411" t="s">
        <v>327</v>
      </c>
      <c r="D411" s="1">
        <v>45485</v>
      </c>
      <c r="E411" s="8">
        <v>11.99</v>
      </c>
      <c r="F411" s="6">
        <v>353</v>
      </c>
      <c r="G411" s="7" t="s">
        <v>36</v>
      </c>
      <c r="H411" s="6">
        <v>3</v>
      </c>
      <c r="I411" s="6">
        <v>6</v>
      </c>
      <c r="J411" s="7" t="b">
        <v>0</v>
      </c>
      <c r="K411" s="6">
        <v>637</v>
      </c>
      <c r="L411" s="6">
        <v>160</v>
      </c>
      <c r="M411" s="7" t="s">
        <v>49</v>
      </c>
      <c r="N411" s="7" t="s">
        <v>44</v>
      </c>
      <c r="O411" s="7" t="s">
        <v>64</v>
      </c>
      <c r="P411" s="5">
        <v>67</v>
      </c>
      <c r="Q411" s="4">
        <v>5</v>
      </c>
      <c r="R411" s="7" t="b">
        <v>1</v>
      </c>
      <c r="S411" s="7" t="s">
        <v>30</v>
      </c>
      <c r="T411" s="5">
        <v>2749</v>
      </c>
      <c r="U411" s="7" t="s">
        <v>38</v>
      </c>
      <c r="V411" t="s">
        <v>69</v>
      </c>
      <c r="W411" s="7" t="s">
        <v>33</v>
      </c>
    </row>
    <row r="412" spans="1:23" x14ac:dyDescent="0.3">
      <c r="A412" s="6">
        <v>9537</v>
      </c>
      <c r="B412" s="7" t="s">
        <v>357</v>
      </c>
      <c r="C412" t="s">
        <v>305</v>
      </c>
      <c r="D412" t="s">
        <v>84</v>
      </c>
      <c r="E412" s="8">
        <v>11.99</v>
      </c>
      <c r="F412" s="6">
        <v>386</v>
      </c>
      <c r="G412" s="7" t="s">
        <v>73</v>
      </c>
      <c r="H412" s="6">
        <v>3</v>
      </c>
      <c r="I412" s="6">
        <v>3</v>
      </c>
      <c r="J412" s="7" t="b">
        <v>0</v>
      </c>
      <c r="K412" s="6">
        <v>693</v>
      </c>
      <c r="L412" s="6">
        <v>61</v>
      </c>
      <c r="M412" s="7" t="s">
        <v>49</v>
      </c>
      <c r="N412" s="7" t="s">
        <v>75</v>
      </c>
      <c r="O412" s="7" t="s">
        <v>29</v>
      </c>
      <c r="P412" s="5">
        <v>48</v>
      </c>
      <c r="Q412" s="4">
        <v>3.8</v>
      </c>
      <c r="R412" s="7" t="b">
        <v>0</v>
      </c>
      <c r="S412" s="7" t="s">
        <v>30</v>
      </c>
      <c r="T412" s="5">
        <v>4942</v>
      </c>
      <c r="U412" s="7" t="s">
        <v>58</v>
      </c>
      <c r="V412" t="s">
        <v>32</v>
      </c>
      <c r="W412" s="7" t="s">
        <v>93</v>
      </c>
    </row>
    <row r="413" spans="1:23" x14ac:dyDescent="0.3">
      <c r="A413" s="6">
        <v>9628</v>
      </c>
      <c r="B413" s="7" t="s">
        <v>211</v>
      </c>
      <c r="C413" t="s">
        <v>482</v>
      </c>
      <c r="D413" s="1">
        <v>45608</v>
      </c>
      <c r="E413" s="8">
        <v>7.99</v>
      </c>
      <c r="F413" s="6">
        <v>401</v>
      </c>
      <c r="G413" s="7" t="s">
        <v>73</v>
      </c>
      <c r="H413" s="6">
        <v>5</v>
      </c>
      <c r="I413" s="6">
        <v>6</v>
      </c>
      <c r="J413" s="7" t="b">
        <v>0</v>
      </c>
      <c r="K413" s="6">
        <v>308</v>
      </c>
      <c r="L413" s="6">
        <v>103</v>
      </c>
      <c r="M413" s="7" t="s">
        <v>27</v>
      </c>
      <c r="N413" s="7" t="s">
        <v>56</v>
      </c>
      <c r="O413" s="7" t="s">
        <v>45</v>
      </c>
      <c r="P413" s="5">
        <v>98</v>
      </c>
      <c r="Q413" s="4">
        <v>3.1</v>
      </c>
      <c r="R413" s="7" t="b">
        <v>1</v>
      </c>
      <c r="S413" s="7" t="s">
        <v>30</v>
      </c>
      <c r="T413" s="5">
        <v>1813</v>
      </c>
      <c r="U413" s="7" t="s">
        <v>65</v>
      </c>
      <c r="V413" t="s">
        <v>32</v>
      </c>
      <c r="W413" s="7" t="s">
        <v>60</v>
      </c>
    </row>
    <row r="414" spans="1:23" x14ac:dyDescent="0.3">
      <c r="A414" s="6">
        <v>4024</v>
      </c>
      <c r="B414" s="7" t="s">
        <v>244</v>
      </c>
      <c r="C414" t="s">
        <v>483</v>
      </c>
      <c r="D414" s="1">
        <v>45485</v>
      </c>
      <c r="E414" s="8">
        <v>7.99</v>
      </c>
      <c r="F414" s="6">
        <v>286</v>
      </c>
      <c r="G414" s="7" t="s">
        <v>36</v>
      </c>
      <c r="H414" s="6">
        <v>3</v>
      </c>
      <c r="I414" s="6">
        <v>1</v>
      </c>
      <c r="J414" s="7" t="b">
        <v>0</v>
      </c>
      <c r="K414" s="6">
        <v>843</v>
      </c>
      <c r="L414" s="6">
        <v>26</v>
      </c>
      <c r="M414" s="7" t="s">
        <v>49</v>
      </c>
      <c r="N414" s="7" t="s">
        <v>28</v>
      </c>
      <c r="O414" s="7" t="s">
        <v>37</v>
      </c>
      <c r="P414" s="5">
        <v>11</v>
      </c>
      <c r="Q414" s="4">
        <v>3.5</v>
      </c>
      <c r="R414" s="7" t="b">
        <v>0</v>
      </c>
      <c r="S414" s="7" t="s">
        <v>30</v>
      </c>
      <c r="T414" s="5">
        <v>318</v>
      </c>
      <c r="U414" s="7" t="s">
        <v>76</v>
      </c>
      <c r="V414" t="s">
        <v>79</v>
      </c>
      <c r="W414" s="7" t="s">
        <v>60</v>
      </c>
    </row>
    <row r="415" spans="1:23" x14ac:dyDescent="0.3">
      <c r="A415" s="6">
        <v>5321</v>
      </c>
      <c r="B415" s="7" t="s">
        <v>304</v>
      </c>
      <c r="C415" t="s">
        <v>484</v>
      </c>
      <c r="D415" s="1">
        <v>45577</v>
      </c>
      <c r="E415" s="8">
        <v>7.99</v>
      </c>
      <c r="F415" s="6">
        <v>20</v>
      </c>
      <c r="G415" s="7" t="s">
        <v>100</v>
      </c>
      <c r="H415" s="6">
        <v>5</v>
      </c>
      <c r="I415" s="6">
        <v>2</v>
      </c>
      <c r="J415" s="7" t="b">
        <v>0</v>
      </c>
      <c r="K415" s="6">
        <v>895</v>
      </c>
      <c r="L415" s="6">
        <v>40</v>
      </c>
      <c r="M415" s="7" t="s">
        <v>43</v>
      </c>
      <c r="N415" s="7" t="s">
        <v>75</v>
      </c>
      <c r="O415" s="7" t="s">
        <v>64</v>
      </c>
      <c r="P415" s="5">
        <v>97</v>
      </c>
      <c r="Q415" s="4">
        <v>3.8</v>
      </c>
      <c r="R415" s="7" t="b">
        <v>0</v>
      </c>
      <c r="S415" s="7" t="s">
        <v>30</v>
      </c>
      <c r="T415" s="5">
        <v>4216</v>
      </c>
      <c r="U415" s="7" t="s">
        <v>38</v>
      </c>
      <c r="V415" t="s">
        <v>79</v>
      </c>
      <c r="W415" s="7" t="s">
        <v>93</v>
      </c>
    </row>
    <row r="416" spans="1:23" x14ac:dyDescent="0.3">
      <c r="A416" s="6">
        <v>3926</v>
      </c>
      <c r="B416" s="7" t="s">
        <v>485</v>
      </c>
      <c r="C416" t="s">
        <v>84</v>
      </c>
      <c r="D416" t="s">
        <v>87</v>
      </c>
      <c r="E416" s="8">
        <v>7.99</v>
      </c>
      <c r="F416" s="6">
        <v>167</v>
      </c>
      <c r="G416" s="7" t="s">
        <v>100</v>
      </c>
      <c r="H416" s="6">
        <v>3</v>
      </c>
      <c r="I416" s="6">
        <v>1</v>
      </c>
      <c r="J416" s="7" t="b">
        <v>1</v>
      </c>
      <c r="K416" s="6">
        <v>466</v>
      </c>
      <c r="L416" s="6">
        <v>69</v>
      </c>
      <c r="M416" s="7" t="s">
        <v>92</v>
      </c>
      <c r="N416" s="7" t="s">
        <v>75</v>
      </c>
      <c r="O416" s="7" t="s">
        <v>45</v>
      </c>
      <c r="P416" s="5">
        <v>86</v>
      </c>
      <c r="Q416" s="4">
        <v>4.3</v>
      </c>
      <c r="R416" s="7" t="b">
        <v>0</v>
      </c>
      <c r="S416" s="7" t="s">
        <v>30</v>
      </c>
      <c r="T416" s="5">
        <v>3003</v>
      </c>
      <c r="U416" s="7" t="s">
        <v>58</v>
      </c>
      <c r="V416" t="s">
        <v>32</v>
      </c>
      <c r="W416" s="7" t="s">
        <v>40</v>
      </c>
    </row>
    <row r="417" spans="1:23" x14ac:dyDescent="0.3">
      <c r="A417" s="6">
        <v>8738</v>
      </c>
      <c r="B417" s="7" t="s">
        <v>140</v>
      </c>
      <c r="C417" t="s">
        <v>300</v>
      </c>
      <c r="D417" t="s">
        <v>168</v>
      </c>
      <c r="E417" s="8">
        <v>7.99</v>
      </c>
      <c r="F417" s="6">
        <v>427</v>
      </c>
      <c r="G417" s="7" t="s">
        <v>100</v>
      </c>
      <c r="H417" s="6">
        <v>1</v>
      </c>
      <c r="I417" s="6">
        <v>1</v>
      </c>
      <c r="J417" s="7" t="b">
        <v>1</v>
      </c>
      <c r="K417" s="6">
        <v>886</v>
      </c>
      <c r="L417" s="6">
        <v>17</v>
      </c>
      <c r="M417" s="7" t="s">
        <v>49</v>
      </c>
      <c r="N417" s="7" t="s">
        <v>44</v>
      </c>
      <c r="O417" s="7" t="s">
        <v>45</v>
      </c>
      <c r="P417" s="5">
        <v>41</v>
      </c>
      <c r="Q417" s="4">
        <v>4.0999999999999996</v>
      </c>
      <c r="R417" s="7" t="b">
        <v>0</v>
      </c>
      <c r="S417" s="7" t="s">
        <v>30</v>
      </c>
      <c r="T417" s="5">
        <v>342</v>
      </c>
      <c r="U417" s="7" t="s">
        <v>58</v>
      </c>
      <c r="V417" t="s">
        <v>69</v>
      </c>
      <c r="W417" s="7" t="s">
        <v>93</v>
      </c>
    </row>
    <row r="418" spans="1:23" x14ac:dyDescent="0.3">
      <c r="A418" s="6">
        <v>2701</v>
      </c>
      <c r="B418" s="7" t="s">
        <v>355</v>
      </c>
      <c r="C418" s="1">
        <v>45417</v>
      </c>
      <c r="D418" s="1">
        <v>45303</v>
      </c>
      <c r="E418" s="8">
        <v>11.99</v>
      </c>
      <c r="F418" s="6">
        <v>13</v>
      </c>
      <c r="G418" s="7" t="s">
        <v>36</v>
      </c>
      <c r="H418" s="6">
        <v>4</v>
      </c>
      <c r="I418" s="6">
        <v>6</v>
      </c>
      <c r="J418" s="7" t="b">
        <v>1</v>
      </c>
      <c r="K418" s="6">
        <v>537</v>
      </c>
      <c r="L418" s="6">
        <v>121</v>
      </c>
      <c r="M418" s="7" t="s">
        <v>68</v>
      </c>
      <c r="N418" s="7" t="s">
        <v>75</v>
      </c>
      <c r="O418" s="7" t="s">
        <v>57</v>
      </c>
      <c r="P418" s="5">
        <v>17</v>
      </c>
      <c r="Q418" s="4">
        <v>3.1</v>
      </c>
      <c r="R418" s="7" t="b">
        <v>1</v>
      </c>
      <c r="S418" s="7" t="s">
        <v>30</v>
      </c>
      <c r="T418" s="5">
        <v>2124</v>
      </c>
      <c r="U418" s="7" t="s">
        <v>38</v>
      </c>
      <c r="V418" t="s">
        <v>79</v>
      </c>
      <c r="W418" s="7" t="s">
        <v>60</v>
      </c>
    </row>
    <row r="419" spans="1:23" x14ac:dyDescent="0.3">
      <c r="A419" s="6">
        <v>5339</v>
      </c>
      <c r="B419" s="7" t="s">
        <v>486</v>
      </c>
      <c r="C419" t="s">
        <v>487</v>
      </c>
      <c r="D419" t="s">
        <v>42</v>
      </c>
      <c r="E419" s="8">
        <v>15.99</v>
      </c>
      <c r="F419" s="6">
        <v>53</v>
      </c>
      <c r="G419" s="7" t="s">
        <v>26</v>
      </c>
      <c r="H419" s="6">
        <v>5</v>
      </c>
      <c r="I419" s="6">
        <v>5</v>
      </c>
      <c r="J419" s="7" t="b">
        <v>0</v>
      </c>
      <c r="K419" s="6">
        <v>524</v>
      </c>
      <c r="L419" s="6">
        <v>161</v>
      </c>
      <c r="M419" s="7" t="s">
        <v>92</v>
      </c>
      <c r="N419" s="7" t="s">
        <v>75</v>
      </c>
      <c r="O419" s="7" t="s">
        <v>37</v>
      </c>
      <c r="P419" s="5">
        <v>65</v>
      </c>
      <c r="Q419" s="4">
        <v>4.9000000000000004</v>
      </c>
      <c r="R419" s="7" t="b">
        <v>0</v>
      </c>
      <c r="S419" s="7" t="s">
        <v>30</v>
      </c>
      <c r="T419" s="5">
        <v>1016</v>
      </c>
      <c r="U419" s="7" t="s">
        <v>38</v>
      </c>
      <c r="V419" t="s">
        <v>69</v>
      </c>
      <c r="W419" s="7" t="s">
        <v>93</v>
      </c>
    </row>
    <row r="420" spans="1:23" x14ac:dyDescent="0.3">
      <c r="A420" s="6">
        <v>1612</v>
      </c>
      <c r="B420" s="7" t="s">
        <v>488</v>
      </c>
      <c r="C420" t="s">
        <v>354</v>
      </c>
      <c r="D420" s="1">
        <v>45394</v>
      </c>
      <c r="E420" s="8">
        <v>7.99</v>
      </c>
      <c r="F420" s="6">
        <v>197</v>
      </c>
      <c r="G420" s="7" t="s">
        <v>26</v>
      </c>
      <c r="H420" s="6">
        <v>1</v>
      </c>
      <c r="I420" s="6">
        <v>2</v>
      </c>
      <c r="J420" s="7" t="b">
        <v>1</v>
      </c>
      <c r="K420" s="6">
        <v>409</v>
      </c>
      <c r="L420" s="6">
        <v>22</v>
      </c>
      <c r="M420" s="7" t="s">
        <v>55</v>
      </c>
      <c r="N420" s="7" t="s">
        <v>44</v>
      </c>
      <c r="O420" s="7" t="s">
        <v>37</v>
      </c>
      <c r="P420" s="5">
        <v>64</v>
      </c>
      <c r="Q420" s="4">
        <v>4.3</v>
      </c>
      <c r="R420" s="7" t="b">
        <v>1</v>
      </c>
      <c r="S420" s="7" t="s">
        <v>30</v>
      </c>
      <c r="T420" s="5">
        <v>1925</v>
      </c>
      <c r="U420" s="7" t="s">
        <v>76</v>
      </c>
      <c r="V420" t="s">
        <v>32</v>
      </c>
      <c r="W420" s="7" t="s">
        <v>60</v>
      </c>
    </row>
    <row r="421" spans="1:23" x14ac:dyDescent="0.3">
      <c r="A421" s="6">
        <v>5407</v>
      </c>
      <c r="B421" s="7" t="s">
        <v>101</v>
      </c>
      <c r="C421" t="s">
        <v>187</v>
      </c>
      <c r="D421" s="1">
        <v>45394</v>
      </c>
      <c r="E421" s="8">
        <v>7.99</v>
      </c>
      <c r="F421" s="6">
        <v>429</v>
      </c>
      <c r="G421" s="7" t="s">
        <v>63</v>
      </c>
      <c r="H421" s="6">
        <v>3</v>
      </c>
      <c r="I421" s="6">
        <v>5</v>
      </c>
      <c r="J421" s="7" t="b">
        <v>0</v>
      </c>
      <c r="K421" s="6">
        <v>988</v>
      </c>
      <c r="L421" s="6">
        <v>115</v>
      </c>
      <c r="M421" s="7" t="s">
        <v>27</v>
      </c>
      <c r="N421" s="7" t="s">
        <v>56</v>
      </c>
      <c r="O421" s="7" t="s">
        <v>57</v>
      </c>
      <c r="P421" s="5">
        <v>19</v>
      </c>
      <c r="Q421" s="4">
        <v>4.3</v>
      </c>
      <c r="R421" s="7" t="b">
        <v>1</v>
      </c>
      <c r="S421" s="7" t="s">
        <v>30</v>
      </c>
      <c r="T421" s="5">
        <v>3773</v>
      </c>
      <c r="U421" s="7" t="s">
        <v>65</v>
      </c>
      <c r="V421" t="s">
        <v>39</v>
      </c>
      <c r="W421" s="7" t="s">
        <v>33</v>
      </c>
    </row>
    <row r="422" spans="1:23" x14ac:dyDescent="0.3">
      <c r="A422" s="6">
        <v>8225</v>
      </c>
      <c r="B422" s="7" t="s">
        <v>380</v>
      </c>
      <c r="C422" s="1">
        <v>45509</v>
      </c>
      <c r="D422" t="s">
        <v>156</v>
      </c>
      <c r="E422" s="8">
        <v>15.99</v>
      </c>
      <c r="F422" s="6">
        <v>282</v>
      </c>
      <c r="G422" s="7" t="s">
        <v>63</v>
      </c>
      <c r="H422" s="6">
        <v>1</v>
      </c>
      <c r="I422" s="6">
        <v>1</v>
      </c>
      <c r="J422" s="7" t="b">
        <v>1</v>
      </c>
      <c r="K422" s="6">
        <v>386</v>
      </c>
      <c r="L422" s="6">
        <v>177</v>
      </c>
      <c r="M422" s="7" t="s">
        <v>74</v>
      </c>
      <c r="N422" s="7" t="s">
        <v>28</v>
      </c>
      <c r="O422" s="7" t="s">
        <v>57</v>
      </c>
      <c r="P422" s="5">
        <v>17</v>
      </c>
      <c r="Q422" s="4">
        <v>3.4</v>
      </c>
      <c r="R422" s="7" t="b">
        <v>1</v>
      </c>
      <c r="S422" s="7" t="s">
        <v>30</v>
      </c>
      <c r="T422" s="5">
        <v>1231</v>
      </c>
      <c r="U422" s="7" t="s">
        <v>65</v>
      </c>
      <c r="V422" t="s">
        <v>79</v>
      </c>
      <c r="W422" s="7" t="s">
        <v>93</v>
      </c>
    </row>
    <row r="423" spans="1:23" x14ac:dyDescent="0.3">
      <c r="A423" s="6">
        <v>4714</v>
      </c>
      <c r="B423" s="7" t="s">
        <v>489</v>
      </c>
      <c r="C423" t="s">
        <v>490</v>
      </c>
      <c r="D423" t="s">
        <v>84</v>
      </c>
      <c r="E423" s="8">
        <v>11.99</v>
      </c>
      <c r="F423" s="6">
        <v>248</v>
      </c>
      <c r="G423" s="7" t="s">
        <v>48</v>
      </c>
      <c r="H423" s="6">
        <v>5</v>
      </c>
      <c r="I423" s="6">
        <v>6</v>
      </c>
      <c r="J423" s="7" t="b">
        <v>0</v>
      </c>
      <c r="K423" s="6">
        <v>996</v>
      </c>
      <c r="L423" s="6">
        <v>24</v>
      </c>
      <c r="M423" s="7" t="s">
        <v>68</v>
      </c>
      <c r="N423" s="7" t="s">
        <v>44</v>
      </c>
      <c r="O423" s="7" t="s">
        <v>37</v>
      </c>
      <c r="P423" s="5">
        <v>53</v>
      </c>
      <c r="Q423" s="4">
        <v>3.3</v>
      </c>
      <c r="R423" s="7" t="b">
        <v>1</v>
      </c>
      <c r="S423" s="7" t="s">
        <v>30</v>
      </c>
      <c r="T423" s="5">
        <v>62</v>
      </c>
      <c r="U423" s="7" t="s">
        <v>38</v>
      </c>
      <c r="V423" t="s">
        <v>39</v>
      </c>
      <c r="W423" s="7" t="s">
        <v>40</v>
      </c>
    </row>
    <row r="424" spans="1:23" x14ac:dyDescent="0.3">
      <c r="A424" s="6">
        <v>3826</v>
      </c>
      <c r="B424" s="7" t="s">
        <v>357</v>
      </c>
      <c r="C424" s="1">
        <v>45332</v>
      </c>
      <c r="D424" t="s">
        <v>129</v>
      </c>
      <c r="E424" s="8">
        <v>11.99</v>
      </c>
      <c r="F424" s="6">
        <v>406</v>
      </c>
      <c r="G424" s="7" t="s">
        <v>51</v>
      </c>
      <c r="H424" s="6">
        <v>3</v>
      </c>
      <c r="I424" s="6">
        <v>3</v>
      </c>
      <c r="J424" s="7" t="b">
        <v>0</v>
      </c>
      <c r="K424" s="6">
        <v>369</v>
      </c>
      <c r="L424" s="6">
        <v>13</v>
      </c>
      <c r="M424" s="7" t="s">
        <v>27</v>
      </c>
      <c r="N424" s="7" t="s">
        <v>75</v>
      </c>
      <c r="O424" s="7" t="s">
        <v>45</v>
      </c>
      <c r="P424" s="5">
        <v>82</v>
      </c>
      <c r="Q424" s="4">
        <v>4.7</v>
      </c>
      <c r="R424" s="7" t="b">
        <v>0</v>
      </c>
      <c r="S424" s="7" t="s">
        <v>30</v>
      </c>
      <c r="T424" s="5">
        <v>1580</v>
      </c>
      <c r="U424" s="7" t="s">
        <v>76</v>
      </c>
      <c r="V424" t="s">
        <v>79</v>
      </c>
      <c r="W424" s="7" t="s">
        <v>33</v>
      </c>
    </row>
    <row r="425" spans="1:23" x14ac:dyDescent="0.3">
      <c r="A425" s="6">
        <v>3781</v>
      </c>
      <c r="B425" s="7" t="s">
        <v>491</v>
      </c>
      <c r="C425" t="s">
        <v>72</v>
      </c>
      <c r="D425" t="s">
        <v>168</v>
      </c>
      <c r="E425" s="8">
        <v>15.99</v>
      </c>
      <c r="F425" s="6">
        <v>249</v>
      </c>
      <c r="G425" s="7" t="s">
        <v>100</v>
      </c>
      <c r="H425" s="6">
        <v>1</v>
      </c>
      <c r="I425" s="6">
        <v>4</v>
      </c>
      <c r="J425" s="7" t="b">
        <v>1</v>
      </c>
      <c r="K425" s="6">
        <v>713</v>
      </c>
      <c r="L425" s="6">
        <v>125</v>
      </c>
      <c r="M425" s="7" t="s">
        <v>49</v>
      </c>
      <c r="N425" s="7" t="s">
        <v>28</v>
      </c>
      <c r="O425" s="7" t="s">
        <v>37</v>
      </c>
      <c r="P425" s="5">
        <v>95</v>
      </c>
      <c r="Q425" s="4">
        <v>4.8</v>
      </c>
      <c r="R425" s="7" t="b">
        <v>0</v>
      </c>
      <c r="S425" s="7" t="s">
        <v>30</v>
      </c>
      <c r="T425" s="5">
        <v>74</v>
      </c>
      <c r="U425" s="7" t="s">
        <v>65</v>
      </c>
      <c r="V425" t="s">
        <v>59</v>
      </c>
      <c r="W425" s="7" t="s">
        <v>60</v>
      </c>
    </row>
    <row r="426" spans="1:23" x14ac:dyDescent="0.3">
      <c r="A426" s="6">
        <v>5635</v>
      </c>
      <c r="B426" s="7" t="s">
        <v>492</v>
      </c>
      <c r="C426" t="s">
        <v>292</v>
      </c>
      <c r="D426" t="s">
        <v>156</v>
      </c>
      <c r="E426" s="8">
        <v>7.99</v>
      </c>
      <c r="F426" s="6">
        <v>12</v>
      </c>
      <c r="G426" s="7" t="s">
        <v>63</v>
      </c>
      <c r="H426" s="6">
        <v>2</v>
      </c>
      <c r="I426" s="6">
        <v>4</v>
      </c>
      <c r="J426" s="7" t="b">
        <v>0</v>
      </c>
      <c r="K426" s="6">
        <v>928</v>
      </c>
      <c r="L426" s="6">
        <v>147</v>
      </c>
      <c r="M426" s="7" t="s">
        <v>68</v>
      </c>
      <c r="N426" s="7" t="s">
        <v>44</v>
      </c>
      <c r="O426" s="7" t="s">
        <v>64</v>
      </c>
      <c r="P426" s="5">
        <v>92</v>
      </c>
      <c r="Q426" s="4">
        <v>4.7</v>
      </c>
      <c r="R426" s="7" t="b">
        <v>0</v>
      </c>
      <c r="S426" s="7" t="s">
        <v>30</v>
      </c>
      <c r="T426" s="5">
        <v>3452</v>
      </c>
      <c r="U426" s="7" t="s">
        <v>76</v>
      </c>
      <c r="V426" t="s">
        <v>39</v>
      </c>
      <c r="W426" s="7" t="s">
        <v>33</v>
      </c>
    </row>
    <row r="427" spans="1:23" x14ac:dyDescent="0.3">
      <c r="A427" s="6">
        <v>2291</v>
      </c>
      <c r="B427" s="7" t="s">
        <v>197</v>
      </c>
      <c r="C427" s="1">
        <v>45264</v>
      </c>
      <c r="D427" s="1">
        <v>45303</v>
      </c>
      <c r="E427" s="8">
        <v>7.99</v>
      </c>
      <c r="F427" s="6">
        <v>57</v>
      </c>
      <c r="G427" s="7" t="s">
        <v>26</v>
      </c>
      <c r="H427" s="6">
        <v>2</v>
      </c>
      <c r="I427" s="6">
        <v>6</v>
      </c>
      <c r="J427" s="7" t="b">
        <v>1</v>
      </c>
      <c r="K427" s="6">
        <v>869</v>
      </c>
      <c r="L427" s="6">
        <v>107</v>
      </c>
      <c r="M427" s="7" t="s">
        <v>68</v>
      </c>
      <c r="N427" s="7" t="s">
        <v>56</v>
      </c>
      <c r="O427" s="7" t="s">
        <v>57</v>
      </c>
      <c r="P427" s="5">
        <v>67</v>
      </c>
      <c r="Q427" s="4">
        <v>4.3</v>
      </c>
      <c r="R427" s="7" t="b">
        <v>0</v>
      </c>
      <c r="S427" s="7" t="s">
        <v>30</v>
      </c>
      <c r="T427" s="5">
        <v>4792</v>
      </c>
      <c r="U427" s="7" t="s">
        <v>38</v>
      </c>
      <c r="V427" t="s">
        <v>59</v>
      </c>
      <c r="W427" s="7" t="s">
        <v>93</v>
      </c>
    </row>
    <row r="428" spans="1:23" x14ac:dyDescent="0.3">
      <c r="A428" s="6">
        <v>3119</v>
      </c>
      <c r="B428" s="7" t="s">
        <v>450</v>
      </c>
      <c r="C428" t="s">
        <v>493</v>
      </c>
      <c r="D428" t="s">
        <v>25</v>
      </c>
      <c r="E428" s="8">
        <v>7.99</v>
      </c>
      <c r="F428" s="6">
        <v>247</v>
      </c>
      <c r="G428" s="7" t="s">
        <v>100</v>
      </c>
      <c r="H428" s="6">
        <v>5</v>
      </c>
      <c r="I428" s="6">
        <v>6</v>
      </c>
      <c r="J428" s="7" t="b">
        <v>1</v>
      </c>
      <c r="K428" s="6">
        <v>563</v>
      </c>
      <c r="L428" s="6">
        <v>185</v>
      </c>
      <c r="M428" s="7" t="s">
        <v>68</v>
      </c>
      <c r="N428" s="7" t="s">
        <v>44</v>
      </c>
      <c r="O428" s="7" t="s">
        <v>45</v>
      </c>
      <c r="P428" s="5">
        <v>3</v>
      </c>
      <c r="Q428" s="4">
        <v>4.8</v>
      </c>
      <c r="R428" s="7" t="b">
        <v>0</v>
      </c>
      <c r="S428" s="7" t="s">
        <v>30</v>
      </c>
      <c r="T428" s="5">
        <v>4378</v>
      </c>
      <c r="U428" s="7" t="s">
        <v>58</v>
      </c>
      <c r="V428" t="s">
        <v>69</v>
      </c>
      <c r="W428" s="7" t="s">
        <v>40</v>
      </c>
    </row>
    <row r="429" spans="1:23" x14ac:dyDescent="0.3">
      <c r="A429" s="6">
        <v>5280</v>
      </c>
      <c r="B429" s="7" t="s">
        <v>494</v>
      </c>
      <c r="C429" t="s">
        <v>151</v>
      </c>
      <c r="D429" t="s">
        <v>168</v>
      </c>
      <c r="E429" s="8">
        <v>7.99</v>
      </c>
      <c r="F429" s="6">
        <v>25</v>
      </c>
      <c r="G429" s="7" t="s">
        <v>63</v>
      </c>
      <c r="H429" s="6">
        <v>5</v>
      </c>
      <c r="I429" s="6">
        <v>2</v>
      </c>
      <c r="J429" s="7" t="b">
        <v>1</v>
      </c>
      <c r="K429" s="6">
        <v>429</v>
      </c>
      <c r="L429" s="6">
        <v>138</v>
      </c>
      <c r="M429" s="7" t="s">
        <v>68</v>
      </c>
      <c r="N429" s="7" t="s">
        <v>56</v>
      </c>
      <c r="O429" s="7" t="s">
        <v>64</v>
      </c>
      <c r="P429" s="5">
        <v>40</v>
      </c>
      <c r="Q429" s="4">
        <v>3.5</v>
      </c>
      <c r="R429" s="7" t="b">
        <v>0</v>
      </c>
      <c r="S429" s="7" t="s">
        <v>30</v>
      </c>
      <c r="T429" s="5">
        <v>1713</v>
      </c>
      <c r="U429" s="7" t="s">
        <v>31</v>
      </c>
      <c r="V429" t="s">
        <v>79</v>
      </c>
      <c r="W429" s="7" t="s">
        <v>33</v>
      </c>
    </row>
    <row r="430" spans="1:23" x14ac:dyDescent="0.3">
      <c r="A430" s="6">
        <v>2546</v>
      </c>
      <c r="B430" s="7" t="s">
        <v>495</v>
      </c>
      <c r="C430" t="s">
        <v>496</v>
      </c>
      <c r="D430" s="1">
        <v>45363</v>
      </c>
      <c r="E430" s="8">
        <v>15.99</v>
      </c>
      <c r="F430" s="6">
        <v>425</v>
      </c>
      <c r="G430" s="7" t="s">
        <v>73</v>
      </c>
      <c r="H430" s="6">
        <v>3</v>
      </c>
      <c r="I430" s="6">
        <v>6</v>
      </c>
      <c r="J430" s="7" t="b">
        <v>0</v>
      </c>
      <c r="K430" s="6">
        <v>236</v>
      </c>
      <c r="L430" s="6">
        <v>37</v>
      </c>
      <c r="M430" s="7" t="s">
        <v>68</v>
      </c>
      <c r="N430" s="7" t="s">
        <v>44</v>
      </c>
      <c r="O430" s="7" t="s">
        <v>64</v>
      </c>
      <c r="P430" s="5">
        <v>49</v>
      </c>
      <c r="Q430" s="4">
        <v>4</v>
      </c>
      <c r="R430" s="7" t="b">
        <v>0</v>
      </c>
      <c r="S430" s="7" t="s">
        <v>30</v>
      </c>
      <c r="T430" s="5">
        <v>1201</v>
      </c>
      <c r="U430" s="7" t="s">
        <v>31</v>
      </c>
      <c r="V430" t="s">
        <v>39</v>
      </c>
      <c r="W430" s="7" t="s">
        <v>40</v>
      </c>
    </row>
    <row r="431" spans="1:23" x14ac:dyDescent="0.3">
      <c r="A431" s="6">
        <v>5975</v>
      </c>
      <c r="B431" s="7" t="s">
        <v>143</v>
      </c>
      <c r="C431" t="s">
        <v>321</v>
      </c>
      <c r="D431" t="s">
        <v>72</v>
      </c>
      <c r="E431" s="8">
        <v>7.99</v>
      </c>
      <c r="F431" s="6">
        <v>315</v>
      </c>
      <c r="G431" s="7" t="s">
        <v>51</v>
      </c>
      <c r="H431" s="6">
        <v>2</v>
      </c>
      <c r="I431" s="6">
        <v>5</v>
      </c>
      <c r="J431" s="7" t="b">
        <v>1</v>
      </c>
      <c r="K431" s="6">
        <v>889</v>
      </c>
      <c r="L431" s="6">
        <v>80</v>
      </c>
      <c r="M431" s="7" t="s">
        <v>74</v>
      </c>
      <c r="N431" s="7" t="s">
        <v>56</v>
      </c>
      <c r="O431" s="7" t="s">
        <v>37</v>
      </c>
      <c r="P431" s="5">
        <v>52</v>
      </c>
      <c r="Q431" s="4">
        <v>4.4000000000000004</v>
      </c>
      <c r="R431" s="7" t="b">
        <v>1</v>
      </c>
      <c r="S431" s="7" t="s">
        <v>30</v>
      </c>
      <c r="T431" s="5">
        <v>416</v>
      </c>
      <c r="U431" s="7" t="s">
        <v>58</v>
      </c>
      <c r="V431" t="s">
        <v>79</v>
      </c>
      <c r="W431" s="7" t="s">
        <v>93</v>
      </c>
    </row>
    <row r="432" spans="1:23" x14ac:dyDescent="0.3">
      <c r="A432" s="6">
        <v>9113</v>
      </c>
      <c r="B432" s="7" t="s">
        <v>236</v>
      </c>
      <c r="C432" t="s">
        <v>497</v>
      </c>
      <c r="D432" t="s">
        <v>90</v>
      </c>
      <c r="E432" s="8">
        <v>7.99</v>
      </c>
      <c r="F432" s="6">
        <v>466</v>
      </c>
      <c r="G432" s="7" t="s">
        <v>73</v>
      </c>
      <c r="H432" s="6">
        <v>4</v>
      </c>
      <c r="I432" s="6">
        <v>4</v>
      </c>
      <c r="J432" s="7" t="b">
        <v>0</v>
      </c>
      <c r="K432" s="6">
        <v>785</v>
      </c>
      <c r="L432" s="6">
        <v>12</v>
      </c>
      <c r="M432" s="7" t="s">
        <v>49</v>
      </c>
      <c r="N432" s="7" t="s">
        <v>44</v>
      </c>
      <c r="O432" s="7" t="s">
        <v>57</v>
      </c>
      <c r="P432" s="5">
        <v>94</v>
      </c>
      <c r="Q432" s="4">
        <v>4.9000000000000004</v>
      </c>
      <c r="R432" s="7" t="b">
        <v>0</v>
      </c>
      <c r="S432" s="7" t="s">
        <v>30</v>
      </c>
      <c r="T432" s="5">
        <v>17</v>
      </c>
      <c r="U432" s="7" t="s">
        <v>38</v>
      </c>
      <c r="V432" t="s">
        <v>79</v>
      </c>
      <c r="W432" s="7" t="s">
        <v>40</v>
      </c>
    </row>
    <row r="433" spans="1:23" x14ac:dyDescent="0.3">
      <c r="A433" s="6">
        <v>6250</v>
      </c>
      <c r="B433" s="7" t="s">
        <v>498</v>
      </c>
      <c r="C433" s="1">
        <v>45511</v>
      </c>
      <c r="D433" t="s">
        <v>82</v>
      </c>
      <c r="E433" s="8">
        <v>15.99</v>
      </c>
      <c r="F433" s="6">
        <v>207</v>
      </c>
      <c r="G433" s="7" t="s">
        <v>48</v>
      </c>
      <c r="H433" s="6">
        <v>3</v>
      </c>
      <c r="I433" s="6">
        <v>6</v>
      </c>
      <c r="J433" s="7" t="b">
        <v>0</v>
      </c>
      <c r="K433" s="6">
        <v>909</v>
      </c>
      <c r="L433" s="6">
        <v>164</v>
      </c>
      <c r="M433" s="7" t="s">
        <v>43</v>
      </c>
      <c r="N433" s="7" t="s">
        <v>56</v>
      </c>
      <c r="O433" s="7" t="s">
        <v>29</v>
      </c>
      <c r="P433" s="5">
        <v>75</v>
      </c>
      <c r="Q433" s="4">
        <v>4.2</v>
      </c>
      <c r="R433" s="7" t="b">
        <v>1</v>
      </c>
      <c r="S433" s="7" t="s">
        <v>30</v>
      </c>
      <c r="T433" s="5">
        <v>4820</v>
      </c>
      <c r="U433" s="7" t="s">
        <v>65</v>
      </c>
      <c r="V433" t="s">
        <v>69</v>
      </c>
      <c r="W433" s="7" t="s">
        <v>93</v>
      </c>
    </row>
    <row r="434" spans="1:23" x14ac:dyDescent="0.3">
      <c r="A434" s="6">
        <v>6190</v>
      </c>
      <c r="B434" s="7" t="s">
        <v>499</v>
      </c>
      <c r="C434" t="s">
        <v>390</v>
      </c>
      <c r="D434" s="1">
        <v>45516</v>
      </c>
      <c r="E434" s="8">
        <v>7.99</v>
      </c>
      <c r="F434" s="6">
        <v>248</v>
      </c>
      <c r="G434" s="7" t="s">
        <v>36</v>
      </c>
      <c r="H434" s="6">
        <v>5</v>
      </c>
      <c r="I434" s="6">
        <v>2</v>
      </c>
      <c r="J434" s="7" t="b">
        <v>0</v>
      </c>
      <c r="K434" s="6">
        <v>142</v>
      </c>
      <c r="L434" s="6">
        <v>22</v>
      </c>
      <c r="M434" s="7" t="s">
        <v>27</v>
      </c>
      <c r="N434" s="7" t="s">
        <v>44</v>
      </c>
      <c r="O434" s="7" t="s">
        <v>45</v>
      </c>
      <c r="P434" s="5">
        <v>94</v>
      </c>
      <c r="Q434" s="4">
        <v>4.2</v>
      </c>
      <c r="R434" s="7" t="b">
        <v>0</v>
      </c>
      <c r="S434" s="7" t="s">
        <v>30</v>
      </c>
      <c r="T434" s="5">
        <v>1758</v>
      </c>
      <c r="U434" s="7" t="s">
        <v>76</v>
      </c>
      <c r="V434" t="s">
        <v>79</v>
      </c>
      <c r="W434" s="7" t="s">
        <v>33</v>
      </c>
    </row>
    <row r="435" spans="1:23" x14ac:dyDescent="0.3">
      <c r="A435" s="6">
        <v>5713</v>
      </c>
      <c r="B435" s="7" t="s">
        <v>500</v>
      </c>
      <c r="C435" t="s">
        <v>466</v>
      </c>
      <c r="D435" t="s">
        <v>156</v>
      </c>
      <c r="E435" s="8">
        <v>7.99</v>
      </c>
      <c r="F435" s="6">
        <v>278</v>
      </c>
      <c r="G435" s="7" t="s">
        <v>36</v>
      </c>
      <c r="H435" s="6">
        <v>5</v>
      </c>
      <c r="I435" s="6">
        <v>1</v>
      </c>
      <c r="J435" s="7" t="b">
        <v>0</v>
      </c>
      <c r="K435" s="6">
        <v>743</v>
      </c>
      <c r="L435" s="6">
        <v>180</v>
      </c>
      <c r="M435" s="7" t="s">
        <v>27</v>
      </c>
      <c r="N435" s="7" t="s">
        <v>75</v>
      </c>
      <c r="O435" s="7" t="s">
        <v>29</v>
      </c>
      <c r="P435" s="5">
        <v>0</v>
      </c>
      <c r="Q435" s="4">
        <v>4.3</v>
      </c>
      <c r="R435" s="7" t="b">
        <v>1</v>
      </c>
      <c r="S435" s="7" t="s">
        <v>30</v>
      </c>
      <c r="T435" s="5">
        <v>2568</v>
      </c>
      <c r="U435" s="7" t="s">
        <v>38</v>
      </c>
      <c r="V435" t="s">
        <v>69</v>
      </c>
      <c r="W435" s="7" t="s">
        <v>60</v>
      </c>
    </row>
    <row r="436" spans="1:23" x14ac:dyDescent="0.3">
      <c r="A436" s="6">
        <v>1932</v>
      </c>
      <c r="B436" s="7" t="s">
        <v>169</v>
      </c>
      <c r="C436" t="s">
        <v>501</v>
      </c>
      <c r="D436" t="s">
        <v>72</v>
      </c>
      <c r="E436" s="8">
        <v>7.99</v>
      </c>
      <c r="F436" s="6">
        <v>315</v>
      </c>
      <c r="G436" s="7" t="s">
        <v>51</v>
      </c>
      <c r="H436" s="6">
        <v>1</v>
      </c>
      <c r="I436" s="6">
        <v>2</v>
      </c>
      <c r="J436" s="7" t="b">
        <v>0</v>
      </c>
      <c r="K436" s="6">
        <v>40</v>
      </c>
      <c r="L436" s="6">
        <v>188</v>
      </c>
      <c r="M436" s="7" t="s">
        <v>92</v>
      </c>
      <c r="N436" s="7" t="s">
        <v>44</v>
      </c>
      <c r="O436" s="7" t="s">
        <v>78</v>
      </c>
      <c r="P436" s="5">
        <v>86</v>
      </c>
      <c r="Q436" s="4">
        <v>3.7</v>
      </c>
      <c r="R436" s="7" t="b">
        <v>1</v>
      </c>
      <c r="S436" s="7" t="s">
        <v>30</v>
      </c>
      <c r="T436" s="5">
        <v>4235</v>
      </c>
      <c r="U436" s="7" t="s">
        <v>31</v>
      </c>
      <c r="V436" t="s">
        <v>69</v>
      </c>
      <c r="W436" s="7" t="s">
        <v>33</v>
      </c>
    </row>
    <row r="437" spans="1:23" x14ac:dyDescent="0.3">
      <c r="A437" s="6">
        <v>6527</v>
      </c>
      <c r="B437" s="7" t="s">
        <v>502</v>
      </c>
      <c r="C437" t="s">
        <v>503</v>
      </c>
      <c r="D437" t="s">
        <v>109</v>
      </c>
      <c r="E437" s="8">
        <v>7.99</v>
      </c>
      <c r="F437" s="6">
        <v>190</v>
      </c>
      <c r="G437" s="7" t="s">
        <v>100</v>
      </c>
      <c r="H437" s="6">
        <v>4</v>
      </c>
      <c r="I437" s="6">
        <v>1</v>
      </c>
      <c r="J437" s="7" t="b">
        <v>1</v>
      </c>
      <c r="K437" s="6">
        <v>400</v>
      </c>
      <c r="L437" s="6">
        <v>151</v>
      </c>
      <c r="M437" s="7" t="s">
        <v>68</v>
      </c>
      <c r="N437" s="7" t="s">
        <v>28</v>
      </c>
      <c r="O437" s="7" t="s">
        <v>37</v>
      </c>
      <c r="P437" s="5">
        <v>52</v>
      </c>
      <c r="Q437" s="4">
        <v>4.3</v>
      </c>
      <c r="R437" s="7" t="b">
        <v>0</v>
      </c>
      <c r="S437" s="7" t="s">
        <v>30</v>
      </c>
      <c r="T437" s="5">
        <v>3775</v>
      </c>
      <c r="U437" s="7" t="s">
        <v>38</v>
      </c>
      <c r="V437" t="s">
        <v>79</v>
      </c>
      <c r="W437" s="7" t="s">
        <v>33</v>
      </c>
    </row>
    <row r="438" spans="1:23" x14ac:dyDescent="0.3">
      <c r="A438" s="6">
        <v>9363</v>
      </c>
      <c r="B438" s="7" t="s">
        <v>140</v>
      </c>
      <c r="C438" s="1">
        <v>45422</v>
      </c>
      <c r="D438" t="s">
        <v>109</v>
      </c>
      <c r="E438" s="8">
        <v>11.99</v>
      </c>
      <c r="F438" s="6">
        <v>190</v>
      </c>
      <c r="G438" s="7" t="s">
        <v>63</v>
      </c>
      <c r="H438" s="6">
        <v>2</v>
      </c>
      <c r="I438" s="6">
        <v>1</v>
      </c>
      <c r="J438" s="7" t="b">
        <v>0</v>
      </c>
      <c r="K438" s="6">
        <v>359</v>
      </c>
      <c r="L438" s="6">
        <v>192</v>
      </c>
      <c r="M438" s="7" t="s">
        <v>74</v>
      </c>
      <c r="N438" s="7" t="s">
        <v>28</v>
      </c>
      <c r="O438" s="7" t="s">
        <v>64</v>
      </c>
      <c r="P438" s="5">
        <v>38</v>
      </c>
      <c r="Q438" s="4">
        <v>4.4000000000000004</v>
      </c>
      <c r="R438" s="7" t="b">
        <v>1</v>
      </c>
      <c r="S438" s="7" t="s">
        <v>30</v>
      </c>
      <c r="T438" s="5">
        <v>92</v>
      </c>
      <c r="U438" s="7" t="s">
        <v>31</v>
      </c>
      <c r="V438" t="s">
        <v>69</v>
      </c>
      <c r="W438" s="7" t="s">
        <v>93</v>
      </c>
    </row>
    <row r="439" spans="1:23" x14ac:dyDescent="0.3">
      <c r="A439" s="6">
        <v>5019</v>
      </c>
      <c r="B439" s="7" t="s">
        <v>147</v>
      </c>
      <c r="C439" s="1">
        <v>45332</v>
      </c>
      <c r="D439" s="1">
        <v>45638</v>
      </c>
      <c r="E439" s="8">
        <v>15.99</v>
      </c>
      <c r="F439" s="6">
        <v>408</v>
      </c>
      <c r="G439" s="7" t="s">
        <v>51</v>
      </c>
      <c r="H439" s="6">
        <v>4</v>
      </c>
      <c r="I439" s="6">
        <v>3</v>
      </c>
      <c r="J439" s="7" t="b">
        <v>0</v>
      </c>
      <c r="K439" s="6">
        <v>711</v>
      </c>
      <c r="L439" s="6">
        <v>23</v>
      </c>
      <c r="M439" s="7" t="s">
        <v>74</v>
      </c>
      <c r="N439" s="7" t="s">
        <v>56</v>
      </c>
      <c r="O439" s="7" t="s">
        <v>78</v>
      </c>
      <c r="P439" s="5">
        <v>65</v>
      </c>
      <c r="Q439" s="4">
        <v>3.6</v>
      </c>
      <c r="R439" s="7" t="b">
        <v>1</v>
      </c>
      <c r="S439" s="7" t="s">
        <v>30</v>
      </c>
      <c r="T439" s="5">
        <v>72</v>
      </c>
      <c r="U439" s="7" t="s">
        <v>65</v>
      </c>
      <c r="V439" t="s">
        <v>39</v>
      </c>
      <c r="W439" s="7" t="s">
        <v>40</v>
      </c>
    </row>
    <row r="440" spans="1:23" x14ac:dyDescent="0.3">
      <c r="A440" s="6">
        <v>9258</v>
      </c>
      <c r="B440" s="7" t="s">
        <v>504</v>
      </c>
      <c r="C440" t="s">
        <v>358</v>
      </c>
      <c r="D440" s="1">
        <v>45455</v>
      </c>
      <c r="E440" s="8">
        <v>15.99</v>
      </c>
      <c r="F440" s="6">
        <v>227</v>
      </c>
      <c r="G440" s="7" t="s">
        <v>51</v>
      </c>
      <c r="H440" s="6">
        <v>2</v>
      </c>
      <c r="I440" s="6">
        <v>1</v>
      </c>
      <c r="J440" s="7" t="b">
        <v>0</v>
      </c>
      <c r="K440" s="6">
        <v>581</v>
      </c>
      <c r="L440" s="6">
        <v>146</v>
      </c>
      <c r="M440" s="7" t="s">
        <v>74</v>
      </c>
      <c r="N440" s="7" t="s">
        <v>28</v>
      </c>
      <c r="O440" s="7" t="s">
        <v>57</v>
      </c>
      <c r="P440" s="5">
        <v>37</v>
      </c>
      <c r="Q440" s="4">
        <v>4.4000000000000004</v>
      </c>
      <c r="R440" s="7" t="b">
        <v>0</v>
      </c>
      <c r="S440" s="7" t="s">
        <v>30</v>
      </c>
      <c r="T440" s="5">
        <v>2488</v>
      </c>
      <c r="U440" s="7" t="s">
        <v>31</v>
      </c>
      <c r="V440" t="s">
        <v>59</v>
      </c>
      <c r="W440" s="7" t="s">
        <v>40</v>
      </c>
    </row>
    <row r="441" spans="1:23" x14ac:dyDescent="0.3">
      <c r="A441" s="6">
        <v>7512</v>
      </c>
      <c r="B441" s="7" t="s">
        <v>505</v>
      </c>
      <c r="C441" t="s">
        <v>506</v>
      </c>
      <c r="D441" t="s">
        <v>156</v>
      </c>
      <c r="E441" s="8">
        <v>11.99</v>
      </c>
      <c r="F441" s="6">
        <v>479</v>
      </c>
      <c r="G441" s="7" t="s">
        <v>73</v>
      </c>
      <c r="H441" s="6">
        <v>2</v>
      </c>
      <c r="I441" s="6">
        <v>4</v>
      </c>
      <c r="J441" s="7" t="b">
        <v>1</v>
      </c>
      <c r="K441" s="6">
        <v>923</v>
      </c>
      <c r="L441" s="6">
        <v>182</v>
      </c>
      <c r="M441" s="7" t="s">
        <v>55</v>
      </c>
      <c r="N441" s="7" t="s">
        <v>44</v>
      </c>
      <c r="O441" s="7" t="s">
        <v>29</v>
      </c>
      <c r="P441" s="5">
        <v>14</v>
      </c>
      <c r="Q441" s="4">
        <v>4.9000000000000004</v>
      </c>
      <c r="R441" s="7" t="b">
        <v>1</v>
      </c>
      <c r="S441" s="7" t="s">
        <v>30</v>
      </c>
      <c r="T441" s="5">
        <v>2666</v>
      </c>
      <c r="U441" s="7" t="s">
        <v>65</v>
      </c>
      <c r="V441" t="s">
        <v>79</v>
      </c>
      <c r="W441" s="7" t="s">
        <v>93</v>
      </c>
    </row>
    <row r="442" spans="1:23" x14ac:dyDescent="0.3">
      <c r="A442" s="6">
        <v>8195</v>
      </c>
      <c r="B442" s="7" t="s">
        <v>507</v>
      </c>
      <c r="C442" t="s">
        <v>412</v>
      </c>
      <c r="D442" t="s">
        <v>84</v>
      </c>
      <c r="E442" s="8">
        <v>11.99</v>
      </c>
      <c r="F442" s="6">
        <v>415</v>
      </c>
      <c r="G442" s="7" t="s">
        <v>36</v>
      </c>
      <c r="H442" s="6">
        <v>3</v>
      </c>
      <c r="I442" s="6">
        <v>1</v>
      </c>
      <c r="J442" s="7" t="b">
        <v>0</v>
      </c>
      <c r="K442" s="6">
        <v>381</v>
      </c>
      <c r="L442" s="6">
        <v>78</v>
      </c>
      <c r="M442" s="7" t="s">
        <v>74</v>
      </c>
      <c r="N442" s="7" t="s">
        <v>44</v>
      </c>
      <c r="O442" s="7" t="s">
        <v>45</v>
      </c>
      <c r="P442" s="5">
        <v>84</v>
      </c>
      <c r="Q442" s="4">
        <v>4.4000000000000004</v>
      </c>
      <c r="R442" s="7" t="b">
        <v>1</v>
      </c>
      <c r="S442" s="7" t="s">
        <v>30</v>
      </c>
      <c r="T442" s="5">
        <v>4221</v>
      </c>
      <c r="U442" s="7" t="s">
        <v>76</v>
      </c>
      <c r="V442" t="s">
        <v>79</v>
      </c>
      <c r="W442" s="7" t="s">
        <v>60</v>
      </c>
    </row>
    <row r="443" spans="1:23" x14ac:dyDescent="0.3">
      <c r="A443" s="6">
        <v>8242</v>
      </c>
      <c r="B443" s="7" t="s">
        <v>257</v>
      </c>
      <c r="C443" t="s">
        <v>229</v>
      </c>
      <c r="D443" s="1">
        <v>45394</v>
      </c>
      <c r="E443" s="8">
        <v>11.99</v>
      </c>
      <c r="F443" s="6">
        <v>204</v>
      </c>
      <c r="G443" s="7" t="s">
        <v>100</v>
      </c>
      <c r="H443" s="6">
        <v>4</v>
      </c>
      <c r="I443" s="6">
        <v>4</v>
      </c>
      <c r="J443" s="7" t="b">
        <v>1</v>
      </c>
      <c r="K443" s="6">
        <v>706</v>
      </c>
      <c r="L443" s="6">
        <v>153</v>
      </c>
      <c r="M443" s="7" t="s">
        <v>43</v>
      </c>
      <c r="N443" s="7" t="s">
        <v>28</v>
      </c>
      <c r="O443" s="7" t="s">
        <v>29</v>
      </c>
      <c r="P443" s="5">
        <v>94</v>
      </c>
      <c r="Q443" s="4">
        <v>3.7</v>
      </c>
      <c r="R443" s="7" t="b">
        <v>1</v>
      </c>
      <c r="S443" s="7" t="s">
        <v>30</v>
      </c>
      <c r="T443" s="5">
        <v>4569</v>
      </c>
      <c r="U443" s="7" t="s">
        <v>31</v>
      </c>
      <c r="V443" t="s">
        <v>79</v>
      </c>
      <c r="W443" s="7" t="s">
        <v>33</v>
      </c>
    </row>
    <row r="444" spans="1:23" x14ac:dyDescent="0.3">
      <c r="A444" s="6">
        <v>2220</v>
      </c>
      <c r="B444" s="7" t="s">
        <v>448</v>
      </c>
      <c r="C444" t="s">
        <v>221</v>
      </c>
      <c r="D444" t="s">
        <v>105</v>
      </c>
      <c r="E444" s="8">
        <v>15.99</v>
      </c>
      <c r="F444" s="6">
        <v>205</v>
      </c>
      <c r="G444" s="7" t="s">
        <v>73</v>
      </c>
      <c r="H444" s="6">
        <v>3</v>
      </c>
      <c r="I444" s="6">
        <v>1</v>
      </c>
      <c r="J444" s="7" t="b">
        <v>1</v>
      </c>
      <c r="K444" s="6">
        <v>792</v>
      </c>
      <c r="L444" s="6">
        <v>103</v>
      </c>
      <c r="M444" s="7" t="s">
        <v>74</v>
      </c>
      <c r="N444" s="7" t="s">
        <v>28</v>
      </c>
      <c r="O444" s="7" t="s">
        <v>45</v>
      </c>
      <c r="P444" s="5">
        <v>24</v>
      </c>
      <c r="Q444" s="4">
        <v>3.9</v>
      </c>
      <c r="R444" s="7" t="b">
        <v>1</v>
      </c>
      <c r="S444" s="7" t="s">
        <v>30</v>
      </c>
      <c r="T444" s="5">
        <v>2695</v>
      </c>
      <c r="U444" s="7" t="s">
        <v>65</v>
      </c>
      <c r="V444" t="s">
        <v>79</v>
      </c>
      <c r="W444" s="7" t="s">
        <v>40</v>
      </c>
    </row>
    <row r="445" spans="1:23" x14ac:dyDescent="0.3">
      <c r="A445" s="6">
        <v>9308</v>
      </c>
      <c r="B445" s="7" t="s">
        <v>88</v>
      </c>
      <c r="C445" t="s">
        <v>287</v>
      </c>
      <c r="D445" t="s">
        <v>87</v>
      </c>
      <c r="E445" s="8">
        <v>11.99</v>
      </c>
      <c r="F445" s="6">
        <v>64</v>
      </c>
      <c r="G445" s="7" t="s">
        <v>51</v>
      </c>
      <c r="H445" s="6">
        <v>2</v>
      </c>
      <c r="I445" s="6">
        <v>3</v>
      </c>
      <c r="J445" s="7" t="b">
        <v>1</v>
      </c>
      <c r="K445" s="6">
        <v>221</v>
      </c>
      <c r="L445" s="6">
        <v>4</v>
      </c>
      <c r="M445" s="7" t="s">
        <v>27</v>
      </c>
      <c r="N445" s="7" t="s">
        <v>28</v>
      </c>
      <c r="O445" s="7" t="s">
        <v>45</v>
      </c>
      <c r="P445" s="5">
        <v>88</v>
      </c>
      <c r="Q445" s="4">
        <v>3.7</v>
      </c>
      <c r="R445" s="7" t="b">
        <v>1</v>
      </c>
      <c r="S445" s="7" t="s">
        <v>30</v>
      </c>
      <c r="T445" s="5">
        <v>48</v>
      </c>
      <c r="U445" s="7" t="s">
        <v>76</v>
      </c>
      <c r="V445" t="s">
        <v>59</v>
      </c>
      <c r="W445" s="7" t="s">
        <v>93</v>
      </c>
    </row>
    <row r="446" spans="1:23" x14ac:dyDescent="0.3">
      <c r="A446" s="6">
        <v>3437</v>
      </c>
      <c r="B446" s="7" t="s">
        <v>215</v>
      </c>
      <c r="C446" t="s">
        <v>427</v>
      </c>
      <c r="D446" s="1">
        <v>45424</v>
      </c>
      <c r="E446" s="8">
        <v>7.99</v>
      </c>
      <c r="F446" s="6">
        <v>281</v>
      </c>
      <c r="G446" s="7" t="s">
        <v>48</v>
      </c>
      <c r="H446" s="6">
        <v>2</v>
      </c>
      <c r="I446" s="6">
        <v>4</v>
      </c>
      <c r="J446" s="7" t="b">
        <v>0</v>
      </c>
      <c r="K446" s="6">
        <v>770</v>
      </c>
      <c r="L446" s="6">
        <v>74</v>
      </c>
      <c r="M446" s="7" t="s">
        <v>68</v>
      </c>
      <c r="N446" s="7" t="s">
        <v>44</v>
      </c>
      <c r="O446" s="7" t="s">
        <v>37</v>
      </c>
      <c r="P446" s="5">
        <v>12</v>
      </c>
      <c r="Q446" s="4">
        <v>4</v>
      </c>
      <c r="R446" s="7" t="b">
        <v>0</v>
      </c>
      <c r="S446" s="7" t="s">
        <v>30</v>
      </c>
      <c r="T446" s="5">
        <v>1526</v>
      </c>
      <c r="U446" s="7" t="s">
        <v>65</v>
      </c>
      <c r="V446" t="s">
        <v>32</v>
      </c>
      <c r="W446" s="7" t="s">
        <v>33</v>
      </c>
    </row>
    <row r="447" spans="1:23" x14ac:dyDescent="0.3">
      <c r="A447" s="6">
        <v>8305</v>
      </c>
      <c r="B447" s="7" t="s">
        <v>140</v>
      </c>
      <c r="C447" t="s">
        <v>457</v>
      </c>
      <c r="D447" s="1">
        <v>45455</v>
      </c>
      <c r="E447" s="8">
        <v>11.99</v>
      </c>
      <c r="F447" s="6">
        <v>78</v>
      </c>
      <c r="G447" s="7" t="s">
        <v>73</v>
      </c>
      <c r="H447" s="6">
        <v>4</v>
      </c>
      <c r="I447" s="6">
        <v>5</v>
      </c>
      <c r="J447" s="7" t="b">
        <v>0</v>
      </c>
      <c r="K447" s="6">
        <v>914</v>
      </c>
      <c r="L447" s="6">
        <v>22</v>
      </c>
      <c r="M447" s="7" t="s">
        <v>92</v>
      </c>
      <c r="N447" s="7" t="s">
        <v>44</v>
      </c>
      <c r="O447" s="7" t="s">
        <v>37</v>
      </c>
      <c r="P447" s="5">
        <v>14</v>
      </c>
      <c r="Q447" s="4">
        <v>4.5</v>
      </c>
      <c r="R447" s="7" t="b">
        <v>0</v>
      </c>
      <c r="S447" s="7" t="s">
        <v>30</v>
      </c>
      <c r="T447" s="5">
        <v>4934</v>
      </c>
      <c r="U447" s="7" t="s">
        <v>31</v>
      </c>
      <c r="V447" t="s">
        <v>32</v>
      </c>
      <c r="W447" s="7" t="s">
        <v>33</v>
      </c>
    </row>
    <row r="448" spans="1:23" x14ac:dyDescent="0.3">
      <c r="A448" s="6">
        <v>6773</v>
      </c>
      <c r="B448" s="7" t="s">
        <v>473</v>
      </c>
      <c r="C448" s="1">
        <v>45445</v>
      </c>
      <c r="D448" t="s">
        <v>168</v>
      </c>
      <c r="E448" s="8">
        <v>7.99</v>
      </c>
      <c r="F448" s="6">
        <v>343</v>
      </c>
      <c r="G448" s="7" t="s">
        <v>36</v>
      </c>
      <c r="H448" s="6">
        <v>4</v>
      </c>
      <c r="I448" s="6">
        <v>1</v>
      </c>
      <c r="J448" s="7" t="b">
        <v>1</v>
      </c>
      <c r="K448" s="6">
        <v>492</v>
      </c>
      <c r="L448" s="6">
        <v>187</v>
      </c>
      <c r="M448" s="7" t="s">
        <v>27</v>
      </c>
      <c r="N448" s="7" t="s">
        <v>28</v>
      </c>
      <c r="O448" s="7" t="s">
        <v>78</v>
      </c>
      <c r="P448" s="5">
        <v>75</v>
      </c>
      <c r="Q448" s="4">
        <v>4.9000000000000004</v>
      </c>
      <c r="R448" s="7" t="b">
        <v>1</v>
      </c>
      <c r="S448" s="7" t="s">
        <v>30</v>
      </c>
      <c r="T448" s="5">
        <v>628</v>
      </c>
      <c r="U448" s="7" t="s">
        <v>38</v>
      </c>
      <c r="V448" t="s">
        <v>69</v>
      </c>
      <c r="W448" s="7" t="s">
        <v>33</v>
      </c>
    </row>
    <row r="449" spans="1:23" x14ac:dyDescent="0.3">
      <c r="A449" s="6">
        <v>3010</v>
      </c>
      <c r="B449" s="7" t="s">
        <v>280</v>
      </c>
      <c r="C449" s="1">
        <v>45362</v>
      </c>
      <c r="D449" t="s">
        <v>156</v>
      </c>
      <c r="E449" s="8">
        <v>11.99</v>
      </c>
      <c r="F449" s="6">
        <v>318</v>
      </c>
      <c r="G449" s="7" t="s">
        <v>48</v>
      </c>
      <c r="H449" s="6">
        <v>1</v>
      </c>
      <c r="I449" s="6">
        <v>5</v>
      </c>
      <c r="J449" s="7" t="b">
        <v>0</v>
      </c>
      <c r="K449" s="6">
        <v>925</v>
      </c>
      <c r="L449" s="6">
        <v>191</v>
      </c>
      <c r="M449" s="7" t="s">
        <v>68</v>
      </c>
      <c r="N449" s="7" t="s">
        <v>28</v>
      </c>
      <c r="O449" s="7" t="s">
        <v>45</v>
      </c>
      <c r="P449" s="5">
        <v>38</v>
      </c>
      <c r="Q449" s="4">
        <v>4.5999999999999996</v>
      </c>
      <c r="R449" s="7" t="b">
        <v>1</v>
      </c>
      <c r="S449" s="7" t="s">
        <v>30</v>
      </c>
      <c r="T449" s="5">
        <v>167</v>
      </c>
      <c r="U449" s="7" t="s">
        <v>76</v>
      </c>
      <c r="V449" t="s">
        <v>39</v>
      </c>
      <c r="W449" s="7" t="s">
        <v>93</v>
      </c>
    </row>
    <row r="450" spans="1:23" x14ac:dyDescent="0.3">
      <c r="A450" s="6">
        <v>3622</v>
      </c>
      <c r="B450" s="7" t="s">
        <v>284</v>
      </c>
      <c r="C450" t="s">
        <v>348</v>
      </c>
      <c r="D450" s="1">
        <v>45547</v>
      </c>
      <c r="E450" s="8">
        <v>7.99</v>
      </c>
      <c r="F450" s="6">
        <v>444</v>
      </c>
      <c r="G450" s="7" t="s">
        <v>36</v>
      </c>
      <c r="H450" s="6">
        <v>3</v>
      </c>
      <c r="I450" s="6">
        <v>5</v>
      </c>
      <c r="J450" s="7" t="b">
        <v>0</v>
      </c>
      <c r="K450" s="6">
        <v>183</v>
      </c>
      <c r="L450" s="6">
        <v>195</v>
      </c>
      <c r="M450" s="7" t="s">
        <v>92</v>
      </c>
      <c r="N450" s="7" t="s">
        <v>75</v>
      </c>
      <c r="O450" s="7" t="s">
        <v>45</v>
      </c>
      <c r="P450" s="5">
        <v>36</v>
      </c>
      <c r="Q450" s="4">
        <v>4.7</v>
      </c>
      <c r="R450" s="7" t="b">
        <v>0</v>
      </c>
      <c r="S450" s="7" t="s">
        <v>30</v>
      </c>
      <c r="T450" s="5">
        <v>1309</v>
      </c>
      <c r="U450" s="7" t="s">
        <v>58</v>
      </c>
      <c r="V450" t="s">
        <v>39</v>
      </c>
      <c r="W450" s="7" t="s">
        <v>60</v>
      </c>
    </row>
    <row r="451" spans="1:23" x14ac:dyDescent="0.3">
      <c r="A451" s="6">
        <v>6006</v>
      </c>
      <c r="B451" s="7" t="s">
        <v>106</v>
      </c>
      <c r="C451" s="1">
        <v>45482</v>
      </c>
      <c r="D451" t="s">
        <v>54</v>
      </c>
      <c r="E451" s="8">
        <v>11.99</v>
      </c>
      <c r="F451" s="6">
        <v>171</v>
      </c>
      <c r="G451" s="7" t="s">
        <v>63</v>
      </c>
      <c r="H451" s="6">
        <v>3</v>
      </c>
      <c r="I451" s="6">
        <v>1</v>
      </c>
      <c r="J451" s="7" t="b">
        <v>1</v>
      </c>
      <c r="K451" s="6">
        <v>889</v>
      </c>
      <c r="L451" s="6">
        <v>54</v>
      </c>
      <c r="M451" s="7" t="s">
        <v>92</v>
      </c>
      <c r="N451" s="7" t="s">
        <v>75</v>
      </c>
      <c r="O451" s="7" t="s">
        <v>37</v>
      </c>
      <c r="P451" s="5">
        <v>1</v>
      </c>
      <c r="Q451" s="4">
        <v>3.3</v>
      </c>
      <c r="R451" s="7" t="b">
        <v>1</v>
      </c>
      <c r="S451" s="7" t="s">
        <v>30</v>
      </c>
      <c r="T451" s="5">
        <v>710</v>
      </c>
      <c r="U451" s="7" t="s">
        <v>31</v>
      </c>
      <c r="V451" t="s">
        <v>69</v>
      </c>
      <c r="W451" s="7" t="s">
        <v>33</v>
      </c>
    </row>
    <row r="452" spans="1:23" x14ac:dyDescent="0.3">
      <c r="A452" s="6">
        <v>1338</v>
      </c>
      <c r="B452" s="7" t="s">
        <v>148</v>
      </c>
      <c r="C452" t="s">
        <v>154</v>
      </c>
      <c r="D452" s="1">
        <v>45334</v>
      </c>
      <c r="E452" s="8">
        <v>15.99</v>
      </c>
      <c r="F452" s="6">
        <v>309</v>
      </c>
      <c r="G452" s="7" t="s">
        <v>100</v>
      </c>
      <c r="H452" s="6">
        <v>5</v>
      </c>
      <c r="I452" s="6">
        <v>4</v>
      </c>
      <c r="J452" s="7" t="b">
        <v>0</v>
      </c>
      <c r="K452" s="6">
        <v>174</v>
      </c>
      <c r="L452" s="6">
        <v>172</v>
      </c>
      <c r="M452" s="7" t="s">
        <v>68</v>
      </c>
      <c r="N452" s="7" t="s">
        <v>75</v>
      </c>
      <c r="O452" s="7" t="s">
        <v>64</v>
      </c>
      <c r="P452" s="5">
        <v>71</v>
      </c>
      <c r="Q452" s="4">
        <v>3.1</v>
      </c>
      <c r="R452" s="7" t="b">
        <v>1</v>
      </c>
      <c r="S452" s="7" t="s">
        <v>30</v>
      </c>
      <c r="T452" s="5">
        <v>106</v>
      </c>
      <c r="U452" s="7" t="s">
        <v>58</v>
      </c>
      <c r="V452" t="s">
        <v>79</v>
      </c>
      <c r="W452" s="7" t="s">
        <v>60</v>
      </c>
    </row>
    <row r="453" spans="1:23" x14ac:dyDescent="0.3">
      <c r="A453" s="6">
        <v>6722</v>
      </c>
      <c r="B453" s="7" t="s">
        <v>138</v>
      </c>
      <c r="C453" s="1">
        <v>45143</v>
      </c>
      <c r="D453" t="s">
        <v>99</v>
      </c>
      <c r="E453" s="8">
        <v>15.99</v>
      </c>
      <c r="F453" s="6">
        <v>447</v>
      </c>
      <c r="G453" s="7" t="s">
        <v>73</v>
      </c>
      <c r="H453" s="6">
        <v>5</v>
      </c>
      <c r="I453" s="6">
        <v>2</v>
      </c>
      <c r="J453" s="7" t="b">
        <v>0</v>
      </c>
      <c r="K453" s="6">
        <v>709</v>
      </c>
      <c r="L453" s="6">
        <v>93</v>
      </c>
      <c r="M453" s="7" t="s">
        <v>55</v>
      </c>
      <c r="N453" s="7" t="s">
        <v>44</v>
      </c>
      <c r="O453" s="7" t="s">
        <v>37</v>
      </c>
      <c r="P453" s="5">
        <v>35</v>
      </c>
      <c r="Q453" s="4">
        <v>4.8</v>
      </c>
      <c r="R453" s="7" t="b">
        <v>1</v>
      </c>
      <c r="S453" s="7" t="s">
        <v>30</v>
      </c>
      <c r="T453" s="5">
        <v>2652</v>
      </c>
      <c r="U453" s="7" t="s">
        <v>58</v>
      </c>
      <c r="V453" t="s">
        <v>39</v>
      </c>
      <c r="W453" s="7" t="s">
        <v>40</v>
      </c>
    </row>
    <row r="454" spans="1:23" x14ac:dyDescent="0.3">
      <c r="A454" s="6">
        <v>5871</v>
      </c>
      <c r="B454" s="7" t="s">
        <v>508</v>
      </c>
      <c r="C454" t="s">
        <v>509</v>
      </c>
      <c r="D454" s="1">
        <v>45394</v>
      </c>
      <c r="E454" s="8">
        <v>7.99</v>
      </c>
      <c r="F454" s="6">
        <v>120</v>
      </c>
      <c r="G454" s="7" t="s">
        <v>100</v>
      </c>
      <c r="H454" s="6">
        <v>3</v>
      </c>
      <c r="I454" s="6">
        <v>5</v>
      </c>
      <c r="J454" s="7" t="b">
        <v>1</v>
      </c>
      <c r="K454" s="6">
        <v>783</v>
      </c>
      <c r="L454" s="6">
        <v>81</v>
      </c>
      <c r="M454" s="7" t="s">
        <v>43</v>
      </c>
      <c r="N454" s="7" t="s">
        <v>28</v>
      </c>
      <c r="O454" s="7" t="s">
        <v>45</v>
      </c>
      <c r="P454" s="5">
        <v>52</v>
      </c>
      <c r="Q454" s="4">
        <v>4.3</v>
      </c>
      <c r="R454" s="7" t="b">
        <v>0</v>
      </c>
      <c r="S454" s="7" t="s">
        <v>30</v>
      </c>
      <c r="T454" s="5">
        <v>4879</v>
      </c>
      <c r="U454" s="7" t="s">
        <v>65</v>
      </c>
      <c r="V454" t="s">
        <v>79</v>
      </c>
      <c r="W454" s="7" t="s">
        <v>93</v>
      </c>
    </row>
    <row r="455" spans="1:23" x14ac:dyDescent="0.3">
      <c r="A455" s="6">
        <v>9290</v>
      </c>
      <c r="B455" s="7" t="s">
        <v>510</v>
      </c>
      <c r="C455" s="1">
        <v>45180</v>
      </c>
      <c r="D455" s="1">
        <v>45516</v>
      </c>
      <c r="E455" s="8">
        <v>15.99</v>
      </c>
      <c r="F455" s="6">
        <v>168</v>
      </c>
      <c r="G455" s="7" t="s">
        <v>26</v>
      </c>
      <c r="H455" s="6">
        <v>5</v>
      </c>
      <c r="I455" s="6">
        <v>4</v>
      </c>
      <c r="J455" s="7" t="b">
        <v>1</v>
      </c>
      <c r="K455" s="6">
        <v>304</v>
      </c>
      <c r="L455" s="6">
        <v>196</v>
      </c>
      <c r="M455" s="7" t="s">
        <v>27</v>
      </c>
      <c r="N455" s="7" t="s">
        <v>44</v>
      </c>
      <c r="O455" s="7" t="s">
        <v>57</v>
      </c>
      <c r="P455" s="5">
        <v>44</v>
      </c>
      <c r="Q455" s="4">
        <v>4.0999999999999996</v>
      </c>
      <c r="R455" s="7" t="b">
        <v>0</v>
      </c>
      <c r="S455" s="7" t="s">
        <v>30</v>
      </c>
      <c r="T455" s="5">
        <v>1426</v>
      </c>
      <c r="U455" s="7" t="s">
        <v>58</v>
      </c>
      <c r="V455" t="s">
        <v>32</v>
      </c>
      <c r="W455" s="7" t="s">
        <v>93</v>
      </c>
    </row>
    <row r="456" spans="1:23" x14ac:dyDescent="0.3">
      <c r="A456" s="6">
        <v>8567</v>
      </c>
      <c r="B456" s="7" t="s">
        <v>88</v>
      </c>
      <c r="C456" t="s">
        <v>95</v>
      </c>
      <c r="D456" t="s">
        <v>25</v>
      </c>
      <c r="E456" s="8">
        <v>7.99</v>
      </c>
      <c r="F456" s="6">
        <v>203</v>
      </c>
      <c r="G456" s="7" t="s">
        <v>48</v>
      </c>
      <c r="H456" s="6">
        <v>1</v>
      </c>
      <c r="I456" s="6">
        <v>3</v>
      </c>
      <c r="J456" s="7" t="b">
        <v>1</v>
      </c>
      <c r="K456" s="6">
        <v>738</v>
      </c>
      <c r="L456" s="6">
        <v>96</v>
      </c>
      <c r="M456" s="7" t="s">
        <v>68</v>
      </c>
      <c r="N456" s="7" t="s">
        <v>75</v>
      </c>
      <c r="O456" s="7" t="s">
        <v>78</v>
      </c>
      <c r="P456" s="5">
        <v>10</v>
      </c>
      <c r="Q456" s="4">
        <v>4</v>
      </c>
      <c r="R456" s="7" t="b">
        <v>0</v>
      </c>
      <c r="S456" s="7" t="s">
        <v>30</v>
      </c>
      <c r="T456" s="5">
        <v>1504</v>
      </c>
      <c r="U456" s="7" t="s">
        <v>65</v>
      </c>
      <c r="V456" t="s">
        <v>59</v>
      </c>
      <c r="W456" s="7" t="s">
        <v>93</v>
      </c>
    </row>
    <row r="457" spans="1:23" x14ac:dyDescent="0.3">
      <c r="A457" s="6">
        <v>5253</v>
      </c>
      <c r="B457" s="7" t="s">
        <v>502</v>
      </c>
      <c r="C457" s="1">
        <v>45119</v>
      </c>
      <c r="D457" t="s">
        <v>156</v>
      </c>
      <c r="E457" s="8">
        <v>11.99</v>
      </c>
      <c r="F457" s="6">
        <v>436</v>
      </c>
      <c r="G457" s="7" t="s">
        <v>73</v>
      </c>
      <c r="H457" s="6">
        <v>5</v>
      </c>
      <c r="I457" s="6">
        <v>5</v>
      </c>
      <c r="J457" s="7" t="b">
        <v>1</v>
      </c>
      <c r="K457" s="6">
        <v>228</v>
      </c>
      <c r="L457" s="6">
        <v>110</v>
      </c>
      <c r="M457" s="7" t="s">
        <v>68</v>
      </c>
      <c r="N457" s="7" t="s">
        <v>75</v>
      </c>
      <c r="O457" s="7" t="s">
        <v>29</v>
      </c>
      <c r="P457" s="5">
        <v>78</v>
      </c>
      <c r="Q457" s="4">
        <v>4.5</v>
      </c>
      <c r="R457" s="7" t="b">
        <v>1</v>
      </c>
      <c r="S457" s="7" t="s">
        <v>30</v>
      </c>
      <c r="T457" s="5">
        <v>1518</v>
      </c>
      <c r="U457" s="7" t="s">
        <v>38</v>
      </c>
      <c r="V457" t="s">
        <v>32</v>
      </c>
      <c r="W457" s="7" t="s">
        <v>60</v>
      </c>
    </row>
    <row r="458" spans="1:23" x14ac:dyDescent="0.3">
      <c r="A458" s="6">
        <v>8172</v>
      </c>
      <c r="B458" s="7" t="s">
        <v>511</v>
      </c>
      <c r="C458" t="s">
        <v>512</v>
      </c>
      <c r="D458" t="s">
        <v>72</v>
      </c>
      <c r="E458" s="8">
        <v>11.99</v>
      </c>
      <c r="F458" s="6">
        <v>195</v>
      </c>
      <c r="G458" s="7" t="s">
        <v>100</v>
      </c>
      <c r="H458" s="6">
        <v>5</v>
      </c>
      <c r="I458" s="6">
        <v>6</v>
      </c>
      <c r="J458" s="7" t="b">
        <v>1</v>
      </c>
      <c r="K458" s="6">
        <v>997</v>
      </c>
      <c r="L458" s="6">
        <v>107</v>
      </c>
      <c r="M458" s="7" t="s">
        <v>43</v>
      </c>
      <c r="N458" s="7" t="s">
        <v>56</v>
      </c>
      <c r="O458" s="7" t="s">
        <v>78</v>
      </c>
      <c r="P458" s="5">
        <v>78</v>
      </c>
      <c r="Q458" s="4">
        <v>4.9000000000000004</v>
      </c>
      <c r="R458" s="7" t="b">
        <v>0</v>
      </c>
      <c r="S458" s="7" t="s">
        <v>30</v>
      </c>
      <c r="T458" s="5">
        <v>708</v>
      </c>
      <c r="U458" s="7" t="s">
        <v>76</v>
      </c>
      <c r="V458" t="s">
        <v>69</v>
      </c>
      <c r="W458" s="7" t="s">
        <v>40</v>
      </c>
    </row>
    <row r="459" spans="1:23" x14ac:dyDescent="0.3">
      <c r="A459" s="6">
        <v>2154</v>
      </c>
      <c r="B459" s="7" t="s">
        <v>96</v>
      </c>
      <c r="C459" s="1">
        <v>45242</v>
      </c>
      <c r="D459" s="1">
        <v>45424</v>
      </c>
      <c r="E459" s="8">
        <v>7.99</v>
      </c>
      <c r="F459" s="6">
        <v>454</v>
      </c>
      <c r="G459" s="7" t="s">
        <v>36</v>
      </c>
      <c r="H459" s="6">
        <v>5</v>
      </c>
      <c r="I459" s="6">
        <v>1</v>
      </c>
      <c r="J459" s="7" t="b">
        <v>1</v>
      </c>
      <c r="K459" s="6">
        <v>722</v>
      </c>
      <c r="L459" s="6">
        <v>98</v>
      </c>
      <c r="M459" s="7" t="s">
        <v>49</v>
      </c>
      <c r="N459" s="7" t="s">
        <v>56</v>
      </c>
      <c r="O459" s="7" t="s">
        <v>45</v>
      </c>
      <c r="P459" s="5">
        <v>36</v>
      </c>
      <c r="Q459" s="4">
        <v>3.4</v>
      </c>
      <c r="R459" s="7" t="b">
        <v>0</v>
      </c>
      <c r="S459" s="7" t="s">
        <v>30</v>
      </c>
      <c r="T459" s="5">
        <v>4651</v>
      </c>
      <c r="U459" s="7" t="s">
        <v>76</v>
      </c>
      <c r="V459" t="s">
        <v>32</v>
      </c>
      <c r="W459" s="7" t="s">
        <v>40</v>
      </c>
    </row>
    <row r="460" spans="1:23" x14ac:dyDescent="0.3">
      <c r="A460" s="6">
        <v>5013</v>
      </c>
      <c r="B460" s="7" t="s">
        <v>513</v>
      </c>
      <c r="C460" t="s">
        <v>514</v>
      </c>
      <c r="D460" t="s">
        <v>156</v>
      </c>
      <c r="E460" s="8">
        <v>15.99</v>
      </c>
      <c r="F460" s="6">
        <v>187</v>
      </c>
      <c r="G460" s="7" t="s">
        <v>36</v>
      </c>
      <c r="H460" s="6">
        <v>1</v>
      </c>
      <c r="I460" s="6">
        <v>1</v>
      </c>
      <c r="J460" s="7" t="b">
        <v>0</v>
      </c>
      <c r="K460" s="6">
        <v>316</v>
      </c>
      <c r="L460" s="6">
        <v>10</v>
      </c>
      <c r="M460" s="7" t="s">
        <v>49</v>
      </c>
      <c r="N460" s="7" t="s">
        <v>28</v>
      </c>
      <c r="O460" s="7" t="s">
        <v>64</v>
      </c>
      <c r="P460" s="5">
        <v>8</v>
      </c>
      <c r="Q460" s="4">
        <v>4.7</v>
      </c>
      <c r="R460" s="7" t="b">
        <v>0</v>
      </c>
      <c r="S460" s="7" t="s">
        <v>30</v>
      </c>
      <c r="T460" s="5">
        <v>4397</v>
      </c>
      <c r="U460" s="7" t="s">
        <v>31</v>
      </c>
      <c r="V460" t="s">
        <v>79</v>
      </c>
      <c r="W460" s="7" t="s">
        <v>33</v>
      </c>
    </row>
    <row r="461" spans="1:23" x14ac:dyDescent="0.3">
      <c r="A461" s="6">
        <v>4211</v>
      </c>
      <c r="B461" s="7" t="s">
        <v>515</v>
      </c>
      <c r="C461" s="1">
        <v>45483</v>
      </c>
      <c r="D461" s="1">
        <v>45303</v>
      </c>
      <c r="E461" s="8">
        <v>7.99</v>
      </c>
      <c r="F461" s="6">
        <v>277</v>
      </c>
      <c r="G461" s="7" t="s">
        <v>100</v>
      </c>
      <c r="H461" s="6">
        <v>1</v>
      </c>
      <c r="I461" s="6">
        <v>3</v>
      </c>
      <c r="J461" s="7" t="b">
        <v>1</v>
      </c>
      <c r="K461" s="6">
        <v>455</v>
      </c>
      <c r="L461" s="6">
        <v>120</v>
      </c>
      <c r="M461" s="7" t="s">
        <v>92</v>
      </c>
      <c r="N461" s="7" t="s">
        <v>28</v>
      </c>
      <c r="O461" s="7" t="s">
        <v>57</v>
      </c>
      <c r="P461" s="5">
        <v>92</v>
      </c>
      <c r="Q461" s="4">
        <v>4.7</v>
      </c>
      <c r="R461" s="7" t="b">
        <v>0</v>
      </c>
      <c r="S461" s="7" t="s">
        <v>30</v>
      </c>
      <c r="T461" s="5">
        <v>1360</v>
      </c>
      <c r="U461" s="7" t="s">
        <v>65</v>
      </c>
      <c r="V461" t="s">
        <v>59</v>
      </c>
      <c r="W461" s="7" t="s">
        <v>93</v>
      </c>
    </row>
    <row r="462" spans="1:23" x14ac:dyDescent="0.3">
      <c r="A462" s="6">
        <v>4408</v>
      </c>
      <c r="B462" s="7" t="s">
        <v>238</v>
      </c>
      <c r="C462" t="s">
        <v>516</v>
      </c>
      <c r="D462" t="s">
        <v>90</v>
      </c>
      <c r="E462" s="8">
        <v>7.99</v>
      </c>
      <c r="F462" s="6">
        <v>257</v>
      </c>
      <c r="G462" s="7" t="s">
        <v>100</v>
      </c>
      <c r="H462" s="6">
        <v>3</v>
      </c>
      <c r="I462" s="6">
        <v>6</v>
      </c>
      <c r="J462" s="7" t="b">
        <v>1</v>
      </c>
      <c r="K462" s="6">
        <v>985</v>
      </c>
      <c r="L462" s="6">
        <v>97</v>
      </c>
      <c r="M462" s="7" t="s">
        <v>49</v>
      </c>
      <c r="N462" s="7" t="s">
        <v>56</v>
      </c>
      <c r="O462" s="7" t="s">
        <v>45</v>
      </c>
      <c r="P462" s="5">
        <v>88</v>
      </c>
      <c r="Q462" s="4">
        <v>3.9</v>
      </c>
      <c r="R462" s="7" t="b">
        <v>1</v>
      </c>
      <c r="S462" s="7" t="s">
        <v>30</v>
      </c>
      <c r="T462" s="5">
        <v>4155</v>
      </c>
      <c r="U462" s="7" t="s">
        <v>38</v>
      </c>
      <c r="V462" t="s">
        <v>59</v>
      </c>
      <c r="W462" s="7" t="s">
        <v>60</v>
      </c>
    </row>
    <row r="463" spans="1:23" x14ac:dyDescent="0.3">
      <c r="A463" s="6">
        <v>8473</v>
      </c>
      <c r="B463" s="7" t="s">
        <v>517</v>
      </c>
      <c r="C463" t="s">
        <v>308</v>
      </c>
      <c r="D463" s="1">
        <v>45638</v>
      </c>
      <c r="E463" s="8">
        <v>11.99</v>
      </c>
      <c r="F463" s="6">
        <v>12</v>
      </c>
      <c r="G463" s="7" t="s">
        <v>51</v>
      </c>
      <c r="H463" s="6">
        <v>4</v>
      </c>
      <c r="I463" s="6">
        <v>6</v>
      </c>
      <c r="J463" s="7" t="b">
        <v>0</v>
      </c>
      <c r="K463" s="6">
        <v>718</v>
      </c>
      <c r="L463" s="6">
        <v>100</v>
      </c>
      <c r="M463" s="7" t="s">
        <v>92</v>
      </c>
      <c r="N463" s="7" t="s">
        <v>44</v>
      </c>
      <c r="O463" s="7" t="s">
        <v>45</v>
      </c>
      <c r="P463" s="5">
        <v>24</v>
      </c>
      <c r="Q463" s="4">
        <v>4.0999999999999996</v>
      </c>
      <c r="R463" s="7" t="b">
        <v>0</v>
      </c>
      <c r="S463" s="7" t="s">
        <v>30</v>
      </c>
      <c r="T463" s="5">
        <v>1289</v>
      </c>
      <c r="U463" s="7" t="s">
        <v>31</v>
      </c>
      <c r="V463" t="s">
        <v>59</v>
      </c>
      <c r="W463" s="7" t="s">
        <v>60</v>
      </c>
    </row>
    <row r="464" spans="1:23" x14ac:dyDescent="0.3">
      <c r="A464" s="6">
        <v>7510</v>
      </c>
      <c r="B464" s="7" t="s">
        <v>518</v>
      </c>
      <c r="C464" t="s">
        <v>519</v>
      </c>
      <c r="D464" t="s">
        <v>168</v>
      </c>
      <c r="E464" s="8">
        <v>7.99</v>
      </c>
      <c r="F464" s="6">
        <v>362</v>
      </c>
      <c r="G464" s="7" t="s">
        <v>100</v>
      </c>
      <c r="H464" s="6">
        <v>2</v>
      </c>
      <c r="I464" s="6">
        <v>4</v>
      </c>
      <c r="J464" s="7" t="b">
        <v>1</v>
      </c>
      <c r="K464" s="6">
        <v>923</v>
      </c>
      <c r="L464" s="6">
        <v>57</v>
      </c>
      <c r="M464" s="7" t="s">
        <v>92</v>
      </c>
      <c r="N464" s="7" t="s">
        <v>28</v>
      </c>
      <c r="O464" s="7" t="s">
        <v>37</v>
      </c>
      <c r="P464" s="5">
        <v>38</v>
      </c>
      <c r="Q464" s="4">
        <v>4.8</v>
      </c>
      <c r="R464" s="7" t="b">
        <v>0</v>
      </c>
      <c r="S464" s="7" t="s">
        <v>30</v>
      </c>
      <c r="T464" s="5">
        <v>2922</v>
      </c>
      <c r="U464" s="7" t="s">
        <v>65</v>
      </c>
      <c r="V464" t="s">
        <v>32</v>
      </c>
      <c r="W464" s="7" t="s">
        <v>93</v>
      </c>
    </row>
    <row r="465" spans="1:23" x14ac:dyDescent="0.3">
      <c r="A465" s="6">
        <v>5376</v>
      </c>
      <c r="B465" s="7" t="s">
        <v>224</v>
      </c>
      <c r="C465" s="1">
        <v>45111</v>
      </c>
      <c r="D465" t="s">
        <v>214</v>
      </c>
      <c r="E465" s="8">
        <v>7.99</v>
      </c>
      <c r="F465" s="6">
        <v>89</v>
      </c>
      <c r="G465" s="7" t="s">
        <v>100</v>
      </c>
      <c r="H465" s="6">
        <v>2</v>
      </c>
      <c r="I465" s="6">
        <v>4</v>
      </c>
      <c r="J465" s="7" t="b">
        <v>1</v>
      </c>
      <c r="K465" s="6">
        <v>174</v>
      </c>
      <c r="L465" s="6">
        <v>178</v>
      </c>
      <c r="M465" s="7" t="s">
        <v>74</v>
      </c>
      <c r="N465" s="7" t="s">
        <v>28</v>
      </c>
      <c r="O465" s="7" t="s">
        <v>78</v>
      </c>
      <c r="P465" s="5">
        <v>7</v>
      </c>
      <c r="Q465" s="4">
        <v>3.7</v>
      </c>
      <c r="R465" s="7" t="b">
        <v>0</v>
      </c>
      <c r="S465" s="7" t="s">
        <v>30</v>
      </c>
      <c r="T465" s="5">
        <v>28</v>
      </c>
      <c r="U465" s="7" t="s">
        <v>65</v>
      </c>
      <c r="V465" t="s">
        <v>32</v>
      </c>
      <c r="W465" s="7" t="s">
        <v>60</v>
      </c>
    </row>
    <row r="466" spans="1:23" x14ac:dyDescent="0.3">
      <c r="A466" s="6">
        <v>8005</v>
      </c>
      <c r="B466" s="7" t="s">
        <v>254</v>
      </c>
      <c r="C466" s="1">
        <v>45141</v>
      </c>
      <c r="D466" t="s">
        <v>42</v>
      </c>
      <c r="E466" s="8">
        <v>7.99</v>
      </c>
      <c r="F466" s="6">
        <v>123</v>
      </c>
      <c r="G466" s="7" t="s">
        <v>51</v>
      </c>
      <c r="H466" s="6">
        <v>5</v>
      </c>
      <c r="I466" s="6">
        <v>5</v>
      </c>
      <c r="J466" s="7" t="b">
        <v>1</v>
      </c>
      <c r="K466" s="6">
        <v>253</v>
      </c>
      <c r="L466" s="6">
        <v>157</v>
      </c>
      <c r="M466" s="7" t="s">
        <v>49</v>
      </c>
      <c r="N466" s="7" t="s">
        <v>28</v>
      </c>
      <c r="O466" s="7" t="s">
        <v>57</v>
      </c>
      <c r="P466" s="5">
        <v>85</v>
      </c>
      <c r="Q466" s="4">
        <v>4</v>
      </c>
      <c r="R466" s="7" t="b">
        <v>0</v>
      </c>
      <c r="S466" s="7" t="s">
        <v>30</v>
      </c>
      <c r="T466" s="5">
        <v>3083</v>
      </c>
      <c r="U466" s="7" t="s">
        <v>58</v>
      </c>
      <c r="V466" t="s">
        <v>69</v>
      </c>
      <c r="W466" s="7" t="s">
        <v>33</v>
      </c>
    </row>
    <row r="467" spans="1:23" x14ac:dyDescent="0.3">
      <c r="A467" s="6">
        <v>7439</v>
      </c>
      <c r="B467" s="7" t="s">
        <v>199</v>
      </c>
      <c r="C467" t="s">
        <v>520</v>
      </c>
      <c r="D467" s="1">
        <v>45424</v>
      </c>
      <c r="E467" s="8">
        <v>15.99</v>
      </c>
      <c r="F467" s="6">
        <v>427</v>
      </c>
      <c r="G467" s="7" t="s">
        <v>73</v>
      </c>
      <c r="H467" s="6">
        <v>1</v>
      </c>
      <c r="I467" s="6">
        <v>1</v>
      </c>
      <c r="J467" s="7" t="b">
        <v>0</v>
      </c>
      <c r="K467" s="6">
        <v>479</v>
      </c>
      <c r="L467" s="6">
        <v>98</v>
      </c>
      <c r="M467" s="7" t="s">
        <v>27</v>
      </c>
      <c r="N467" s="7" t="s">
        <v>28</v>
      </c>
      <c r="O467" s="7" t="s">
        <v>64</v>
      </c>
      <c r="P467" s="5">
        <v>18</v>
      </c>
      <c r="Q467" s="4">
        <v>3.8</v>
      </c>
      <c r="R467" s="7" t="b">
        <v>1</v>
      </c>
      <c r="S467" s="7" t="s">
        <v>30</v>
      </c>
      <c r="T467" s="5">
        <v>547</v>
      </c>
      <c r="U467" s="7" t="s">
        <v>76</v>
      </c>
      <c r="V467" t="s">
        <v>79</v>
      </c>
      <c r="W467" s="7" t="s">
        <v>33</v>
      </c>
    </row>
    <row r="468" spans="1:23" x14ac:dyDescent="0.3">
      <c r="A468" s="6">
        <v>3699</v>
      </c>
      <c r="B468" s="7" t="s">
        <v>411</v>
      </c>
      <c r="C468" t="s">
        <v>437</v>
      </c>
      <c r="D468" t="s">
        <v>156</v>
      </c>
      <c r="E468" s="8">
        <v>15.99</v>
      </c>
      <c r="F468" s="6">
        <v>439</v>
      </c>
      <c r="G468" s="7" t="s">
        <v>100</v>
      </c>
      <c r="H468" s="6">
        <v>2</v>
      </c>
      <c r="I468" s="6">
        <v>4</v>
      </c>
      <c r="J468" s="7" t="b">
        <v>0</v>
      </c>
      <c r="K468" s="6">
        <v>932</v>
      </c>
      <c r="L468" s="6">
        <v>98</v>
      </c>
      <c r="M468" s="7" t="s">
        <v>92</v>
      </c>
      <c r="N468" s="7" t="s">
        <v>75</v>
      </c>
      <c r="O468" s="7" t="s">
        <v>29</v>
      </c>
      <c r="P468" s="5">
        <v>58</v>
      </c>
      <c r="Q468" s="4">
        <v>4.9000000000000004</v>
      </c>
      <c r="R468" s="7" t="b">
        <v>0</v>
      </c>
      <c r="S468" s="7" t="s">
        <v>30</v>
      </c>
      <c r="T468" s="5">
        <v>239</v>
      </c>
      <c r="U468" s="7" t="s">
        <v>76</v>
      </c>
      <c r="V468" t="s">
        <v>32</v>
      </c>
      <c r="W468" s="7" t="s">
        <v>93</v>
      </c>
    </row>
    <row r="469" spans="1:23" x14ac:dyDescent="0.3">
      <c r="A469" s="6">
        <v>3162</v>
      </c>
      <c r="B469" s="7" t="s">
        <v>157</v>
      </c>
      <c r="C469" t="s">
        <v>229</v>
      </c>
      <c r="D469" t="s">
        <v>25</v>
      </c>
      <c r="E469" s="8">
        <v>15.99</v>
      </c>
      <c r="F469" s="6">
        <v>396</v>
      </c>
      <c r="G469" s="7" t="s">
        <v>63</v>
      </c>
      <c r="H469" s="6">
        <v>3</v>
      </c>
      <c r="I469" s="6">
        <v>3</v>
      </c>
      <c r="J469" s="7" t="b">
        <v>1</v>
      </c>
      <c r="K469" s="6">
        <v>175</v>
      </c>
      <c r="L469" s="6">
        <v>17</v>
      </c>
      <c r="M469" s="7" t="s">
        <v>27</v>
      </c>
      <c r="N469" s="7" t="s">
        <v>56</v>
      </c>
      <c r="O469" s="7" t="s">
        <v>78</v>
      </c>
      <c r="P469" s="5">
        <v>11</v>
      </c>
      <c r="Q469" s="4">
        <v>3.4</v>
      </c>
      <c r="R469" s="7" t="b">
        <v>0</v>
      </c>
      <c r="S469" s="7" t="s">
        <v>30</v>
      </c>
      <c r="T469" s="5">
        <v>3516</v>
      </c>
      <c r="U469" s="7" t="s">
        <v>31</v>
      </c>
      <c r="V469" t="s">
        <v>32</v>
      </c>
      <c r="W469" s="7" t="s">
        <v>40</v>
      </c>
    </row>
    <row r="470" spans="1:23" x14ac:dyDescent="0.3">
      <c r="A470" s="6">
        <v>8798</v>
      </c>
      <c r="B470" s="7" t="s">
        <v>521</v>
      </c>
      <c r="C470" t="s">
        <v>522</v>
      </c>
      <c r="D470" t="s">
        <v>35</v>
      </c>
      <c r="E470" s="8">
        <v>15.99</v>
      </c>
      <c r="F470" s="6">
        <v>453</v>
      </c>
      <c r="G470" s="7" t="s">
        <v>63</v>
      </c>
      <c r="H470" s="6">
        <v>5</v>
      </c>
      <c r="I470" s="6">
        <v>2</v>
      </c>
      <c r="J470" s="7" t="b">
        <v>1</v>
      </c>
      <c r="K470" s="6">
        <v>591</v>
      </c>
      <c r="L470" s="6">
        <v>169</v>
      </c>
      <c r="M470" s="7" t="s">
        <v>43</v>
      </c>
      <c r="N470" s="7" t="s">
        <v>28</v>
      </c>
      <c r="O470" s="7" t="s">
        <v>64</v>
      </c>
      <c r="P470" s="5">
        <v>72</v>
      </c>
      <c r="Q470" s="4">
        <v>4.0999999999999996</v>
      </c>
      <c r="R470" s="7" t="b">
        <v>1</v>
      </c>
      <c r="S470" s="7" t="s">
        <v>30</v>
      </c>
      <c r="T470" s="5">
        <v>4031</v>
      </c>
      <c r="U470" s="7" t="s">
        <v>76</v>
      </c>
      <c r="V470" t="s">
        <v>39</v>
      </c>
      <c r="W470" s="7" t="s">
        <v>40</v>
      </c>
    </row>
    <row r="471" spans="1:23" x14ac:dyDescent="0.3">
      <c r="A471" s="6">
        <v>6400</v>
      </c>
      <c r="B471" s="7" t="s">
        <v>177</v>
      </c>
      <c r="C471" t="s">
        <v>346</v>
      </c>
      <c r="D471" t="s">
        <v>42</v>
      </c>
      <c r="E471" s="8">
        <v>11.99</v>
      </c>
      <c r="F471" s="6">
        <v>356</v>
      </c>
      <c r="G471" s="7" t="s">
        <v>63</v>
      </c>
      <c r="H471" s="6">
        <v>3</v>
      </c>
      <c r="I471" s="6">
        <v>2</v>
      </c>
      <c r="J471" s="7" t="b">
        <v>1</v>
      </c>
      <c r="K471" s="6">
        <v>776</v>
      </c>
      <c r="L471" s="6">
        <v>40</v>
      </c>
      <c r="M471" s="7" t="s">
        <v>27</v>
      </c>
      <c r="N471" s="7" t="s">
        <v>56</v>
      </c>
      <c r="O471" s="7" t="s">
        <v>45</v>
      </c>
      <c r="P471" s="5">
        <v>56</v>
      </c>
      <c r="Q471" s="4">
        <v>3.4</v>
      </c>
      <c r="R471" s="7" t="b">
        <v>1</v>
      </c>
      <c r="S471" s="7" t="s">
        <v>30</v>
      </c>
      <c r="T471" s="5">
        <v>3408</v>
      </c>
      <c r="U471" s="7" t="s">
        <v>76</v>
      </c>
      <c r="V471" t="s">
        <v>32</v>
      </c>
      <c r="W471" s="7" t="s">
        <v>40</v>
      </c>
    </row>
    <row r="472" spans="1:23" x14ac:dyDescent="0.3">
      <c r="A472" s="6">
        <v>9404</v>
      </c>
      <c r="B472" s="7" t="s">
        <v>157</v>
      </c>
      <c r="C472" s="1">
        <v>45208</v>
      </c>
      <c r="D472" s="1">
        <v>45363</v>
      </c>
      <c r="E472" s="8">
        <v>15.99</v>
      </c>
      <c r="F472" s="6">
        <v>192</v>
      </c>
      <c r="G472" s="7" t="s">
        <v>48</v>
      </c>
      <c r="H472" s="6">
        <v>1</v>
      </c>
      <c r="I472" s="6">
        <v>3</v>
      </c>
      <c r="J472" s="7" t="b">
        <v>1</v>
      </c>
      <c r="K472" s="6">
        <v>229</v>
      </c>
      <c r="L472" s="6">
        <v>54</v>
      </c>
      <c r="M472" s="7" t="s">
        <v>74</v>
      </c>
      <c r="N472" s="7" t="s">
        <v>28</v>
      </c>
      <c r="O472" s="7" t="s">
        <v>57</v>
      </c>
      <c r="P472" s="5">
        <v>87</v>
      </c>
      <c r="Q472" s="4">
        <v>3.1</v>
      </c>
      <c r="R472" s="7" t="b">
        <v>0</v>
      </c>
      <c r="S472" s="7" t="s">
        <v>30</v>
      </c>
      <c r="T472" s="5">
        <v>3849</v>
      </c>
      <c r="U472" s="7" t="s">
        <v>58</v>
      </c>
      <c r="V472" t="s">
        <v>69</v>
      </c>
      <c r="W472" s="7" t="s">
        <v>93</v>
      </c>
    </row>
    <row r="473" spans="1:23" x14ac:dyDescent="0.3">
      <c r="A473" s="6">
        <v>8151</v>
      </c>
      <c r="B473" s="7" t="s">
        <v>106</v>
      </c>
      <c r="C473" t="s">
        <v>523</v>
      </c>
      <c r="D473" t="s">
        <v>156</v>
      </c>
      <c r="E473" s="8">
        <v>11.99</v>
      </c>
      <c r="F473" s="6">
        <v>483</v>
      </c>
      <c r="G473" s="7" t="s">
        <v>100</v>
      </c>
      <c r="H473" s="6">
        <v>3</v>
      </c>
      <c r="I473" s="6">
        <v>6</v>
      </c>
      <c r="J473" s="7" t="b">
        <v>0</v>
      </c>
      <c r="K473" s="6">
        <v>730</v>
      </c>
      <c r="L473" s="6">
        <v>98</v>
      </c>
      <c r="M473" s="7" t="s">
        <v>43</v>
      </c>
      <c r="N473" s="7" t="s">
        <v>75</v>
      </c>
      <c r="O473" s="7" t="s">
        <v>45</v>
      </c>
      <c r="P473" s="5">
        <v>29</v>
      </c>
      <c r="Q473" s="4">
        <v>3.8</v>
      </c>
      <c r="R473" s="7" t="b">
        <v>0</v>
      </c>
      <c r="S473" s="7" t="s">
        <v>30</v>
      </c>
      <c r="T473" s="5">
        <v>1813</v>
      </c>
      <c r="U473" s="7" t="s">
        <v>38</v>
      </c>
      <c r="V473" t="s">
        <v>32</v>
      </c>
      <c r="W473" s="7" t="s">
        <v>40</v>
      </c>
    </row>
    <row r="474" spans="1:23" x14ac:dyDescent="0.3">
      <c r="A474" s="6">
        <v>7742</v>
      </c>
      <c r="B474" s="7" t="s">
        <v>153</v>
      </c>
      <c r="C474" t="s">
        <v>420</v>
      </c>
      <c r="D474" t="s">
        <v>82</v>
      </c>
      <c r="E474" s="8">
        <v>11.99</v>
      </c>
      <c r="F474" s="6">
        <v>17</v>
      </c>
      <c r="G474" s="7" t="s">
        <v>73</v>
      </c>
      <c r="H474" s="6">
        <v>2</v>
      </c>
      <c r="I474" s="6">
        <v>3</v>
      </c>
      <c r="J474" s="7" t="b">
        <v>1</v>
      </c>
      <c r="K474" s="6">
        <v>312</v>
      </c>
      <c r="L474" s="6">
        <v>114</v>
      </c>
      <c r="M474" s="7" t="s">
        <v>27</v>
      </c>
      <c r="N474" s="7" t="s">
        <v>28</v>
      </c>
      <c r="O474" s="7" t="s">
        <v>37</v>
      </c>
      <c r="P474" s="5">
        <v>15</v>
      </c>
      <c r="Q474" s="4">
        <v>3.6</v>
      </c>
      <c r="R474" s="7" t="b">
        <v>1</v>
      </c>
      <c r="S474" s="7" t="s">
        <v>30</v>
      </c>
      <c r="T474" s="5">
        <v>2084</v>
      </c>
      <c r="U474" s="7" t="s">
        <v>76</v>
      </c>
      <c r="V474" t="s">
        <v>59</v>
      </c>
      <c r="W474" s="7" t="s">
        <v>60</v>
      </c>
    </row>
    <row r="475" spans="1:23" x14ac:dyDescent="0.3">
      <c r="A475" s="6">
        <v>4553</v>
      </c>
      <c r="B475" s="7" t="s">
        <v>387</v>
      </c>
      <c r="C475" t="s">
        <v>524</v>
      </c>
      <c r="D475" t="s">
        <v>99</v>
      </c>
      <c r="E475" s="8">
        <v>7.99</v>
      </c>
      <c r="F475" s="6">
        <v>272</v>
      </c>
      <c r="G475" s="7" t="s">
        <v>51</v>
      </c>
      <c r="H475" s="6">
        <v>1</v>
      </c>
      <c r="I475" s="6">
        <v>6</v>
      </c>
      <c r="J475" s="7" t="b">
        <v>0</v>
      </c>
      <c r="K475" s="6">
        <v>356</v>
      </c>
      <c r="L475" s="6">
        <v>126</v>
      </c>
      <c r="M475" s="7" t="s">
        <v>55</v>
      </c>
      <c r="N475" s="7" t="s">
        <v>44</v>
      </c>
      <c r="O475" s="7" t="s">
        <v>45</v>
      </c>
      <c r="P475" s="5">
        <v>40</v>
      </c>
      <c r="Q475" s="4">
        <v>4.3</v>
      </c>
      <c r="R475" s="7" t="b">
        <v>1</v>
      </c>
      <c r="S475" s="7" t="s">
        <v>30</v>
      </c>
      <c r="T475" s="5">
        <v>749</v>
      </c>
      <c r="U475" s="7" t="s">
        <v>58</v>
      </c>
      <c r="V475" t="s">
        <v>39</v>
      </c>
      <c r="W475" s="7" t="s">
        <v>60</v>
      </c>
    </row>
    <row r="476" spans="1:23" x14ac:dyDescent="0.3">
      <c r="A476" s="6">
        <v>6919</v>
      </c>
      <c r="B476" s="7" t="s">
        <v>525</v>
      </c>
      <c r="C476" t="s">
        <v>308</v>
      </c>
      <c r="D476" t="s">
        <v>156</v>
      </c>
      <c r="E476" s="8">
        <v>7.99</v>
      </c>
      <c r="F476" s="6">
        <v>195</v>
      </c>
      <c r="G476" s="7" t="s">
        <v>26</v>
      </c>
      <c r="H476" s="6">
        <v>4</v>
      </c>
      <c r="I476" s="6">
        <v>3</v>
      </c>
      <c r="J476" s="7" t="b">
        <v>1</v>
      </c>
      <c r="K476" s="6">
        <v>49</v>
      </c>
      <c r="L476" s="6">
        <v>30</v>
      </c>
      <c r="M476" s="7" t="s">
        <v>43</v>
      </c>
      <c r="N476" s="7" t="s">
        <v>28</v>
      </c>
      <c r="O476" s="7" t="s">
        <v>37</v>
      </c>
      <c r="P476" s="5">
        <v>68</v>
      </c>
      <c r="Q476" s="4">
        <v>4.4000000000000004</v>
      </c>
      <c r="R476" s="7" t="b">
        <v>0</v>
      </c>
      <c r="S476" s="7" t="s">
        <v>30</v>
      </c>
      <c r="T476" s="5">
        <v>3157</v>
      </c>
      <c r="U476" s="7" t="s">
        <v>58</v>
      </c>
      <c r="V476" t="s">
        <v>59</v>
      </c>
      <c r="W476" s="7" t="s">
        <v>60</v>
      </c>
    </row>
    <row r="477" spans="1:23" x14ac:dyDescent="0.3">
      <c r="A477" s="6">
        <v>7168</v>
      </c>
      <c r="B477" s="7" t="s">
        <v>367</v>
      </c>
      <c r="C477" s="1">
        <v>45566</v>
      </c>
      <c r="D477" t="s">
        <v>134</v>
      </c>
      <c r="E477" s="8">
        <v>11.99</v>
      </c>
      <c r="F477" s="6">
        <v>416</v>
      </c>
      <c r="G477" s="7" t="s">
        <v>48</v>
      </c>
      <c r="H477" s="6">
        <v>3</v>
      </c>
      <c r="I477" s="6">
        <v>1</v>
      </c>
      <c r="J477" s="7" t="b">
        <v>1</v>
      </c>
      <c r="K477" s="6">
        <v>774</v>
      </c>
      <c r="L477" s="6">
        <v>55</v>
      </c>
      <c r="M477" s="7" t="s">
        <v>92</v>
      </c>
      <c r="N477" s="7" t="s">
        <v>28</v>
      </c>
      <c r="O477" s="7" t="s">
        <v>78</v>
      </c>
      <c r="P477" s="5">
        <v>41</v>
      </c>
      <c r="Q477" s="4">
        <v>3.3</v>
      </c>
      <c r="R477" s="7" t="b">
        <v>0</v>
      </c>
      <c r="S477" s="7" t="s">
        <v>30</v>
      </c>
      <c r="T477" s="5">
        <v>173</v>
      </c>
      <c r="U477" s="7" t="s">
        <v>31</v>
      </c>
      <c r="V477" t="s">
        <v>59</v>
      </c>
      <c r="W477" s="7" t="s">
        <v>40</v>
      </c>
    </row>
    <row r="478" spans="1:23" x14ac:dyDescent="0.3">
      <c r="A478" s="6">
        <v>6474</v>
      </c>
      <c r="B478" s="7" t="s">
        <v>272</v>
      </c>
      <c r="C478" t="s">
        <v>526</v>
      </c>
      <c r="D478" t="s">
        <v>54</v>
      </c>
      <c r="E478" s="8">
        <v>15.99</v>
      </c>
      <c r="F478" s="6">
        <v>459</v>
      </c>
      <c r="G478" s="7" t="s">
        <v>51</v>
      </c>
      <c r="H478" s="6">
        <v>5</v>
      </c>
      <c r="I478" s="6">
        <v>5</v>
      </c>
      <c r="J478" s="7" t="b">
        <v>1</v>
      </c>
      <c r="K478" s="6">
        <v>961</v>
      </c>
      <c r="L478" s="6">
        <v>173</v>
      </c>
      <c r="M478" s="7" t="s">
        <v>49</v>
      </c>
      <c r="N478" s="7" t="s">
        <v>28</v>
      </c>
      <c r="O478" s="7" t="s">
        <v>37</v>
      </c>
      <c r="P478" s="5">
        <v>92</v>
      </c>
      <c r="Q478" s="4">
        <v>3.7</v>
      </c>
      <c r="R478" s="7" t="b">
        <v>0</v>
      </c>
      <c r="S478" s="7" t="s">
        <v>30</v>
      </c>
      <c r="T478" s="5">
        <v>2925</v>
      </c>
      <c r="U478" s="7" t="s">
        <v>38</v>
      </c>
      <c r="V478" t="s">
        <v>79</v>
      </c>
      <c r="W478" s="7" t="s">
        <v>33</v>
      </c>
    </row>
    <row r="479" spans="1:23" x14ac:dyDescent="0.3">
      <c r="A479" s="6">
        <v>4242</v>
      </c>
      <c r="B479" s="7" t="s">
        <v>41</v>
      </c>
      <c r="C479" s="1">
        <v>45088</v>
      </c>
      <c r="D479" t="s">
        <v>35</v>
      </c>
      <c r="E479" s="8">
        <v>7.99</v>
      </c>
      <c r="F479" s="6">
        <v>168</v>
      </c>
      <c r="G479" s="7" t="s">
        <v>63</v>
      </c>
      <c r="H479" s="6">
        <v>5</v>
      </c>
      <c r="I479" s="6">
        <v>3</v>
      </c>
      <c r="J479" s="7" t="b">
        <v>1</v>
      </c>
      <c r="K479" s="6">
        <v>539</v>
      </c>
      <c r="L479" s="6">
        <v>48</v>
      </c>
      <c r="M479" s="7" t="s">
        <v>43</v>
      </c>
      <c r="N479" s="7" t="s">
        <v>56</v>
      </c>
      <c r="O479" s="7" t="s">
        <v>29</v>
      </c>
      <c r="P479" s="5">
        <v>82</v>
      </c>
      <c r="Q479" s="4">
        <v>4.3</v>
      </c>
      <c r="R479" s="7" t="b">
        <v>0</v>
      </c>
      <c r="S479" s="7" t="s">
        <v>30</v>
      </c>
      <c r="T479" s="5">
        <v>3182</v>
      </c>
      <c r="U479" s="7" t="s">
        <v>76</v>
      </c>
      <c r="V479" t="s">
        <v>39</v>
      </c>
      <c r="W479" s="7" t="s">
        <v>33</v>
      </c>
    </row>
    <row r="480" spans="1:23" x14ac:dyDescent="0.3">
      <c r="A480" s="6">
        <v>3395</v>
      </c>
      <c r="B480" s="7" t="s">
        <v>157</v>
      </c>
      <c r="C480" t="s">
        <v>315</v>
      </c>
      <c r="D480" t="s">
        <v>168</v>
      </c>
      <c r="E480" s="8">
        <v>7.99</v>
      </c>
      <c r="F480" s="6">
        <v>307</v>
      </c>
      <c r="G480" s="7" t="s">
        <v>100</v>
      </c>
      <c r="H480" s="6">
        <v>5</v>
      </c>
      <c r="I480" s="6">
        <v>6</v>
      </c>
      <c r="J480" s="7" t="b">
        <v>0</v>
      </c>
      <c r="K480" s="6">
        <v>340</v>
      </c>
      <c r="L480" s="6">
        <v>174</v>
      </c>
      <c r="M480" s="7" t="s">
        <v>55</v>
      </c>
      <c r="N480" s="7" t="s">
        <v>75</v>
      </c>
      <c r="O480" s="7" t="s">
        <v>45</v>
      </c>
      <c r="P480" s="5">
        <v>11</v>
      </c>
      <c r="Q480" s="4">
        <v>4.5</v>
      </c>
      <c r="R480" s="7" t="b">
        <v>1</v>
      </c>
      <c r="S480" s="7" t="s">
        <v>30</v>
      </c>
      <c r="T480" s="5">
        <v>2432</v>
      </c>
      <c r="U480" s="7" t="s">
        <v>58</v>
      </c>
      <c r="V480" t="s">
        <v>59</v>
      </c>
      <c r="W480" s="7" t="s">
        <v>40</v>
      </c>
    </row>
    <row r="481" spans="1:23" x14ac:dyDescent="0.3">
      <c r="A481" s="6">
        <v>8694</v>
      </c>
      <c r="B481" s="7" t="s">
        <v>527</v>
      </c>
      <c r="C481" t="s">
        <v>528</v>
      </c>
      <c r="D481" s="1">
        <v>45363</v>
      </c>
      <c r="E481" s="8">
        <v>15.99</v>
      </c>
      <c r="F481" s="6">
        <v>270</v>
      </c>
      <c r="G481" s="7" t="s">
        <v>73</v>
      </c>
      <c r="H481" s="6">
        <v>2</v>
      </c>
      <c r="I481" s="6">
        <v>3</v>
      </c>
      <c r="J481" s="7" t="b">
        <v>1</v>
      </c>
      <c r="K481" s="6">
        <v>836</v>
      </c>
      <c r="L481" s="6">
        <v>67</v>
      </c>
      <c r="M481" s="7" t="s">
        <v>68</v>
      </c>
      <c r="N481" s="7" t="s">
        <v>28</v>
      </c>
      <c r="O481" s="7" t="s">
        <v>78</v>
      </c>
      <c r="P481" s="5">
        <v>51</v>
      </c>
      <c r="Q481" s="4">
        <v>4.5</v>
      </c>
      <c r="R481" s="7" t="b">
        <v>1</v>
      </c>
      <c r="S481" s="7" t="s">
        <v>30</v>
      </c>
      <c r="T481" s="5">
        <v>414</v>
      </c>
      <c r="U481" s="7" t="s">
        <v>58</v>
      </c>
      <c r="V481" t="s">
        <v>59</v>
      </c>
      <c r="W481" s="7" t="s">
        <v>60</v>
      </c>
    </row>
    <row r="482" spans="1:23" x14ac:dyDescent="0.3">
      <c r="A482" s="6">
        <v>7150</v>
      </c>
      <c r="B482" s="7" t="s">
        <v>138</v>
      </c>
      <c r="C482" t="s">
        <v>180</v>
      </c>
      <c r="D482" s="1">
        <v>45485</v>
      </c>
      <c r="E482" s="8">
        <v>7.99</v>
      </c>
      <c r="F482" s="6">
        <v>358</v>
      </c>
      <c r="G482" s="7" t="s">
        <v>26</v>
      </c>
      <c r="H482" s="6">
        <v>4</v>
      </c>
      <c r="I482" s="6">
        <v>6</v>
      </c>
      <c r="J482" s="7" t="b">
        <v>1</v>
      </c>
      <c r="K482" s="6">
        <v>746</v>
      </c>
      <c r="L482" s="6">
        <v>200</v>
      </c>
      <c r="M482" s="7" t="s">
        <v>55</v>
      </c>
      <c r="N482" s="7" t="s">
        <v>44</v>
      </c>
      <c r="O482" s="7" t="s">
        <v>64</v>
      </c>
      <c r="P482" s="5">
        <v>35</v>
      </c>
      <c r="Q482" s="4">
        <v>3.9</v>
      </c>
      <c r="R482" s="7" t="b">
        <v>1</v>
      </c>
      <c r="S482" s="7" t="s">
        <v>30</v>
      </c>
      <c r="T482" s="5">
        <v>888</v>
      </c>
      <c r="U482" s="7" t="s">
        <v>65</v>
      </c>
      <c r="V482" t="s">
        <v>69</v>
      </c>
      <c r="W482" s="7" t="s">
        <v>33</v>
      </c>
    </row>
    <row r="483" spans="1:23" x14ac:dyDescent="0.3">
      <c r="A483" s="6">
        <v>4111</v>
      </c>
      <c r="B483" s="7" t="s">
        <v>359</v>
      </c>
      <c r="C483" t="s">
        <v>529</v>
      </c>
      <c r="D483" t="s">
        <v>99</v>
      </c>
      <c r="E483" s="8">
        <v>11.99</v>
      </c>
      <c r="F483" s="6">
        <v>301</v>
      </c>
      <c r="G483" s="7" t="s">
        <v>48</v>
      </c>
      <c r="H483" s="6">
        <v>2</v>
      </c>
      <c r="I483" s="6">
        <v>2</v>
      </c>
      <c r="J483" s="7" t="b">
        <v>1</v>
      </c>
      <c r="K483" s="6">
        <v>939</v>
      </c>
      <c r="L483" s="6">
        <v>21</v>
      </c>
      <c r="M483" s="7" t="s">
        <v>74</v>
      </c>
      <c r="N483" s="7" t="s">
        <v>56</v>
      </c>
      <c r="O483" s="7" t="s">
        <v>45</v>
      </c>
      <c r="P483" s="5">
        <v>83</v>
      </c>
      <c r="Q483" s="4">
        <v>4.9000000000000004</v>
      </c>
      <c r="R483" s="7" t="b">
        <v>0</v>
      </c>
      <c r="S483" s="7" t="s">
        <v>30</v>
      </c>
      <c r="T483" s="5">
        <v>1058</v>
      </c>
      <c r="U483" s="7" t="s">
        <v>58</v>
      </c>
      <c r="V483" t="s">
        <v>79</v>
      </c>
      <c r="W483" s="7" t="s">
        <v>60</v>
      </c>
    </row>
    <row r="484" spans="1:23" x14ac:dyDescent="0.3">
      <c r="A484" s="6">
        <v>3532</v>
      </c>
      <c r="B484" s="7" t="s">
        <v>357</v>
      </c>
      <c r="C484" t="s">
        <v>530</v>
      </c>
      <c r="D484" t="s">
        <v>35</v>
      </c>
      <c r="E484" s="8">
        <v>7.99</v>
      </c>
      <c r="F484" s="6">
        <v>277</v>
      </c>
      <c r="G484" s="7" t="s">
        <v>26</v>
      </c>
      <c r="H484" s="6">
        <v>2</v>
      </c>
      <c r="I484" s="6">
        <v>4</v>
      </c>
      <c r="J484" s="7" t="b">
        <v>0</v>
      </c>
      <c r="K484" s="6">
        <v>659</v>
      </c>
      <c r="L484" s="6">
        <v>150</v>
      </c>
      <c r="M484" s="7" t="s">
        <v>27</v>
      </c>
      <c r="N484" s="7" t="s">
        <v>44</v>
      </c>
      <c r="O484" s="7" t="s">
        <v>64</v>
      </c>
      <c r="P484" s="5">
        <v>79</v>
      </c>
      <c r="Q484" s="4">
        <v>3.9</v>
      </c>
      <c r="R484" s="7" t="b">
        <v>1</v>
      </c>
      <c r="S484" s="7" t="s">
        <v>30</v>
      </c>
      <c r="T484" s="5">
        <v>2067</v>
      </c>
      <c r="U484" s="7" t="s">
        <v>58</v>
      </c>
      <c r="V484" t="s">
        <v>69</v>
      </c>
      <c r="W484" s="7" t="s">
        <v>40</v>
      </c>
    </row>
    <row r="485" spans="1:23" x14ac:dyDescent="0.3">
      <c r="A485" s="6">
        <v>5375</v>
      </c>
      <c r="B485" s="7" t="s">
        <v>531</v>
      </c>
      <c r="C485" t="s">
        <v>163</v>
      </c>
      <c r="D485" t="s">
        <v>90</v>
      </c>
      <c r="E485" s="8">
        <v>15.99</v>
      </c>
      <c r="F485" s="6">
        <v>423</v>
      </c>
      <c r="G485" s="7" t="s">
        <v>48</v>
      </c>
      <c r="H485" s="6">
        <v>5</v>
      </c>
      <c r="I485" s="6">
        <v>2</v>
      </c>
      <c r="J485" s="7" t="b">
        <v>1</v>
      </c>
      <c r="K485" s="6">
        <v>435</v>
      </c>
      <c r="L485" s="6">
        <v>108</v>
      </c>
      <c r="M485" s="7" t="s">
        <v>49</v>
      </c>
      <c r="N485" s="7" t="s">
        <v>44</v>
      </c>
      <c r="O485" s="7" t="s">
        <v>64</v>
      </c>
      <c r="P485" s="5">
        <v>44</v>
      </c>
      <c r="Q485" s="4">
        <v>4.5999999999999996</v>
      </c>
      <c r="R485" s="7" t="b">
        <v>0</v>
      </c>
      <c r="S485" s="7" t="s">
        <v>30</v>
      </c>
      <c r="T485" s="5">
        <v>3763</v>
      </c>
      <c r="U485" s="7" t="s">
        <v>65</v>
      </c>
      <c r="V485" t="s">
        <v>69</v>
      </c>
      <c r="W485" s="7" t="s">
        <v>60</v>
      </c>
    </row>
    <row r="486" spans="1:23" x14ac:dyDescent="0.3">
      <c r="A486" s="6">
        <v>8881</v>
      </c>
      <c r="B486" s="7" t="s">
        <v>275</v>
      </c>
      <c r="C486" t="s">
        <v>454</v>
      </c>
      <c r="D486" t="s">
        <v>156</v>
      </c>
      <c r="E486" s="8">
        <v>11.99</v>
      </c>
      <c r="F486" s="6">
        <v>197</v>
      </c>
      <c r="G486" s="7" t="s">
        <v>36</v>
      </c>
      <c r="H486" s="6">
        <v>1</v>
      </c>
      <c r="I486" s="6">
        <v>5</v>
      </c>
      <c r="J486" s="7" t="b">
        <v>0</v>
      </c>
      <c r="K486" s="6">
        <v>292</v>
      </c>
      <c r="L486" s="6">
        <v>169</v>
      </c>
      <c r="M486" s="7" t="s">
        <v>92</v>
      </c>
      <c r="N486" s="7" t="s">
        <v>75</v>
      </c>
      <c r="O486" s="7" t="s">
        <v>64</v>
      </c>
      <c r="P486" s="5">
        <v>3</v>
      </c>
      <c r="Q486" s="4">
        <v>4.5</v>
      </c>
      <c r="R486" s="7" t="b">
        <v>0</v>
      </c>
      <c r="S486" s="7" t="s">
        <v>30</v>
      </c>
      <c r="T486" s="5">
        <v>957</v>
      </c>
      <c r="U486" s="7" t="s">
        <v>38</v>
      </c>
      <c r="V486" t="s">
        <v>69</v>
      </c>
      <c r="W486" s="7" t="s">
        <v>60</v>
      </c>
    </row>
    <row r="487" spans="1:23" x14ac:dyDescent="0.3">
      <c r="A487" s="6">
        <v>1235</v>
      </c>
      <c r="B487" s="7" t="s">
        <v>101</v>
      </c>
      <c r="C487" t="s">
        <v>526</v>
      </c>
      <c r="D487" t="s">
        <v>99</v>
      </c>
      <c r="E487" s="8">
        <v>15.99</v>
      </c>
      <c r="F487" s="6">
        <v>100</v>
      </c>
      <c r="G487" s="7" t="s">
        <v>51</v>
      </c>
      <c r="H487" s="6">
        <v>2</v>
      </c>
      <c r="I487" s="6">
        <v>6</v>
      </c>
      <c r="J487" s="7" t="b">
        <v>1</v>
      </c>
      <c r="K487" s="6">
        <v>103</v>
      </c>
      <c r="L487" s="6">
        <v>36</v>
      </c>
      <c r="M487" s="7" t="s">
        <v>55</v>
      </c>
      <c r="N487" s="7" t="s">
        <v>44</v>
      </c>
      <c r="O487" s="7" t="s">
        <v>45</v>
      </c>
      <c r="P487" s="5">
        <v>68</v>
      </c>
      <c r="Q487" s="4">
        <v>3.7</v>
      </c>
      <c r="R487" s="7" t="b">
        <v>0</v>
      </c>
      <c r="S487" s="7" t="s">
        <v>30</v>
      </c>
      <c r="T487" s="5">
        <v>3003</v>
      </c>
      <c r="U487" s="7" t="s">
        <v>76</v>
      </c>
      <c r="V487" t="s">
        <v>79</v>
      </c>
      <c r="W487" s="7" t="s">
        <v>33</v>
      </c>
    </row>
    <row r="488" spans="1:23" x14ac:dyDescent="0.3">
      <c r="A488" s="6">
        <v>2533</v>
      </c>
      <c r="B488" s="7" t="s">
        <v>311</v>
      </c>
      <c r="C488" s="1">
        <v>44996</v>
      </c>
      <c r="D488" t="s">
        <v>109</v>
      </c>
      <c r="E488" s="8">
        <v>15.99</v>
      </c>
      <c r="F488" s="6">
        <v>338</v>
      </c>
      <c r="G488" s="7" t="s">
        <v>26</v>
      </c>
      <c r="H488" s="6">
        <v>4</v>
      </c>
      <c r="I488" s="6">
        <v>2</v>
      </c>
      <c r="J488" s="7" t="b">
        <v>0</v>
      </c>
      <c r="K488" s="6">
        <v>525</v>
      </c>
      <c r="L488" s="6">
        <v>140</v>
      </c>
      <c r="M488" s="7" t="s">
        <v>68</v>
      </c>
      <c r="N488" s="7" t="s">
        <v>56</v>
      </c>
      <c r="O488" s="7" t="s">
        <v>78</v>
      </c>
      <c r="P488" s="5">
        <v>75</v>
      </c>
      <c r="Q488" s="4">
        <v>4.5999999999999996</v>
      </c>
      <c r="R488" s="7" t="b">
        <v>1</v>
      </c>
      <c r="S488" s="7" t="s">
        <v>30</v>
      </c>
      <c r="T488" s="5">
        <v>354</v>
      </c>
      <c r="U488" s="7" t="s">
        <v>58</v>
      </c>
      <c r="V488" t="s">
        <v>59</v>
      </c>
      <c r="W488" s="7" t="s">
        <v>93</v>
      </c>
    </row>
    <row r="489" spans="1:23" x14ac:dyDescent="0.3">
      <c r="A489" s="6">
        <v>2734</v>
      </c>
      <c r="B489" s="7" t="s">
        <v>288</v>
      </c>
      <c r="C489" s="1">
        <v>45449</v>
      </c>
      <c r="D489" s="1">
        <v>45303</v>
      </c>
      <c r="E489" s="8">
        <v>11.99</v>
      </c>
      <c r="F489" s="6">
        <v>130</v>
      </c>
      <c r="G489" s="7" t="s">
        <v>51</v>
      </c>
      <c r="H489" s="6">
        <v>1</v>
      </c>
      <c r="I489" s="6">
        <v>1</v>
      </c>
      <c r="J489" s="7" t="b">
        <v>1</v>
      </c>
      <c r="K489" s="6">
        <v>428</v>
      </c>
      <c r="L489" s="6">
        <v>119</v>
      </c>
      <c r="M489" s="7" t="s">
        <v>92</v>
      </c>
      <c r="N489" s="7" t="s">
        <v>56</v>
      </c>
      <c r="O489" s="7" t="s">
        <v>78</v>
      </c>
      <c r="P489" s="5">
        <v>53</v>
      </c>
      <c r="Q489" s="4">
        <v>4.5</v>
      </c>
      <c r="R489" s="7" t="b">
        <v>1</v>
      </c>
      <c r="S489" s="7" t="s">
        <v>30</v>
      </c>
      <c r="T489" s="5">
        <v>4922</v>
      </c>
      <c r="U489" s="7" t="s">
        <v>76</v>
      </c>
      <c r="V489" t="s">
        <v>32</v>
      </c>
      <c r="W489" s="7" t="s">
        <v>93</v>
      </c>
    </row>
    <row r="490" spans="1:23" x14ac:dyDescent="0.3">
      <c r="A490" s="6">
        <v>4129</v>
      </c>
      <c r="B490" s="7" t="s">
        <v>240</v>
      </c>
      <c r="C490" t="s">
        <v>198</v>
      </c>
      <c r="D490" t="s">
        <v>87</v>
      </c>
      <c r="E490" s="8">
        <v>11.99</v>
      </c>
      <c r="F490" s="6">
        <v>383</v>
      </c>
      <c r="G490" s="7" t="s">
        <v>63</v>
      </c>
      <c r="H490" s="6">
        <v>5</v>
      </c>
      <c r="I490" s="6">
        <v>4</v>
      </c>
      <c r="J490" s="7" t="b">
        <v>1</v>
      </c>
      <c r="K490" s="6">
        <v>711</v>
      </c>
      <c r="L490" s="6">
        <v>147</v>
      </c>
      <c r="M490" s="7" t="s">
        <v>92</v>
      </c>
      <c r="N490" s="7" t="s">
        <v>28</v>
      </c>
      <c r="O490" s="7" t="s">
        <v>45</v>
      </c>
      <c r="P490" s="5">
        <v>68</v>
      </c>
      <c r="Q490" s="4">
        <v>3.9</v>
      </c>
      <c r="R490" s="7" t="b">
        <v>1</v>
      </c>
      <c r="S490" s="7" t="s">
        <v>30</v>
      </c>
      <c r="T490" s="5">
        <v>2083</v>
      </c>
      <c r="U490" s="7" t="s">
        <v>65</v>
      </c>
      <c r="V490" t="s">
        <v>59</v>
      </c>
      <c r="W490" s="7" t="s">
        <v>40</v>
      </c>
    </row>
    <row r="491" spans="1:23" x14ac:dyDescent="0.3">
      <c r="A491" s="6">
        <v>3762</v>
      </c>
      <c r="B491" s="7" t="s">
        <v>318</v>
      </c>
      <c r="C491" t="s">
        <v>433</v>
      </c>
      <c r="D491" t="s">
        <v>90</v>
      </c>
      <c r="E491" s="8">
        <v>11.99</v>
      </c>
      <c r="F491" s="6">
        <v>411</v>
      </c>
      <c r="G491" s="7" t="s">
        <v>26</v>
      </c>
      <c r="H491" s="6">
        <v>5</v>
      </c>
      <c r="I491" s="6">
        <v>6</v>
      </c>
      <c r="J491" s="7" t="b">
        <v>1</v>
      </c>
      <c r="K491" s="6">
        <v>887</v>
      </c>
      <c r="L491" s="6">
        <v>37</v>
      </c>
      <c r="M491" s="7" t="s">
        <v>68</v>
      </c>
      <c r="N491" s="7" t="s">
        <v>28</v>
      </c>
      <c r="O491" s="7" t="s">
        <v>78</v>
      </c>
      <c r="P491" s="5">
        <v>66</v>
      </c>
      <c r="Q491" s="4">
        <v>3.9</v>
      </c>
      <c r="R491" s="7" t="b">
        <v>1</v>
      </c>
      <c r="S491" s="7" t="s">
        <v>30</v>
      </c>
      <c r="T491" s="5">
        <v>2098</v>
      </c>
      <c r="U491" s="7" t="s">
        <v>38</v>
      </c>
      <c r="V491" t="s">
        <v>69</v>
      </c>
      <c r="W491" s="7" t="s">
        <v>33</v>
      </c>
    </row>
    <row r="492" spans="1:23" x14ac:dyDescent="0.3">
      <c r="A492" s="6">
        <v>4341</v>
      </c>
      <c r="B492" s="7" t="s">
        <v>532</v>
      </c>
      <c r="C492" s="1">
        <v>44932</v>
      </c>
      <c r="D492" s="1">
        <v>45485</v>
      </c>
      <c r="E492" s="8">
        <v>11.99</v>
      </c>
      <c r="F492" s="6">
        <v>347</v>
      </c>
      <c r="G492" s="7" t="s">
        <v>63</v>
      </c>
      <c r="H492" s="6">
        <v>4</v>
      </c>
      <c r="I492" s="6">
        <v>2</v>
      </c>
      <c r="J492" s="7" t="b">
        <v>1</v>
      </c>
      <c r="K492" s="6">
        <v>546</v>
      </c>
      <c r="L492" s="6">
        <v>12</v>
      </c>
      <c r="M492" s="7" t="s">
        <v>68</v>
      </c>
      <c r="N492" s="7" t="s">
        <v>28</v>
      </c>
      <c r="O492" s="7" t="s">
        <v>57</v>
      </c>
      <c r="P492" s="5">
        <v>31</v>
      </c>
      <c r="Q492" s="4">
        <v>3.1</v>
      </c>
      <c r="R492" s="7" t="b">
        <v>0</v>
      </c>
      <c r="S492" s="7" t="s">
        <v>30</v>
      </c>
      <c r="T492" s="5">
        <v>2022</v>
      </c>
      <c r="U492" s="7" t="s">
        <v>31</v>
      </c>
      <c r="V492" t="s">
        <v>32</v>
      </c>
      <c r="W492" s="7" t="s">
        <v>40</v>
      </c>
    </row>
    <row r="493" spans="1:23" x14ac:dyDescent="0.3">
      <c r="A493" s="6">
        <v>6638</v>
      </c>
      <c r="B493" s="7" t="s">
        <v>533</v>
      </c>
      <c r="C493" s="1">
        <v>44967</v>
      </c>
      <c r="D493" s="1">
        <v>45608</v>
      </c>
      <c r="E493" s="8">
        <v>11.99</v>
      </c>
      <c r="F493" s="6">
        <v>302</v>
      </c>
      <c r="G493" s="7" t="s">
        <v>73</v>
      </c>
      <c r="H493" s="6">
        <v>4</v>
      </c>
      <c r="I493" s="6">
        <v>2</v>
      </c>
      <c r="J493" s="7" t="b">
        <v>1</v>
      </c>
      <c r="K493" s="6">
        <v>417</v>
      </c>
      <c r="L493" s="6">
        <v>143</v>
      </c>
      <c r="M493" s="7" t="s">
        <v>43</v>
      </c>
      <c r="N493" s="7" t="s">
        <v>44</v>
      </c>
      <c r="O493" s="7" t="s">
        <v>45</v>
      </c>
      <c r="P493" s="5">
        <v>14</v>
      </c>
      <c r="Q493" s="4">
        <v>4.7</v>
      </c>
      <c r="R493" s="7" t="b">
        <v>0</v>
      </c>
      <c r="S493" s="7" t="s">
        <v>30</v>
      </c>
      <c r="T493" s="5">
        <v>3791</v>
      </c>
      <c r="U493" s="7" t="s">
        <v>31</v>
      </c>
      <c r="V493" t="s">
        <v>79</v>
      </c>
      <c r="W493" s="7" t="s">
        <v>93</v>
      </c>
    </row>
    <row r="494" spans="1:23" x14ac:dyDescent="0.3">
      <c r="A494" s="6">
        <v>5861</v>
      </c>
      <c r="B494" s="7" t="s">
        <v>325</v>
      </c>
      <c r="C494" s="1">
        <v>45143</v>
      </c>
      <c r="D494" s="1">
        <v>45363</v>
      </c>
      <c r="E494" s="8">
        <v>15.99</v>
      </c>
      <c r="F494" s="6">
        <v>361</v>
      </c>
      <c r="G494" s="7" t="s">
        <v>100</v>
      </c>
      <c r="H494" s="6">
        <v>3</v>
      </c>
      <c r="I494" s="6">
        <v>6</v>
      </c>
      <c r="J494" s="7" t="b">
        <v>0</v>
      </c>
      <c r="K494" s="6">
        <v>407</v>
      </c>
      <c r="L494" s="6">
        <v>126</v>
      </c>
      <c r="M494" s="7" t="s">
        <v>74</v>
      </c>
      <c r="N494" s="7" t="s">
        <v>44</v>
      </c>
      <c r="O494" s="7" t="s">
        <v>57</v>
      </c>
      <c r="P494" s="5">
        <v>80</v>
      </c>
      <c r="Q494" s="4">
        <v>4.3</v>
      </c>
      <c r="R494" s="7" t="b">
        <v>0</v>
      </c>
      <c r="S494" s="7" t="s">
        <v>30</v>
      </c>
      <c r="T494" s="5">
        <v>728</v>
      </c>
      <c r="U494" s="7" t="s">
        <v>65</v>
      </c>
      <c r="V494" t="s">
        <v>32</v>
      </c>
      <c r="W494" s="7" t="s">
        <v>33</v>
      </c>
    </row>
    <row r="495" spans="1:23" x14ac:dyDescent="0.3">
      <c r="A495" s="6">
        <v>8815</v>
      </c>
      <c r="B495" s="7" t="s">
        <v>345</v>
      </c>
      <c r="C495" t="s">
        <v>534</v>
      </c>
      <c r="D495" s="1">
        <v>45303</v>
      </c>
      <c r="E495" s="8">
        <v>7.99</v>
      </c>
      <c r="F495" s="6">
        <v>148</v>
      </c>
      <c r="G495" s="7" t="s">
        <v>51</v>
      </c>
      <c r="H495" s="6">
        <v>1</v>
      </c>
      <c r="I495" s="6">
        <v>1</v>
      </c>
      <c r="J495" s="7" t="b">
        <v>1</v>
      </c>
      <c r="K495" s="6">
        <v>579</v>
      </c>
      <c r="L495" s="6">
        <v>121</v>
      </c>
      <c r="M495" s="7" t="s">
        <v>92</v>
      </c>
      <c r="N495" s="7" t="s">
        <v>75</v>
      </c>
      <c r="O495" s="7" t="s">
        <v>57</v>
      </c>
      <c r="P495" s="5">
        <v>8</v>
      </c>
      <c r="Q495" s="4">
        <v>3.6</v>
      </c>
      <c r="R495" s="7" t="b">
        <v>0</v>
      </c>
      <c r="S495" s="7" t="s">
        <v>30</v>
      </c>
      <c r="T495" s="5">
        <v>3448</v>
      </c>
      <c r="U495" s="7" t="s">
        <v>58</v>
      </c>
      <c r="V495" t="s">
        <v>69</v>
      </c>
      <c r="W495" s="7" t="s">
        <v>40</v>
      </c>
    </row>
    <row r="496" spans="1:23" x14ac:dyDescent="0.3">
      <c r="A496" s="6">
        <v>8793</v>
      </c>
      <c r="B496" s="7" t="s">
        <v>148</v>
      </c>
      <c r="C496" t="s">
        <v>95</v>
      </c>
      <c r="D496" t="s">
        <v>134</v>
      </c>
      <c r="E496" s="8">
        <v>7.99</v>
      </c>
      <c r="F496" s="6">
        <v>162</v>
      </c>
      <c r="G496" s="7" t="s">
        <v>48</v>
      </c>
      <c r="H496" s="6">
        <v>2</v>
      </c>
      <c r="I496" s="6">
        <v>5</v>
      </c>
      <c r="J496" s="7" t="b">
        <v>1</v>
      </c>
      <c r="K496" s="6">
        <v>672</v>
      </c>
      <c r="L496" s="6">
        <v>57</v>
      </c>
      <c r="M496" s="7" t="s">
        <v>68</v>
      </c>
      <c r="N496" s="7" t="s">
        <v>44</v>
      </c>
      <c r="O496" s="7" t="s">
        <v>45</v>
      </c>
      <c r="P496" s="5">
        <v>16</v>
      </c>
      <c r="Q496" s="4">
        <v>4.3</v>
      </c>
      <c r="R496" s="7" t="b">
        <v>0</v>
      </c>
      <c r="S496" s="7" t="s">
        <v>30</v>
      </c>
      <c r="T496" s="5">
        <v>3930</v>
      </c>
      <c r="U496" s="7" t="s">
        <v>65</v>
      </c>
      <c r="V496" t="s">
        <v>59</v>
      </c>
      <c r="W496" s="7" t="s">
        <v>93</v>
      </c>
    </row>
    <row r="497" spans="1:23" x14ac:dyDescent="0.3">
      <c r="A497" s="6">
        <v>3469</v>
      </c>
      <c r="B497" s="7" t="s">
        <v>122</v>
      </c>
      <c r="C497" s="1">
        <v>45085</v>
      </c>
      <c r="D497" t="s">
        <v>103</v>
      </c>
      <c r="E497" s="8">
        <v>7.99</v>
      </c>
      <c r="F497" s="6">
        <v>379</v>
      </c>
      <c r="G497" s="7" t="s">
        <v>36</v>
      </c>
      <c r="H497" s="6">
        <v>3</v>
      </c>
      <c r="I497" s="6">
        <v>5</v>
      </c>
      <c r="J497" s="7" t="b">
        <v>1</v>
      </c>
      <c r="K497" s="6">
        <v>377</v>
      </c>
      <c r="L497" s="6">
        <v>153</v>
      </c>
      <c r="M497" s="7" t="s">
        <v>68</v>
      </c>
      <c r="N497" s="7" t="s">
        <v>75</v>
      </c>
      <c r="O497" s="7" t="s">
        <v>45</v>
      </c>
      <c r="P497" s="5">
        <v>67</v>
      </c>
      <c r="Q497" s="4">
        <v>3.6</v>
      </c>
      <c r="R497" s="7" t="b">
        <v>1</v>
      </c>
      <c r="S497" s="7" t="s">
        <v>30</v>
      </c>
      <c r="T497" s="5">
        <v>3702</v>
      </c>
      <c r="U497" s="7" t="s">
        <v>31</v>
      </c>
      <c r="V497" t="s">
        <v>59</v>
      </c>
      <c r="W497" s="7" t="s">
        <v>93</v>
      </c>
    </row>
    <row r="498" spans="1:23" x14ac:dyDescent="0.3">
      <c r="A498" s="6">
        <v>3654</v>
      </c>
      <c r="B498" s="7" t="s">
        <v>153</v>
      </c>
      <c r="C498" t="s">
        <v>535</v>
      </c>
      <c r="D498" t="s">
        <v>42</v>
      </c>
      <c r="E498" s="8">
        <v>15.99</v>
      </c>
      <c r="F498" s="6">
        <v>373</v>
      </c>
      <c r="G498" s="7" t="s">
        <v>73</v>
      </c>
      <c r="H498" s="6">
        <v>2</v>
      </c>
      <c r="I498" s="6">
        <v>6</v>
      </c>
      <c r="J498" s="7" t="b">
        <v>1</v>
      </c>
      <c r="K498" s="6">
        <v>818</v>
      </c>
      <c r="L498" s="6">
        <v>34</v>
      </c>
      <c r="M498" s="7" t="s">
        <v>43</v>
      </c>
      <c r="N498" s="7" t="s">
        <v>28</v>
      </c>
      <c r="O498" s="7" t="s">
        <v>64</v>
      </c>
      <c r="P498" s="5">
        <v>57</v>
      </c>
      <c r="Q498" s="4">
        <v>3.8</v>
      </c>
      <c r="R498" s="7" t="b">
        <v>1</v>
      </c>
      <c r="S498" s="7" t="s">
        <v>30</v>
      </c>
      <c r="T498" s="5">
        <v>2400</v>
      </c>
      <c r="U498" s="7" t="s">
        <v>38</v>
      </c>
      <c r="V498" t="s">
        <v>69</v>
      </c>
      <c r="W498" s="7" t="s">
        <v>40</v>
      </c>
    </row>
    <row r="499" spans="1:23" x14ac:dyDescent="0.3">
      <c r="A499" s="6">
        <v>9555</v>
      </c>
      <c r="B499" s="7" t="s">
        <v>345</v>
      </c>
      <c r="C499" s="1">
        <v>45330</v>
      </c>
      <c r="D499" t="s">
        <v>82</v>
      </c>
      <c r="E499" s="8">
        <v>11.99</v>
      </c>
      <c r="F499" s="6">
        <v>354</v>
      </c>
      <c r="G499" s="7" t="s">
        <v>51</v>
      </c>
      <c r="H499" s="6">
        <v>1</v>
      </c>
      <c r="I499" s="6">
        <v>1</v>
      </c>
      <c r="J499" s="7" t="b">
        <v>1</v>
      </c>
      <c r="K499" s="6">
        <v>225</v>
      </c>
      <c r="L499" s="6">
        <v>1</v>
      </c>
      <c r="M499" s="7" t="s">
        <v>49</v>
      </c>
      <c r="N499" s="7" t="s">
        <v>75</v>
      </c>
      <c r="O499" s="7" t="s">
        <v>29</v>
      </c>
      <c r="P499" s="5">
        <v>83</v>
      </c>
      <c r="Q499" s="4">
        <v>4.3</v>
      </c>
      <c r="R499" s="7" t="b">
        <v>1</v>
      </c>
      <c r="S499" s="7" t="s">
        <v>30</v>
      </c>
      <c r="T499" s="5">
        <v>548</v>
      </c>
      <c r="U499" s="7" t="s">
        <v>76</v>
      </c>
      <c r="V499" t="s">
        <v>79</v>
      </c>
      <c r="W499" s="7" t="s">
        <v>40</v>
      </c>
    </row>
    <row r="500" spans="1:23" x14ac:dyDescent="0.3">
      <c r="A500" s="6">
        <v>4028</v>
      </c>
      <c r="B500" s="7" t="s">
        <v>228</v>
      </c>
      <c r="C500" s="1">
        <v>45387</v>
      </c>
      <c r="D500" s="1">
        <v>45547</v>
      </c>
      <c r="E500" s="8">
        <v>7.99</v>
      </c>
      <c r="F500" s="6">
        <v>76</v>
      </c>
      <c r="G500" s="7" t="s">
        <v>63</v>
      </c>
      <c r="H500" s="6">
        <v>2</v>
      </c>
      <c r="I500" s="6">
        <v>4</v>
      </c>
      <c r="J500" s="7" t="b">
        <v>1</v>
      </c>
      <c r="K500" s="6">
        <v>324</v>
      </c>
      <c r="L500" s="6">
        <v>113</v>
      </c>
      <c r="M500" s="7" t="s">
        <v>68</v>
      </c>
      <c r="N500" s="7" t="s">
        <v>56</v>
      </c>
      <c r="O500" s="7" t="s">
        <v>78</v>
      </c>
      <c r="P500" s="5">
        <v>87</v>
      </c>
      <c r="Q500" s="4">
        <v>4.9000000000000004</v>
      </c>
      <c r="R500" s="7" t="b">
        <v>0</v>
      </c>
      <c r="S500" s="7" t="s">
        <v>30</v>
      </c>
      <c r="T500" s="5">
        <v>4702</v>
      </c>
      <c r="U500" s="7" t="s">
        <v>65</v>
      </c>
      <c r="V500" t="s">
        <v>39</v>
      </c>
      <c r="W500" s="7" t="s">
        <v>60</v>
      </c>
    </row>
    <row r="501" spans="1:23" x14ac:dyDescent="0.3">
      <c r="A501" s="6">
        <v>9499</v>
      </c>
      <c r="B501" s="7" t="s">
        <v>190</v>
      </c>
      <c r="C501" t="s">
        <v>412</v>
      </c>
      <c r="D501" t="s">
        <v>42</v>
      </c>
      <c r="E501" s="8">
        <v>11.99</v>
      </c>
      <c r="F501" s="6">
        <v>316</v>
      </c>
      <c r="G501" s="7" t="s">
        <v>26</v>
      </c>
      <c r="H501" s="6">
        <v>1</v>
      </c>
      <c r="I501" s="6">
        <v>3</v>
      </c>
      <c r="J501" s="7" t="b">
        <v>0</v>
      </c>
      <c r="K501" s="6">
        <v>793</v>
      </c>
      <c r="L501" s="6">
        <v>141</v>
      </c>
      <c r="M501" s="7" t="s">
        <v>27</v>
      </c>
      <c r="N501" s="7" t="s">
        <v>28</v>
      </c>
      <c r="O501" s="7" t="s">
        <v>37</v>
      </c>
      <c r="P501" s="5">
        <v>28</v>
      </c>
      <c r="Q501" s="4">
        <v>3.4</v>
      </c>
      <c r="R501" s="7" t="b">
        <v>0</v>
      </c>
      <c r="S501" s="7" t="s">
        <v>30</v>
      </c>
      <c r="T501" s="5">
        <v>2821</v>
      </c>
      <c r="U501" s="7" t="s">
        <v>38</v>
      </c>
      <c r="V501" t="s">
        <v>69</v>
      </c>
      <c r="W501" s="7" t="s">
        <v>60</v>
      </c>
    </row>
    <row r="502" spans="1:23" x14ac:dyDescent="0.3">
      <c r="A502" s="6">
        <v>8628</v>
      </c>
      <c r="B502" s="7" t="s">
        <v>164</v>
      </c>
      <c r="C502" t="s">
        <v>161</v>
      </c>
      <c r="D502" t="s">
        <v>168</v>
      </c>
      <c r="E502" s="8">
        <v>11.99</v>
      </c>
      <c r="F502" s="6">
        <v>331</v>
      </c>
      <c r="G502" s="7" t="s">
        <v>63</v>
      </c>
      <c r="H502" s="6">
        <v>4</v>
      </c>
      <c r="I502" s="6">
        <v>2</v>
      </c>
      <c r="J502" s="7" t="b">
        <v>1</v>
      </c>
      <c r="K502" s="6">
        <v>133</v>
      </c>
      <c r="L502" s="6">
        <v>143</v>
      </c>
      <c r="M502" s="7" t="s">
        <v>49</v>
      </c>
      <c r="N502" s="7" t="s">
        <v>28</v>
      </c>
      <c r="O502" s="7" t="s">
        <v>57</v>
      </c>
      <c r="P502" s="5">
        <v>35</v>
      </c>
      <c r="Q502" s="4">
        <v>4.5999999999999996</v>
      </c>
      <c r="R502" s="7" t="b">
        <v>1</v>
      </c>
      <c r="S502" s="7" t="s">
        <v>30</v>
      </c>
      <c r="T502" s="5">
        <v>484</v>
      </c>
      <c r="U502" s="7" t="s">
        <v>65</v>
      </c>
      <c r="V502" t="s">
        <v>79</v>
      </c>
      <c r="W502" s="7" t="s">
        <v>33</v>
      </c>
    </row>
    <row r="503" spans="1:23" x14ac:dyDescent="0.3">
      <c r="A503" s="6">
        <v>9942</v>
      </c>
      <c r="B503" s="7" t="s">
        <v>157</v>
      </c>
      <c r="C503" s="1">
        <v>45024</v>
      </c>
      <c r="D503" t="s">
        <v>84</v>
      </c>
      <c r="E503" s="8">
        <v>15.99</v>
      </c>
      <c r="F503" s="6">
        <v>418</v>
      </c>
      <c r="G503" s="7" t="s">
        <v>51</v>
      </c>
      <c r="H503" s="6">
        <v>1</v>
      </c>
      <c r="I503" s="6">
        <v>5</v>
      </c>
      <c r="J503" s="7" t="b">
        <v>1</v>
      </c>
      <c r="K503" s="6">
        <v>260</v>
      </c>
      <c r="L503" s="6">
        <v>161</v>
      </c>
      <c r="M503" s="7" t="s">
        <v>43</v>
      </c>
      <c r="N503" s="7" t="s">
        <v>75</v>
      </c>
      <c r="O503" s="7" t="s">
        <v>64</v>
      </c>
      <c r="P503" s="5">
        <v>49</v>
      </c>
      <c r="Q503" s="4">
        <v>3.6</v>
      </c>
      <c r="R503" s="7" t="b">
        <v>1</v>
      </c>
      <c r="S503" s="7" t="s">
        <v>30</v>
      </c>
      <c r="T503" s="5">
        <v>2871</v>
      </c>
      <c r="U503" s="7" t="s">
        <v>58</v>
      </c>
      <c r="V503" t="s">
        <v>39</v>
      </c>
      <c r="W503" s="7" t="s">
        <v>33</v>
      </c>
    </row>
    <row r="504" spans="1:23" x14ac:dyDescent="0.3">
      <c r="A504" s="6">
        <v>4044</v>
      </c>
      <c r="B504" s="7" t="s">
        <v>536</v>
      </c>
      <c r="C504" s="1">
        <v>45022</v>
      </c>
      <c r="D504" t="s">
        <v>109</v>
      </c>
      <c r="E504" s="8">
        <v>15.99</v>
      </c>
      <c r="F504" s="6">
        <v>309</v>
      </c>
      <c r="G504" s="7" t="s">
        <v>100</v>
      </c>
      <c r="H504" s="6">
        <v>5</v>
      </c>
      <c r="I504" s="6">
        <v>5</v>
      </c>
      <c r="J504" s="7" t="b">
        <v>0</v>
      </c>
      <c r="K504" s="6">
        <v>851</v>
      </c>
      <c r="L504" s="6">
        <v>166</v>
      </c>
      <c r="M504" s="7" t="s">
        <v>92</v>
      </c>
      <c r="N504" s="7" t="s">
        <v>75</v>
      </c>
      <c r="O504" s="7" t="s">
        <v>57</v>
      </c>
      <c r="P504" s="5">
        <v>66</v>
      </c>
      <c r="Q504" s="4">
        <v>4</v>
      </c>
      <c r="R504" s="7" t="b">
        <v>1</v>
      </c>
      <c r="S504" s="7" t="s">
        <v>30</v>
      </c>
      <c r="T504" s="5">
        <v>4783</v>
      </c>
      <c r="U504" s="7" t="s">
        <v>65</v>
      </c>
      <c r="V504" t="s">
        <v>69</v>
      </c>
      <c r="W504" s="7" t="s">
        <v>93</v>
      </c>
    </row>
    <row r="505" spans="1:23" x14ac:dyDescent="0.3">
      <c r="A505" s="6">
        <v>8143</v>
      </c>
      <c r="B505" s="7" t="s">
        <v>106</v>
      </c>
      <c r="C505" t="s">
        <v>537</v>
      </c>
      <c r="D505" s="1">
        <v>45608</v>
      </c>
      <c r="E505" s="8">
        <v>7.99</v>
      </c>
      <c r="F505" s="6">
        <v>252</v>
      </c>
      <c r="G505" s="7" t="s">
        <v>36</v>
      </c>
      <c r="H505" s="6">
        <v>3</v>
      </c>
      <c r="I505" s="6">
        <v>5</v>
      </c>
      <c r="J505" s="7" t="b">
        <v>1</v>
      </c>
      <c r="K505" s="6">
        <v>105</v>
      </c>
      <c r="L505" s="6">
        <v>118</v>
      </c>
      <c r="M505" s="7" t="s">
        <v>74</v>
      </c>
      <c r="N505" s="7" t="s">
        <v>44</v>
      </c>
      <c r="O505" s="7" t="s">
        <v>37</v>
      </c>
      <c r="P505" s="5">
        <v>52</v>
      </c>
      <c r="Q505" s="4">
        <v>4.4000000000000004</v>
      </c>
      <c r="R505" s="7" t="b">
        <v>1</v>
      </c>
      <c r="S505" s="7" t="s">
        <v>30</v>
      </c>
      <c r="T505" s="5">
        <v>2725</v>
      </c>
      <c r="U505" s="7" t="s">
        <v>65</v>
      </c>
      <c r="V505" t="s">
        <v>39</v>
      </c>
      <c r="W505" s="7" t="s">
        <v>60</v>
      </c>
    </row>
    <row r="506" spans="1:23" x14ac:dyDescent="0.3">
      <c r="A506" s="6">
        <v>3984</v>
      </c>
      <c r="B506" s="7" t="s">
        <v>257</v>
      </c>
      <c r="C506" t="s">
        <v>538</v>
      </c>
      <c r="D506" s="1">
        <v>45303</v>
      </c>
      <c r="E506" s="8">
        <v>15.99</v>
      </c>
      <c r="F506" s="6">
        <v>146</v>
      </c>
      <c r="G506" s="7" t="s">
        <v>73</v>
      </c>
      <c r="H506" s="6">
        <v>4</v>
      </c>
      <c r="I506" s="6">
        <v>6</v>
      </c>
      <c r="J506" s="7" t="b">
        <v>0</v>
      </c>
      <c r="K506" s="6">
        <v>646</v>
      </c>
      <c r="L506" s="6">
        <v>139</v>
      </c>
      <c r="M506" s="7" t="s">
        <v>74</v>
      </c>
      <c r="N506" s="7" t="s">
        <v>28</v>
      </c>
      <c r="O506" s="7" t="s">
        <v>37</v>
      </c>
      <c r="P506" s="5">
        <v>27</v>
      </c>
      <c r="Q506" s="4">
        <v>3.7</v>
      </c>
      <c r="R506" s="7" t="b">
        <v>1</v>
      </c>
      <c r="S506" s="7" t="s">
        <v>30</v>
      </c>
      <c r="T506" s="5">
        <v>4400</v>
      </c>
      <c r="U506" s="7" t="s">
        <v>76</v>
      </c>
      <c r="V506" t="s">
        <v>59</v>
      </c>
      <c r="W506" s="7" t="s">
        <v>33</v>
      </c>
    </row>
    <row r="507" spans="1:23" x14ac:dyDescent="0.3">
      <c r="A507" s="6">
        <v>9294</v>
      </c>
      <c r="B507" s="7" t="s">
        <v>539</v>
      </c>
      <c r="C507" t="s">
        <v>279</v>
      </c>
      <c r="D507" t="s">
        <v>134</v>
      </c>
      <c r="E507" s="8">
        <v>11.99</v>
      </c>
      <c r="F507" s="6">
        <v>352</v>
      </c>
      <c r="G507" s="7" t="s">
        <v>63</v>
      </c>
      <c r="H507" s="6">
        <v>4</v>
      </c>
      <c r="I507" s="6">
        <v>4</v>
      </c>
      <c r="J507" s="7" t="b">
        <v>1</v>
      </c>
      <c r="K507" s="6">
        <v>358</v>
      </c>
      <c r="L507" s="6">
        <v>6</v>
      </c>
      <c r="M507" s="7" t="s">
        <v>43</v>
      </c>
      <c r="N507" s="7" t="s">
        <v>44</v>
      </c>
      <c r="O507" s="7" t="s">
        <v>45</v>
      </c>
      <c r="P507" s="5">
        <v>32</v>
      </c>
      <c r="Q507" s="4">
        <v>3.8</v>
      </c>
      <c r="R507" s="7" t="b">
        <v>0</v>
      </c>
      <c r="S507" s="7" t="s">
        <v>30</v>
      </c>
      <c r="T507" s="5">
        <v>2218</v>
      </c>
      <c r="U507" s="7" t="s">
        <v>31</v>
      </c>
      <c r="V507" t="s">
        <v>39</v>
      </c>
      <c r="W507" s="7" t="s">
        <v>40</v>
      </c>
    </row>
    <row r="508" spans="1:23" x14ac:dyDescent="0.3">
      <c r="A508" s="6">
        <v>4769</v>
      </c>
      <c r="B508" s="7" t="s">
        <v>157</v>
      </c>
      <c r="C508" s="1">
        <v>45446</v>
      </c>
      <c r="D508" t="s">
        <v>72</v>
      </c>
      <c r="E508" s="8">
        <v>7.99</v>
      </c>
      <c r="F508" s="6">
        <v>43</v>
      </c>
      <c r="G508" s="7" t="s">
        <v>100</v>
      </c>
      <c r="H508" s="6">
        <v>5</v>
      </c>
      <c r="I508" s="6">
        <v>3</v>
      </c>
      <c r="J508" s="7" t="b">
        <v>1</v>
      </c>
      <c r="K508" s="6">
        <v>336</v>
      </c>
      <c r="L508" s="6">
        <v>135</v>
      </c>
      <c r="M508" s="7" t="s">
        <v>27</v>
      </c>
      <c r="N508" s="7" t="s">
        <v>28</v>
      </c>
      <c r="O508" s="7" t="s">
        <v>64</v>
      </c>
      <c r="P508" s="5">
        <v>70</v>
      </c>
      <c r="Q508" s="4">
        <v>4</v>
      </c>
      <c r="R508" s="7" t="b">
        <v>1</v>
      </c>
      <c r="S508" s="7" t="s">
        <v>30</v>
      </c>
      <c r="T508" s="5">
        <v>4552</v>
      </c>
      <c r="U508" s="7" t="s">
        <v>31</v>
      </c>
      <c r="V508" t="s">
        <v>59</v>
      </c>
      <c r="W508" s="7" t="s">
        <v>33</v>
      </c>
    </row>
    <row r="509" spans="1:23" x14ac:dyDescent="0.3">
      <c r="A509" s="6">
        <v>8864</v>
      </c>
      <c r="B509" s="7" t="s">
        <v>157</v>
      </c>
      <c r="C509" t="s">
        <v>540</v>
      </c>
      <c r="D509" t="s">
        <v>168</v>
      </c>
      <c r="E509" s="8">
        <v>11.99</v>
      </c>
      <c r="F509" s="6">
        <v>440</v>
      </c>
      <c r="G509" s="7" t="s">
        <v>36</v>
      </c>
      <c r="H509" s="6">
        <v>4</v>
      </c>
      <c r="I509" s="6">
        <v>3</v>
      </c>
      <c r="J509" s="7" t="b">
        <v>1</v>
      </c>
      <c r="K509" s="6">
        <v>80</v>
      </c>
      <c r="L509" s="6">
        <v>143</v>
      </c>
      <c r="M509" s="7" t="s">
        <v>49</v>
      </c>
      <c r="N509" s="7" t="s">
        <v>75</v>
      </c>
      <c r="O509" s="7" t="s">
        <v>37</v>
      </c>
      <c r="P509" s="5">
        <v>2</v>
      </c>
      <c r="Q509" s="4">
        <v>3.4</v>
      </c>
      <c r="R509" s="7" t="b">
        <v>0</v>
      </c>
      <c r="S509" s="7" t="s">
        <v>30</v>
      </c>
      <c r="T509" s="5">
        <v>4125</v>
      </c>
      <c r="U509" s="7" t="s">
        <v>76</v>
      </c>
      <c r="V509" t="s">
        <v>32</v>
      </c>
      <c r="W509" s="7" t="s">
        <v>33</v>
      </c>
    </row>
    <row r="510" spans="1:23" x14ac:dyDescent="0.3">
      <c r="A510" s="6">
        <v>1857</v>
      </c>
      <c r="B510" s="7" t="s">
        <v>541</v>
      </c>
      <c r="C510" s="1">
        <v>45388</v>
      </c>
      <c r="D510" t="s">
        <v>109</v>
      </c>
      <c r="E510" s="8">
        <v>15.99</v>
      </c>
      <c r="F510" s="6">
        <v>376</v>
      </c>
      <c r="G510" s="7" t="s">
        <v>100</v>
      </c>
      <c r="H510" s="6">
        <v>2</v>
      </c>
      <c r="I510" s="6">
        <v>2</v>
      </c>
      <c r="J510" s="7" t="b">
        <v>0</v>
      </c>
      <c r="K510" s="6">
        <v>326</v>
      </c>
      <c r="L510" s="6">
        <v>89</v>
      </c>
      <c r="M510" s="7" t="s">
        <v>55</v>
      </c>
      <c r="N510" s="7" t="s">
        <v>75</v>
      </c>
      <c r="O510" s="7" t="s">
        <v>57</v>
      </c>
      <c r="P510" s="5">
        <v>84</v>
      </c>
      <c r="Q510" s="4">
        <v>4.5999999999999996</v>
      </c>
      <c r="R510" s="7" t="b">
        <v>1</v>
      </c>
      <c r="S510" s="7" t="s">
        <v>30</v>
      </c>
      <c r="T510" s="5">
        <v>424</v>
      </c>
      <c r="U510" s="7" t="s">
        <v>65</v>
      </c>
      <c r="V510" t="s">
        <v>79</v>
      </c>
      <c r="W510" s="7" t="s">
        <v>33</v>
      </c>
    </row>
    <row r="511" spans="1:23" x14ac:dyDescent="0.3">
      <c r="A511" s="6">
        <v>5566</v>
      </c>
      <c r="B511" s="7" t="s">
        <v>345</v>
      </c>
      <c r="C511" t="s">
        <v>213</v>
      </c>
      <c r="D511" s="1">
        <v>45485</v>
      </c>
      <c r="E511" s="8">
        <v>11.99</v>
      </c>
      <c r="F511" s="6">
        <v>137</v>
      </c>
      <c r="G511" s="7" t="s">
        <v>26</v>
      </c>
      <c r="H511" s="6">
        <v>3</v>
      </c>
      <c r="I511" s="6">
        <v>6</v>
      </c>
      <c r="J511" s="7" t="b">
        <v>1</v>
      </c>
      <c r="K511" s="6">
        <v>699</v>
      </c>
      <c r="L511" s="6">
        <v>70</v>
      </c>
      <c r="M511" s="7" t="s">
        <v>74</v>
      </c>
      <c r="N511" s="7" t="s">
        <v>28</v>
      </c>
      <c r="O511" s="7" t="s">
        <v>57</v>
      </c>
      <c r="P511" s="5">
        <v>25</v>
      </c>
      <c r="Q511" s="4">
        <v>3.9</v>
      </c>
      <c r="R511" s="7" t="b">
        <v>1</v>
      </c>
      <c r="S511" s="7" t="s">
        <v>30</v>
      </c>
      <c r="T511" s="5">
        <v>2418</v>
      </c>
      <c r="U511" s="7" t="s">
        <v>65</v>
      </c>
      <c r="V511" t="s">
        <v>32</v>
      </c>
      <c r="W511" s="7" t="s">
        <v>40</v>
      </c>
    </row>
    <row r="512" spans="1:23" x14ac:dyDescent="0.3">
      <c r="A512" s="6">
        <v>1373</v>
      </c>
      <c r="B512" s="7" t="s">
        <v>147</v>
      </c>
      <c r="C512" t="s">
        <v>306</v>
      </c>
      <c r="D512" s="1">
        <v>45638</v>
      </c>
      <c r="E512" s="8">
        <v>7.99</v>
      </c>
      <c r="F512" s="6">
        <v>301</v>
      </c>
      <c r="G512" s="7" t="s">
        <v>26</v>
      </c>
      <c r="H512" s="6">
        <v>2</v>
      </c>
      <c r="I512" s="6">
        <v>5</v>
      </c>
      <c r="J512" s="7" t="b">
        <v>0</v>
      </c>
      <c r="K512" s="6">
        <v>89</v>
      </c>
      <c r="L512" s="6">
        <v>55</v>
      </c>
      <c r="M512" s="7" t="s">
        <v>27</v>
      </c>
      <c r="N512" s="7" t="s">
        <v>56</v>
      </c>
      <c r="O512" s="7" t="s">
        <v>78</v>
      </c>
      <c r="P512" s="5">
        <v>54</v>
      </c>
      <c r="Q512" s="4">
        <v>4.2</v>
      </c>
      <c r="R512" s="7" t="b">
        <v>1</v>
      </c>
      <c r="S512" s="7" t="s">
        <v>30</v>
      </c>
      <c r="T512" s="5">
        <v>756</v>
      </c>
      <c r="U512" s="7" t="s">
        <v>65</v>
      </c>
      <c r="V512" t="s">
        <v>79</v>
      </c>
      <c r="W512" s="7" t="s">
        <v>33</v>
      </c>
    </row>
    <row r="513" spans="1:23" x14ac:dyDescent="0.3">
      <c r="A513" s="6">
        <v>6345</v>
      </c>
      <c r="B513" s="7" t="s">
        <v>542</v>
      </c>
      <c r="C513" s="1">
        <v>44927</v>
      </c>
      <c r="D513" s="1">
        <v>45547</v>
      </c>
      <c r="E513" s="8">
        <v>7.99</v>
      </c>
      <c r="F513" s="6">
        <v>410</v>
      </c>
      <c r="G513" s="7" t="s">
        <v>51</v>
      </c>
      <c r="H513" s="6">
        <v>1</v>
      </c>
      <c r="I513" s="6">
        <v>1</v>
      </c>
      <c r="J513" s="7" t="b">
        <v>1</v>
      </c>
      <c r="K513" s="6">
        <v>909</v>
      </c>
      <c r="L513" s="6">
        <v>99</v>
      </c>
      <c r="M513" s="7" t="s">
        <v>43</v>
      </c>
      <c r="N513" s="7" t="s">
        <v>28</v>
      </c>
      <c r="O513" s="7" t="s">
        <v>45</v>
      </c>
      <c r="P513" s="5">
        <v>22</v>
      </c>
      <c r="Q513" s="4">
        <v>3.2</v>
      </c>
      <c r="R513" s="7" t="b">
        <v>0</v>
      </c>
      <c r="S513" s="7" t="s">
        <v>30</v>
      </c>
      <c r="T513" s="5">
        <v>754</v>
      </c>
      <c r="U513" s="7" t="s">
        <v>58</v>
      </c>
      <c r="V513" t="s">
        <v>39</v>
      </c>
      <c r="W513" s="7" t="s">
        <v>40</v>
      </c>
    </row>
    <row r="514" spans="1:23" x14ac:dyDescent="0.3">
      <c r="A514" s="6">
        <v>3234</v>
      </c>
      <c r="B514" s="7" t="s">
        <v>143</v>
      </c>
      <c r="C514" s="1">
        <v>45292</v>
      </c>
      <c r="D514" s="1">
        <v>45485</v>
      </c>
      <c r="E514" s="8">
        <v>11.99</v>
      </c>
      <c r="F514" s="6">
        <v>298</v>
      </c>
      <c r="G514" s="7" t="s">
        <v>63</v>
      </c>
      <c r="H514" s="6">
        <v>2</v>
      </c>
      <c r="I514" s="6">
        <v>1</v>
      </c>
      <c r="J514" s="7" t="b">
        <v>0</v>
      </c>
      <c r="K514" s="6">
        <v>918</v>
      </c>
      <c r="L514" s="6">
        <v>153</v>
      </c>
      <c r="M514" s="7" t="s">
        <v>68</v>
      </c>
      <c r="N514" s="7" t="s">
        <v>28</v>
      </c>
      <c r="O514" s="7" t="s">
        <v>57</v>
      </c>
      <c r="P514" s="5">
        <v>52</v>
      </c>
      <c r="Q514" s="4">
        <v>4.4000000000000004</v>
      </c>
      <c r="R514" s="7" t="b">
        <v>1</v>
      </c>
      <c r="S514" s="7" t="s">
        <v>30</v>
      </c>
      <c r="T514" s="5">
        <v>3476</v>
      </c>
      <c r="U514" s="7" t="s">
        <v>58</v>
      </c>
      <c r="V514" t="s">
        <v>59</v>
      </c>
      <c r="W514" s="7" t="s">
        <v>60</v>
      </c>
    </row>
    <row r="515" spans="1:23" x14ac:dyDescent="0.3">
      <c r="A515" s="6">
        <v>6998</v>
      </c>
      <c r="B515" s="7" t="s">
        <v>126</v>
      </c>
      <c r="C515" t="s">
        <v>543</v>
      </c>
      <c r="D515" s="1">
        <v>45334</v>
      </c>
      <c r="E515" s="8">
        <v>7.99</v>
      </c>
      <c r="F515" s="6">
        <v>54</v>
      </c>
      <c r="G515" s="7" t="s">
        <v>48</v>
      </c>
      <c r="H515" s="6">
        <v>4</v>
      </c>
      <c r="I515" s="6">
        <v>5</v>
      </c>
      <c r="J515" s="7" t="b">
        <v>1</v>
      </c>
      <c r="K515" s="6">
        <v>285</v>
      </c>
      <c r="L515" s="6">
        <v>66</v>
      </c>
      <c r="M515" s="7" t="s">
        <v>55</v>
      </c>
      <c r="N515" s="7" t="s">
        <v>56</v>
      </c>
      <c r="O515" s="7" t="s">
        <v>64</v>
      </c>
      <c r="P515" s="5">
        <v>43</v>
      </c>
      <c r="Q515" s="4">
        <v>3.8</v>
      </c>
      <c r="R515" s="7" t="b">
        <v>0</v>
      </c>
      <c r="S515" s="7" t="s">
        <v>30</v>
      </c>
      <c r="T515" s="5">
        <v>290</v>
      </c>
      <c r="U515" s="7" t="s">
        <v>76</v>
      </c>
      <c r="V515" t="s">
        <v>69</v>
      </c>
      <c r="W515" s="7" t="s">
        <v>33</v>
      </c>
    </row>
    <row r="516" spans="1:23" x14ac:dyDescent="0.3">
      <c r="A516" s="6">
        <v>5809</v>
      </c>
      <c r="B516" s="7" t="s">
        <v>238</v>
      </c>
      <c r="C516" t="s">
        <v>497</v>
      </c>
      <c r="D516" t="s">
        <v>54</v>
      </c>
      <c r="E516" s="8">
        <v>7.99</v>
      </c>
      <c r="F516" s="6">
        <v>486</v>
      </c>
      <c r="G516" s="7" t="s">
        <v>63</v>
      </c>
      <c r="H516" s="6">
        <v>4</v>
      </c>
      <c r="I516" s="6">
        <v>3</v>
      </c>
      <c r="J516" s="7" t="b">
        <v>0</v>
      </c>
      <c r="K516" s="6">
        <v>463</v>
      </c>
      <c r="L516" s="6">
        <v>171</v>
      </c>
      <c r="M516" s="7" t="s">
        <v>49</v>
      </c>
      <c r="N516" s="7" t="s">
        <v>44</v>
      </c>
      <c r="O516" s="7" t="s">
        <v>78</v>
      </c>
      <c r="P516" s="5">
        <v>10</v>
      </c>
      <c r="Q516" s="4">
        <v>3.2</v>
      </c>
      <c r="R516" s="7" t="b">
        <v>0</v>
      </c>
      <c r="S516" s="7" t="s">
        <v>30</v>
      </c>
      <c r="T516" s="5">
        <v>987</v>
      </c>
      <c r="U516" s="7" t="s">
        <v>38</v>
      </c>
      <c r="V516" t="s">
        <v>79</v>
      </c>
      <c r="W516" s="7" t="s">
        <v>40</v>
      </c>
    </row>
    <row r="517" spans="1:23" x14ac:dyDescent="0.3">
      <c r="A517" s="6">
        <v>6522</v>
      </c>
      <c r="B517" s="7" t="s">
        <v>544</v>
      </c>
      <c r="C517" s="1">
        <v>45208</v>
      </c>
      <c r="D517" t="s">
        <v>99</v>
      </c>
      <c r="E517" s="8">
        <v>11.99</v>
      </c>
      <c r="F517" s="6">
        <v>38</v>
      </c>
      <c r="G517" s="7" t="s">
        <v>73</v>
      </c>
      <c r="H517" s="6">
        <v>1</v>
      </c>
      <c r="I517" s="6">
        <v>4</v>
      </c>
      <c r="J517" s="7" t="b">
        <v>1</v>
      </c>
      <c r="K517" s="6">
        <v>875</v>
      </c>
      <c r="L517" s="6">
        <v>115</v>
      </c>
      <c r="M517" s="7" t="s">
        <v>43</v>
      </c>
      <c r="N517" s="7" t="s">
        <v>75</v>
      </c>
      <c r="O517" s="7" t="s">
        <v>37</v>
      </c>
      <c r="P517" s="5">
        <v>75</v>
      </c>
      <c r="Q517" s="4">
        <v>4.7</v>
      </c>
      <c r="R517" s="7" t="b">
        <v>1</v>
      </c>
      <c r="S517" s="7" t="s">
        <v>30</v>
      </c>
      <c r="T517" s="5">
        <v>4972</v>
      </c>
      <c r="U517" s="7" t="s">
        <v>58</v>
      </c>
      <c r="V517" t="s">
        <v>59</v>
      </c>
      <c r="W517" s="7" t="s">
        <v>33</v>
      </c>
    </row>
    <row r="518" spans="1:23" x14ac:dyDescent="0.3">
      <c r="A518" s="6">
        <v>3892</v>
      </c>
      <c r="B518" s="7" t="s">
        <v>280</v>
      </c>
      <c r="C518" t="s">
        <v>416</v>
      </c>
      <c r="D518" s="1">
        <v>45363</v>
      </c>
      <c r="E518" s="8">
        <v>7.99</v>
      </c>
      <c r="F518" s="6">
        <v>442</v>
      </c>
      <c r="G518" s="7" t="s">
        <v>26</v>
      </c>
      <c r="H518" s="6">
        <v>3</v>
      </c>
      <c r="I518" s="6">
        <v>6</v>
      </c>
      <c r="J518" s="7" t="b">
        <v>1</v>
      </c>
      <c r="K518" s="6">
        <v>875</v>
      </c>
      <c r="L518" s="6">
        <v>70</v>
      </c>
      <c r="M518" s="7" t="s">
        <v>43</v>
      </c>
      <c r="N518" s="7" t="s">
        <v>28</v>
      </c>
      <c r="O518" s="7" t="s">
        <v>37</v>
      </c>
      <c r="P518" s="5">
        <v>96</v>
      </c>
      <c r="Q518" s="4">
        <v>3.7</v>
      </c>
      <c r="R518" s="7" t="b">
        <v>0</v>
      </c>
      <c r="S518" s="7" t="s">
        <v>30</v>
      </c>
      <c r="T518" s="5">
        <v>1628</v>
      </c>
      <c r="U518" s="7" t="s">
        <v>38</v>
      </c>
      <c r="V518" t="s">
        <v>32</v>
      </c>
      <c r="W518" s="7" t="s">
        <v>40</v>
      </c>
    </row>
    <row r="519" spans="1:23" x14ac:dyDescent="0.3">
      <c r="A519" s="6">
        <v>4427</v>
      </c>
      <c r="B519" s="7" t="s">
        <v>545</v>
      </c>
      <c r="C519" t="s">
        <v>71</v>
      </c>
      <c r="D519" t="s">
        <v>105</v>
      </c>
      <c r="E519" s="8">
        <v>7.99</v>
      </c>
      <c r="F519" s="6">
        <v>474</v>
      </c>
      <c r="G519" s="7" t="s">
        <v>63</v>
      </c>
      <c r="H519" s="6">
        <v>3</v>
      </c>
      <c r="I519" s="6">
        <v>5</v>
      </c>
      <c r="J519" s="7" t="b">
        <v>1</v>
      </c>
      <c r="K519" s="6">
        <v>341</v>
      </c>
      <c r="L519" s="6">
        <v>165</v>
      </c>
      <c r="M519" s="7" t="s">
        <v>68</v>
      </c>
      <c r="N519" s="7" t="s">
        <v>75</v>
      </c>
      <c r="O519" s="7" t="s">
        <v>45</v>
      </c>
      <c r="P519" s="5">
        <v>30</v>
      </c>
      <c r="Q519" s="4">
        <v>4.8</v>
      </c>
      <c r="R519" s="7" t="b">
        <v>0</v>
      </c>
      <c r="S519" s="7" t="s">
        <v>30</v>
      </c>
      <c r="T519" s="5">
        <v>1285</v>
      </c>
      <c r="U519" s="7" t="s">
        <v>31</v>
      </c>
      <c r="V519" t="s">
        <v>69</v>
      </c>
      <c r="W519" s="7" t="s">
        <v>40</v>
      </c>
    </row>
    <row r="520" spans="1:23" x14ac:dyDescent="0.3">
      <c r="A520" s="6">
        <v>8145</v>
      </c>
      <c r="B520" s="7" t="s">
        <v>546</v>
      </c>
      <c r="C520" s="1">
        <v>45201</v>
      </c>
      <c r="D520" t="s">
        <v>134</v>
      </c>
      <c r="E520" s="8">
        <v>15.99</v>
      </c>
      <c r="F520" s="6">
        <v>96</v>
      </c>
      <c r="G520" s="7" t="s">
        <v>73</v>
      </c>
      <c r="H520" s="6">
        <v>5</v>
      </c>
      <c r="I520" s="6">
        <v>1</v>
      </c>
      <c r="J520" s="7" t="b">
        <v>1</v>
      </c>
      <c r="K520" s="6">
        <v>273</v>
      </c>
      <c r="L520" s="6">
        <v>79</v>
      </c>
      <c r="M520" s="7" t="s">
        <v>49</v>
      </c>
      <c r="N520" s="7" t="s">
        <v>28</v>
      </c>
      <c r="O520" s="7" t="s">
        <v>64</v>
      </c>
      <c r="P520" s="5">
        <v>60</v>
      </c>
      <c r="Q520" s="4">
        <v>4.3</v>
      </c>
      <c r="R520" s="7" t="b">
        <v>0</v>
      </c>
      <c r="S520" s="7" t="s">
        <v>30</v>
      </c>
      <c r="T520" s="5">
        <v>1960</v>
      </c>
      <c r="U520" s="7" t="s">
        <v>38</v>
      </c>
      <c r="V520" t="s">
        <v>39</v>
      </c>
      <c r="W520" s="7" t="s">
        <v>93</v>
      </c>
    </row>
    <row r="521" spans="1:23" x14ac:dyDescent="0.3">
      <c r="A521" s="6">
        <v>1150</v>
      </c>
      <c r="B521" s="7" t="s">
        <v>224</v>
      </c>
      <c r="C521" t="s">
        <v>398</v>
      </c>
      <c r="D521" t="s">
        <v>168</v>
      </c>
      <c r="E521" s="8">
        <v>11.99</v>
      </c>
      <c r="F521" s="6">
        <v>160</v>
      </c>
      <c r="G521" s="7" t="s">
        <v>63</v>
      </c>
      <c r="H521" s="6">
        <v>5</v>
      </c>
      <c r="I521" s="6">
        <v>5</v>
      </c>
      <c r="J521" s="7" t="b">
        <v>1</v>
      </c>
      <c r="K521" s="6">
        <v>352</v>
      </c>
      <c r="L521" s="6">
        <v>31</v>
      </c>
      <c r="M521" s="7" t="s">
        <v>55</v>
      </c>
      <c r="N521" s="7" t="s">
        <v>28</v>
      </c>
      <c r="O521" s="7" t="s">
        <v>29</v>
      </c>
      <c r="P521" s="5">
        <v>37</v>
      </c>
      <c r="Q521" s="4">
        <v>3.7</v>
      </c>
      <c r="R521" s="7" t="b">
        <v>1</v>
      </c>
      <c r="S521" s="7" t="s">
        <v>30</v>
      </c>
      <c r="T521" s="5">
        <v>771</v>
      </c>
      <c r="U521" s="7" t="s">
        <v>76</v>
      </c>
      <c r="V521" t="s">
        <v>39</v>
      </c>
      <c r="W521" s="7" t="s">
        <v>93</v>
      </c>
    </row>
    <row r="522" spans="1:23" x14ac:dyDescent="0.3">
      <c r="A522" s="6">
        <v>7366</v>
      </c>
      <c r="B522" s="7" t="s">
        <v>547</v>
      </c>
      <c r="C522" t="s">
        <v>523</v>
      </c>
      <c r="D522" t="s">
        <v>35</v>
      </c>
      <c r="E522" s="8">
        <v>7.99</v>
      </c>
      <c r="F522" s="6">
        <v>451</v>
      </c>
      <c r="G522" s="7" t="s">
        <v>73</v>
      </c>
      <c r="H522" s="6">
        <v>3</v>
      </c>
      <c r="I522" s="6">
        <v>3</v>
      </c>
      <c r="J522" s="7" t="b">
        <v>0</v>
      </c>
      <c r="K522" s="6">
        <v>588</v>
      </c>
      <c r="L522" s="6">
        <v>147</v>
      </c>
      <c r="M522" s="7" t="s">
        <v>74</v>
      </c>
      <c r="N522" s="7" t="s">
        <v>44</v>
      </c>
      <c r="O522" s="7" t="s">
        <v>37</v>
      </c>
      <c r="P522" s="5">
        <v>75</v>
      </c>
      <c r="Q522" s="4">
        <v>3.3</v>
      </c>
      <c r="R522" s="7" t="b">
        <v>1</v>
      </c>
      <c r="S522" s="7" t="s">
        <v>30</v>
      </c>
      <c r="T522" s="5">
        <v>1785</v>
      </c>
      <c r="U522" s="7" t="s">
        <v>76</v>
      </c>
      <c r="V522" t="s">
        <v>69</v>
      </c>
      <c r="W522" s="7" t="s">
        <v>40</v>
      </c>
    </row>
    <row r="523" spans="1:23" x14ac:dyDescent="0.3">
      <c r="A523" s="6">
        <v>3004</v>
      </c>
      <c r="B523" s="7" t="s">
        <v>304</v>
      </c>
      <c r="C523" t="s">
        <v>548</v>
      </c>
      <c r="D523" t="s">
        <v>103</v>
      </c>
      <c r="E523" s="8">
        <v>11.99</v>
      </c>
      <c r="F523" s="6">
        <v>184</v>
      </c>
      <c r="G523" s="7" t="s">
        <v>51</v>
      </c>
      <c r="H523" s="6">
        <v>3</v>
      </c>
      <c r="I523" s="6">
        <v>4</v>
      </c>
      <c r="J523" s="7" t="b">
        <v>0</v>
      </c>
      <c r="K523" s="6">
        <v>233</v>
      </c>
      <c r="L523" s="6">
        <v>15</v>
      </c>
      <c r="M523" s="7" t="s">
        <v>43</v>
      </c>
      <c r="N523" s="7" t="s">
        <v>75</v>
      </c>
      <c r="O523" s="7" t="s">
        <v>45</v>
      </c>
      <c r="P523" s="5">
        <v>28</v>
      </c>
      <c r="Q523" s="4">
        <v>3.5</v>
      </c>
      <c r="R523" s="7" t="b">
        <v>1</v>
      </c>
      <c r="S523" s="7" t="s">
        <v>30</v>
      </c>
      <c r="T523" s="5">
        <v>2760</v>
      </c>
      <c r="U523" s="7" t="s">
        <v>58</v>
      </c>
      <c r="V523" t="s">
        <v>69</v>
      </c>
      <c r="W523" s="7" t="s">
        <v>33</v>
      </c>
    </row>
    <row r="524" spans="1:23" x14ac:dyDescent="0.3">
      <c r="A524" s="6">
        <v>9934</v>
      </c>
      <c r="B524" s="7" t="s">
        <v>549</v>
      </c>
      <c r="C524" t="s">
        <v>433</v>
      </c>
      <c r="D524" t="s">
        <v>129</v>
      </c>
      <c r="E524" s="8">
        <v>15.99</v>
      </c>
      <c r="F524" s="6">
        <v>50</v>
      </c>
      <c r="G524" s="7" t="s">
        <v>36</v>
      </c>
      <c r="H524" s="6">
        <v>2</v>
      </c>
      <c r="I524" s="6">
        <v>6</v>
      </c>
      <c r="J524" s="7" t="b">
        <v>1</v>
      </c>
      <c r="K524" s="6">
        <v>159</v>
      </c>
      <c r="L524" s="6">
        <v>131</v>
      </c>
      <c r="M524" s="7" t="s">
        <v>68</v>
      </c>
      <c r="N524" s="7" t="s">
        <v>44</v>
      </c>
      <c r="O524" s="7" t="s">
        <v>45</v>
      </c>
      <c r="P524" s="5">
        <v>49</v>
      </c>
      <c r="Q524" s="4">
        <v>3.8</v>
      </c>
      <c r="R524" s="7" t="b">
        <v>0</v>
      </c>
      <c r="S524" s="7" t="s">
        <v>30</v>
      </c>
      <c r="T524" s="5">
        <v>388</v>
      </c>
      <c r="U524" s="7" t="s">
        <v>38</v>
      </c>
      <c r="V524" t="s">
        <v>39</v>
      </c>
      <c r="W524" s="7" t="s">
        <v>93</v>
      </c>
    </row>
    <row r="525" spans="1:23" x14ac:dyDescent="0.3">
      <c r="A525" s="6">
        <v>1228</v>
      </c>
      <c r="B525" s="7" t="s">
        <v>263</v>
      </c>
      <c r="C525" t="s">
        <v>550</v>
      </c>
      <c r="D525" t="s">
        <v>42</v>
      </c>
      <c r="E525" s="8">
        <v>7.99</v>
      </c>
      <c r="F525" s="6">
        <v>299</v>
      </c>
      <c r="G525" s="7" t="s">
        <v>63</v>
      </c>
      <c r="H525" s="6">
        <v>3</v>
      </c>
      <c r="I525" s="6">
        <v>1</v>
      </c>
      <c r="J525" s="7" t="b">
        <v>0</v>
      </c>
      <c r="K525" s="6">
        <v>488</v>
      </c>
      <c r="L525" s="6">
        <v>135</v>
      </c>
      <c r="M525" s="7" t="s">
        <v>74</v>
      </c>
      <c r="N525" s="7" t="s">
        <v>44</v>
      </c>
      <c r="O525" s="7" t="s">
        <v>37</v>
      </c>
      <c r="P525" s="5">
        <v>100</v>
      </c>
      <c r="Q525" s="4">
        <v>4.8</v>
      </c>
      <c r="R525" s="7" t="b">
        <v>0</v>
      </c>
      <c r="S525" s="7" t="s">
        <v>30</v>
      </c>
      <c r="T525" s="5">
        <v>2385</v>
      </c>
      <c r="U525" s="7" t="s">
        <v>38</v>
      </c>
      <c r="V525" t="s">
        <v>69</v>
      </c>
      <c r="W525" s="7" t="s">
        <v>93</v>
      </c>
    </row>
    <row r="526" spans="1:23" x14ac:dyDescent="0.3">
      <c r="A526" s="6">
        <v>5806</v>
      </c>
      <c r="B526" s="7" t="s">
        <v>551</v>
      </c>
      <c r="C526" s="1">
        <v>45299</v>
      </c>
      <c r="D526" t="s">
        <v>35</v>
      </c>
      <c r="E526" s="8">
        <v>7.99</v>
      </c>
      <c r="F526" s="6">
        <v>495</v>
      </c>
      <c r="G526" s="7" t="s">
        <v>36</v>
      </c>
      <c r="H526" s="6">
        <v>5</v>
      </c>
      <c r="I526" s="6">
        <v>6</v>
      </c>
      <c r="J526" s="7" t="b">
        <v>0</v>
      </c>
      <c r="K526" s="6">
        <v>522</v>
      </c>
      <c r="L526" s="6">
        <v>32</v>
      </c>
      <c r="M526" s="7" t="s">
        <v>68</v>
      </c>
      <c r="N526" s="7" t="s">
        <v>75</v>
      </c>
      <c r="O526" s="7" t="s">
        <v>78</v>
      </c>
      <c r="P526" s="5">
        <v>41</v>
      </c>
      <c r="Q526" s="4">
        <v>3.9</v>
      </c>
      <c r="R526" s="7" t="b">
        <v>1</v>
      </c>
      <c r="S526" s="7" t="s">
        <v>30</v>
      </c>
      <c r="T526" s="5">
        <v>3714</v>
      </c>
      <c r="U526" s="7" t="s">
        <v>76</v>
      </c>
      <c r="V526" t="s">
        <v>79</v>
      </c>
      <c r="W526" s="7" t="s">
        <v>93</v>
      </c>
    </row>
    <row r="527" spans="1:23" x14ac:dyDescent="0.3">
      <c r="A527" s="6">
        <v>7538</v>
      </c>
      <c r="B527" s="7" t="s">
        <v>232</v>
      </c>
      <c r="C527" s="1">
        <v>45631</v>
      </c>
      <c r="D527" t="s">
        <v>214</v>
      </c>
      <c r="E527" s="8">
        <v>7.99</v>
      </c>
      <c r="F527" s="6">
        <v>132</v>
      </c>
      <c r="G527" s="7" t="s">
        <v>63</v>
      </c>
      <c r="H527" s="6">
        <v>4</v>
      </c>
      <c r="I527" s="6">
        <v>5</v>
      </c>
      <c r="J527" s="7" t="b">
        <v>1</v>
      </c>
      <c r="K527" s="6">
        <v>30</v>
      </c>
      <c r="L527" s="6">
        <v>177</v>
      </c>
      <c r="M527" s="7" t="s">
        <v>27</v>
      </c>
      <c r="N527" s="7" t="s">
        <v>28</v>
      </c>
      <c r="O527" s="7" t="s">
        <v>78</v>
      </c>
      <c r="P527" s="5">
        <v>31</v>
      </c>
      <c r="Q527" s="4">
        <v>5</v>
      </c>
      <c r="R527" s="7" t="b">
        <v>0</v>
      </c>
      <c r="S527" s="7" t="s">
        <v>30</v>
      </c>
      <c r="T527" s="5">
        <v>2015</v>
      </c>
      <c r="U527" s="7" t="s">
        <v>58</v>
      </c>
      <c r="V527" t="s">
        <v>69</v>
      </c>
      <c r="W527" s="7" t="s">
        <v>40</v>
      </c>
    </row>
    <row r="528" spans="1:23" x14ac:dyDescent="0.3">
      <c r="A528" s="6">
        <v>1035</v>
      </c>
      <c r="B528" s="7" t="s">
        <v>201</v>
      </c>
      <c r="C528" t="s">
        <v>141</v>
      </c>
      <c r="D528" t="s">
        <v>82</v>
      </c>
      <c r="E528" s="8">
        <v>11.99</v>
      </c>
      <c r="F528" s="6">
        <v>395</v>
      </c>
      <c r="G528" s="7" t="s">
        <v>100</v>
      </c>
      <c r="H528" s="6">
        <v>2</v>
      </c>
      <c r="I528" s="6">
        <v>4</v>
      </c>
      <c r="J528" s="7" t="b">
        <v>1</v>
      </c>
      <c r="K528" s="6">
        <v>139</v>
      </c>
      <c r="L528" s="6">
        <v>29</v>
      </c>
      <c r="M528" s="7" t="s">
        <v>74</v>
      </c>
      <c r="N528" s="7" t="s">
        <v>44</v>
      </c>
      <c r="O528" s="7" t="s">
        <v>57</v>
      </c>
      <c r="P528" s="5">
        <v>44</v>
      </c>
      <c r="Q528" s="4">
        <v>3.9</v>
      </c>
      <c r="R528" s="7" t="b">
        <v>1</v>
      </c>
      <c r="S528" s="7" t="s">
        <v>30</v>
      </c>
      <c r="T528" s="5">
        <v>3201</v>
      </c>
      <c r="U528" s="7" t="s">
        <v>76</v>
      </c>
      <c r="V528" t="s">
        <v>69</v>
      </c>
      <c r="W528" s="7" t="s">
        <v>60</v>
      </c>
    </row>
    <row r="529" spans="1:23" x14ac:dyDescent="0.3">
      <c r="A529" s="6">
        <v>8399</v>
      </c>
      <c r="B529" s="7" t="s">
        <v>382</v>
      </c>
      <c r="C529" s="1">
        <v>45049</v>
      </c>
      <c r="D529" s="1">
        <v>45363</v>
      </c>
      <c r="E529" s="8">
        <v>11.99</v>
      </c>
      <c r="F529" s="6">
        <v>34</v>
      </c>
      <c r="G529" s="7" t="s">
        <v>26</v>
      </c>
      <c r="H529" s="6">
        <v>1</v>
      </c>
      <c r="I529" s="6">
        <v>2</v>
      </c>
      <c r="J529" s="7" t="b">
        <v>1</v>
      </c>
      <c r="K529" s="6">
        <v>393</v>
      </c>
      <c r="L529" s="6">
        <v>130</v>
      </c>
      <c r="M529" s="7" t="s">
        <v>49</v>
      </c>
      <c r="N529" s="7" t="s">
        <v>75</v>
      </c>
      <c r="O529" s="7" t="s">
        <v>45</v>
      </c>
      <c r="P529" s="5">
        <v>10</v>
      </c>
      <c r="Q529" s="4">
        <v>3.9</v>
      </c>
      <c r="R529" s="7" t="b">
        <v>0</v>
      </c>
      <c r="S529" s="7" t="s">
        <v>30</v>
      </c>
      <c r="T529" s="5">
        <v>3426</v>
      </c>
      <c r="U529" s="7" t="s">
        <v>65</v>
      </c>
      <c r="V529" t="s">
        <v>32</v>
      </c>
      <c r="W529" s="7" t="s">
        <v>33</v>
      </c>
    </row>
    <row r="530" spans="1:23" x14ac:dyDescent="0.3">
      <c r="A530" s="6">
        <v>1912</v>
      </c>
      <c r="B530" s="7" t="s">
        <v>281</v>
      </c>
      <c r="C530" t="s">
        <v>410</v>
      </c>
      <c r="D530" t="s">
        <v>42</v>
      </c>
      <c r="E530" s="8">
        <v>11.99</v>
      </c>
      <c r="F530" s="6">
        <v>348</v>
      </c>
      <c r="G530" s="7" t="s">
        <v>100</v>
      </c>
      <c r="H530" s="6">
        <v>1</v>
      </c>
      <c r="I530" s="6">
        <v>4</v>
      </c>
      <c r="J530" s="7" t="b">
        <v>0</v>
      </c>
      <c r="K530" s="6">
        <v>792</v>
      </c>
      <c r="L530" s="6">
        <v>67</v>
      </c>
      <c r="M530" s="7" t="s">
        <v>68</v>
      </c>
      <c r="N530" s="7" t="s">
        <v>75</v>
      </c>
      <c r="O530" s="7" t="s">
        <v>78</v>
      </c>
      <c r="P530" s="5">
        <v>60</v>
      </c>
      <c r="Q530" s="4">
        <v>4.0999999999999996</v>
      </c>
      <c r="R530" s="7" t="b">
        <v>0</v>
      </c>
      <c r="S530" s="7" t="s">
        <v>30</v>
      </c>
      <c r="T530" s="5">
        <v>3366</v>
      </c>
      <c r="U530" s="7" t="s">
        <v>38</v>
      </c>
      <c r="V530" t="s">
        <v>32</v>
      </c>
      <c r="W530" s="7" t="s">
        <v>33</v>
      </c>
    </row>
    <row r="531" spans="1:23" x14ac:dyDescent="0.3">
      <c r="A531" s="6">
        <v>6604</v>
      </c>
      <c r="B531" s="7" t="s">
        <v>148</v>
      </c>
      <c r="C531" t="s">
        <v>552</v>
      </c>
      <c r="D531" t="s">
        <v>82</v>
      </c>
      <c r="E531" s="8">
        <v>15.99</v>
      </c>
      <c r="F531" s="6">
        <v>247</v>
      </c>
      <c r="G531" s="7" t="s">
        <v>100</v>
      </c>
      <c r="H531" s="6">
        <v>5</v>
      </c>
      <c r="I531" s="6">
        <v>4</v>
      </c>
      <c r="J531" s="7" t="b">
        <v>0</v>
      </c>
      <c r="K531" s="6">
        <v>186</v>
      </c>
      <c r="L531" s="6">
        <v>158</v>
      </c>
      <c r="M531" s="7" t="s">
        <v>49</v>
      </c>
      <c r="N531" s="7" t="s">
        <v>75</v>
      </c>
      <c r="O531" s="7" t="s">
        <v>57</v>
      </c>
      <c r="P531" s="5">
        <v>19</v>
      </c>
      <c r="Q531" s="4">
        <v>3.8</v>
      </c>
      <c r="R531" s="7" t="b">
        <v>0</v>
      </c>
      <c r="S531" s="7" t="s">
        <v>30</v>
      </c>
      <c r="T531" s="5">
        <v>125</v>
      </c>
      <c r="U531" s="7" t="s">
        <v>76</v>
      </c>
      <c r="V531" t="s">
        <v>69</v>
      </c>
      <c r="W531" s="7" t="s">
        <v>40</v>
      </c>
    </row>
    <row r="532" spans="1:23" x14ac:dyDescent="0.3">
      <c r="A532" s="6">
        <v>8952</v>
      </c>
      <c r="B532" s="7" t="s">
        <v>183</v>
      </c>
      <c r="C532" s="1">
        <v>45140</v>
      </c>
      <c r="D532" t="s">
        <v>82</v>
      </c>
      <c r="E532" s="8">
        <v>11.99</v>
      </c>
      <c r="F532" s="6">
        <v>216</v>
      </c>
      <c r="G532" s="7" t="s">
        <v>100</v>
      </c>
      <c r="H532" s="6">
        <v>1</v>
      </c>
      <c r="I532" s="6">
        <v>1</v>
      </c>
      <c r="J532" s="7" t="b">
        <v>0</v>
      </c>
      <c r="K532" s="6">
        <v>872</v>
      </c>
      <c r="L532" s="6">
        <v>150</v>
      </c>
      <c r="M532" s="7" t="s">
        <v>92</v>
      </c>
      <c r="N532" s="7" t="s">
        <v>56</v>
      </c>
      <c r="O532" s="7" t="s">
        <v>64</v>
      </c>
      <c r="P532" s="5">
        <v>10</v>
      </c>
      <c r="Q532" s="4">
        <v>3.8</v>
      </c>
      <c r="R532" s="7" t="b">
        <v>1</v>
      </c>
      <c r="S532" s="7" t="s">
        <v>30</v>
      </c>
      <c r="T532" s="5">
        <v>4037</v>
      </c>
      <c r="U532" s="7" t="s">
        <v>76</v>
      </c>
      <c r="V532" t="s">
        <v>59</v>
      </c>
      <c r="W532" s="7" t="s">
        <v>33</v>
      </c>
    </row>
    <row r="533" spans="1:23" x14ac:dyDescent="0.3">
      <c r="A533" s="6">
        <v>2549</v>
      </c>
      <c r="B533" s="7" t="s">
        <v>152</v>
      </c>
      <c r="C533" t="s">
        <v>348</v>
      </c>
      <c r="D533" t="s">
        <v>214</v>
      </c>
      <c r="E533" s="8">
        <v>11.99</v>
      </c>
      <c r="F533" s="6">
        <v>299</v>
      </c>
      <c r="G533" s="7" t="s">
        <v>73</v>
      </c>
      <c r="H533" s="6">
        <v>4</v>
      </c>
      <c r="I533" s="6">
        <v>6</v>
      </c>
      <c r="J533" s="7" t="b">
        <v>0</v>
      </c>
      <c r="K533" s="6">
        <v>77</v>
      </c>
      <c r="L533" s="6">
        <v>191</v>
      </c>
      <c r="M533" s="7" t="s">
        <v>68</v>
      </c>
      <c r="N533" s="7" t="s">
        <v>75</v>
      </c>
      <c r="O533" s="7" t="s">
        <v>64</v>
      </c>
      <c r="P533" s="5">
        <v>85</v>
      </c>
      <c r="Q533" s="4">
        <v>3.4</v>
      </c>
      <c r="R533" s="7" t="b">
        <v>1</v>
      </c>
      <c r="S533" s="7" t="s">
        <v>30</v>
      </c>
      <c r="T533" s="5">
        <v>4348</v>
      </c>
      <c r="U533" s="7" t="s">
        <v>38</v>
      </c>
      <c r="V533" t="s">
        <v>69</v>
      </c>
      <c r="W533" s="7" t="s">
        <v>93</v>
      </c>
    </row>
    <row r="534" spans="1:23" x14ac:dyDescent="0.3">
      <c r="A534" s="6">
        <v>8954</v>
      </c>
      <c r="B534" s="7" t="s">
        <v>238</v>
      </c>
      <c r="C534" t="s">
        <v>534</v>
      </c>
      <c r="D534" t="s">
        <v>99</v>
      </c>
      <c r="E534" s="8">
        <v>15.99</v>
      </c>
      <c r="F534" s="6">
        <v>315</v>
      </c>
      <c r="G534" s="7" t="s">
        <v>73</v>
      </c>
      <c r="H534" s="6">
        <v>2</v>
      </c>
      <c r="I534" s="6">
        <v>1</v>
      </c>
      <c r="J534" s="7" t="b">
        <v>1</v>
      </c>
      <c r="K534" s="6">
        <v>829</v>
      </c>
      <c r="L534" s="6">
        <v>178</v>
      </c>
      <c r="M534" s="7" t="s">
        <v>27</v>
      </c>
      <c r="N534" s="7" t="s">
        <v>44</v>
      </c>
      <c r="O534" s="7" t="s">
        <v>57</v>
      </c>
      <c r="P534" s="5">
        <v>53</v>
      </c>
      <c r="Q534" s="4">
        <v>3.1</v>
      </c>
      <c r="R534" s="7" t="b">
        <v>0</v>
      </c>
      <c r="S534" s="7" t="s">
        <v>30</v>
      </c>
      <c r="T534" s="5">
        <v>546</v>
      </c>
      <c r="U534" s="7" t="s">
        <v>31</v>
      </c>
      <c r="V534" t="s">
        <v>32</v>
      </c>
      <c r="W534" s="7" t="s">
        <v>40</v>
      </c>
    </row>
    <row r="535" spans="1:23" x14ac:dyDescent="0.3">
      <c r="A535" s="6">
        <v>1922</v>
      </c>
      <c r="B535" s="7" t="s">
        <v>104</v>
      </c>
      <c r="C535" s="1">
        <v>45303</v>
      </c>
      <c r="D535" s="1">
        <v>45363</v>
      </c>
      <c r="E535" s="8">
        <v>11.99</v>
      </c>
      <c r="F535" s="6">
        <v>35</v>
      </c>
      <c r="G535" s="7" t="s">
        <v>51</v>
      </c>
      <c r="H535" s="6">
        <v>2</v>
      </c>
      <c r="I535" s="6">
        <v>4</v>
      </c>
      <c r="J535" s="7" t="b">
        <v>0</v>
      </c>
      <c r="K535" s="6">
        <v>821</v>
      </c>
      <c r="L535" s="6">
        <v>7</v>
      </c>
      <c r="M535" s="7" t="s">
        <v>55</v>
      </c>
      <c r="N535" s="7" t="s">
        <v>44</v>
      </c>
      <c r="O535" s="7" t="s">
        <v>45</v>
      </c>
      <c r="P535" s="5">
        <v>3</v>
      </c>
      <c r="Q535" s="4">
        <v>3.3</v>
      </c>
      <c r="R535" s="7" t="b">
        <v>0</v>
      </c>
      <c r="S535" s="7" t="s">
        <v>30</v>
      </c>
      <c r="T535" s="5">
        <v>2785</v>
      </c>
      <c r="U535" s="7" t="s">
        <v>58</v>
      </c>
      <c r="V535" t="s">
        <v>32</v>
      </c>
      <c r="W535" s="7" t="s">
        <v>93</v>
      </c>
    </row>
    <row r="536" spans="1:23" x14ac:dyDescent="0.3">
      <c r="A536" s="6">
        <v>9861</v>
      </c>
      <c r="B536" s="7" t="s">
        <v>140</v>
      </c>
      <c r="C536" s="1">
        <v>45119</v>
      </c>
      <c r="D536" t="s">
        <v>129</v>
      </c>
      <c r="E536" s="8">
        <v>15.99</v>
      </c>
      <c r="F536" s="6">
        <v>359</v>
      </c>
      <c r="G536" s="7" t="s">
        <v>73</v>
      </c>
      <c r="H536" s="6">
        <v>3</v>
      </c>
      <c r="I536" s="6">
        <v>1</v>
      </c>
      <c r="J536" s="7" t="b">
        <v>0</v>
      </c>
      <c r="K536" s="6">
        <v>265</v>
      </c>
      <c r="L536" s="6">
        <v>34</v>
      </c>
      <c r="M536" s="7" t="s">
        <v>68</v>
      </c>
      <c r="N536" s="7" t="s">
        <v>56</v>
      </c>
      <c r="O536" s="7" t="s">
        <v>64</v>
      </c>
      <c r="P536" s="5">
        <v>64</v>
      </c>
      <c r="Q536" s="4">
        <v>4.9000000000000004</v>
      </c>
      <c r="R536" s="7" t="b">
        <v>1</v>
      </c>
      <c r="S536" s="7" t="s">
        <v>30</v>
      </c>
      <c r="T536" s="5">
        <v>3308</v>
      </c>
      <c r="U536" s="7" t="s">
        <v>31</v>
      </c>
      <c r="V536" t="s">
        <v>39</v>
      </c>
      <c r="W536" s="7" t="s">
        <v>60</v>
      </c>
    </row>
    <row r="537" spans="1:23" x14ac:dyDescent="0.3">
      <c r="A537" s="6">
        <v>4383</v>
      </c>
      <c r="B537" s="7" t="s">
        <v>553</v>
      </c>
      <c r="C537" s="1">
        <v>45513</v>
      </c>
      <c r="D537" t="s">
        <v>90</v>
      </c>
      <c r="E537" s="8">
        <v>15.99</v>
      </c>
      <c r="F537" s="6">
        <v>361</v>
      </c>
      <c r="G537" s="7" t="s">
        <v>26</v>
      </c>
      <c r="H537" s="6">
        <v>4</v>
      </c>
      <c r="I537" s="6">
        <v>5</v>
      </c>
      <c r="J537" s="7" t="b">
        <v>1</v>
      </c>
      <c r="K537" s="6">
        <v>416</v>
      </c>
      <c r="L537" s="6">
        <v>143</v>
      </c>
      <c r="M537" s="7" t="s">
        <v>68</v>
      </c>
      <c r="N537" s="7" t="s">
        <v>56</v>
      </c>
      <c r="O537" s="7" t="s">
        <v>78</v>
      </c>
      <c r="P537" s="5">
        <v>99</v>
      </c>
      <c r="Q537" s="4">
        <v>3.7</v>
      </c>
      <c r="R537" s="7" t="b">
        <v>0</v>
      </c>
      <c r="S537" s="7" t="s">
        <v>30</v>
      </c>
      <c r="T537" s="5">
        <v>527</v>
      </c>
      <c r="U537" s="7" t="s">
        <v>58</v>
      </c>
      <c r="V537" t="s">
        <v>59</v>
      </c>
      <c r="W537" s="7" t="s">
        <v>60</v>
      </c>
    </row>
    <row r="538" spans="1:23" x14ac:dyDescent="0.3">
      <c r="A538" s="6">
        <v>4328</v>
      </c>
      <c r="B538" s="7" t="s">
        <v>120</v>
      </c>
      <c r="C538" t="s">
        <v>554</v>
      </c>
      <c r="D538" t="s">
        <v>156</v>
      </c>
      <c r="E538" s="8">
        <v>11.99</v>
      </c>
      <c r="F538" s="6">
        <v>273</v>
      </c>
      <c r="G538" s="7" t="s">
        <v>26</v>
      </c>
      <c r="H538" s="6">
        <v>3</v>
      </c>
      <c r="I538" s="6">
        <v>4</v>
      </c>
      <c r="J538" s="7" t="b">
        <v>1</v>
      </c>
      <c r="K538" s="6">
        <v>253</v>
      </c>
      <c r="L538" s="6">
        <v>70</v>
      </c>
      <c r="M538" s="7" t="s">
        <v>74</v>
      </c>
      <c r="N538" s="7" t="s">
        <v>28</v>
      </c>
      <c r="O538" s="7" t="s">
        <v>64</v>
      </c>
      <c r="P538" s="5">
        <v>42</v>
      </c>
      <c r="Q538" s="4">
        <v>4.9000000000000004</v>
      </c>
      <c r="R538" s="7" t="b">
        <v>0</v>
      </c>
      <c r="S538" s="7" t="s">
        <v>30</v>
      </c>
      <c r="T538" s="5">
        <v>837</v>
      </c>
      <c r="U538" s="7" t="s">
        <v>31</v>
      </c>
      <c r="V538" t="s">
        <v>39</v>
      </c>
      <c r="W538" s="7" t="s">
        <v>40</v>
      </c>
    </row>
    <row r="539" spans="1:23" x14ac:dyDescent="0.3">
      <c r="A539" s="6">
        <v>4622</v>
      </c>
      <c r="B539" s="7" t="s">
        <v>191</v>
      </c>
      <c r="C539" t="s">
        <v>84</v>
      </c>
      <c r="D539" t="s">
        <v>35</v>
      </c>
      <c r="E539" s="8">
        <v>7.99</v>
      </c>
      <c r="F539" s="6">
        <v>47</v>
      </c>
      <c r="G539" s="7" t="s">
        <v>26</v>
      </c>
      <c r="H539" s="6">
        <v>2</v>
      </c>
      <c r="I539" s="6">
        <v>4</v>
      </c>
      <c r="J539" s="7" t="b">
        <v>1</v>
      </c>
      <c r="K539" s="6">
        <v>770</v>
      </c>
      <c r="L539" s="6">
        <v>2</v>
      </c>
      <c r="M539" s="7" t="s">
        <v>68</v>
      </c>
      <c r="N539" s="7" t="s">
        <v>56</v>
      </c>
      <c r="O539" s="7" t="s">
        <v>64</v>
      </c>
      <c r="P539" s="5">
        <v>46</v>
      </c>
      <c r="Q539" s="4">
        <v>4.7</v>
      </c>
      <c r="R539" s="7" t="b">
        <v>1</v>
      </c>
      <c r="S539" s="7" t="s">
        <v>30</v>
      </c>
      <c r="T539" s="5">
        <v>371</v>
      </c>
      <c r="U539" s="7" t="s">
        <v>38</v>
      </c>
      <c r="V539" t="s">
        <v>69</v>
      </c>
      <c r="W539" s="7" t="s">
        <v>93</v>
      </c>
    </row>
    <row r="540" spans="1:23" x14ac:dyDescent="0.3">
      <c r="A540" s="6">
        <v>7828</v>
      </c>
      <c r="B540" s="7" t="s">
        <v>555</v>
      </c>
      <c r="C540" s="1">
        <v>45142</v>
      </c>
      <c r="D540" s="1">
        <v>45334</v>
      </c>
      <c r="E540" s="8">
        <v>7.99</v>
      </c>
      <c r="F540" s="6">
        <v>477</v>
      </c>
      <c r="G540" s="7" t="s">
        <v>63</v>
      </c>
      <c r="H540" s="6">
        <v>5</v>
      </c>
      <c r="I540" s="6">
        <v>5</v>
      </c>
      <c r="J540" s="7" t="b">
        <v>0</v>
      </c>
      <c r="K540" s="6">
        <v>969</v>
      </c>
      <c r="L540" s="6">
        <v>12</v>
      </c>
      <c r="M540" s="7" t="s">
        <v>92</v>
      </c>
      <c r="N540" s="7" t="s">
        <v>44</v>
      </c>
      <c r="O540" s="7" t="s">
        <v>64</v>
      </c>
      <c r="P540" s="5">
        <v>37</v>
      </c>
      <c r="Q540" s="4">
        <v>4.7</v>
      </c>
      <c r="R540" s="7" t="b">
        <v>0</v>
      </c>
      <c r="S540" s="7" t="s">
        <v>30</v>
      </c>
      <c r="T540" s="5">
        <v>877</v>
      </c>
      <c r="U540" s="7" t="s">
        <v>76</v>
      </c>
      <c r="V540" t="s">
        <v>39</v>
      </c>
      <c r="W540" s="7" t="s">
        <v>33</v>
      </c>
    </row>
    <row r="541" spans="1:23" x14ac:dyDescent="0.3">
      <c r="A541" s="6">
        <v>1393</v>
      </c>
      <c r="B541" s="7" t="s">
        <v>254</v>
      </c>
      <c r="C541" t="s">
        <v>556</v>
      </c>
      <c r="D541" s="1">
        <v>45363</v>
      </c>
      <c r="E541" s="8">
        <v>7.99</v>
      </c>
      <c r="F541" s="6">
        <v>418</v>
      </c>
      <c r="G541" s="7" t="s">
        <v>26</v>
      </c>
      <c r="H541" s="6">
        <v>3</v>
      </c>
      <c r="I541" s="6">
        <v>4</v>
      </c>
      <c r="J541" s="7" t="b">
        <v>1</v>
      </c>
      <c r="K541" s="6">
        <v>701</v>
      </c>
      <c r="L541" s="6">
        <v>125</v>
      </c>
      <c r="M541" s="7" t="s">
        <v>55</v>
      </c>
      <c r="N541" s="7" t="s">
        <v>44</v>
      </c>
      <c r="O541" s="7" t="s">
        <v>29</v>
      </c>
      <c r="P541" s="5">
        <v>68</v>
      </c>
      <c r="Q541" s="4">
        <v>4.8</v>
      </c>
      <c r="R541" s="7" t="b">
        <v>1</v>
      </c>
      <c r="S541" s="7" t="s">
        <v>30</v>
      </c>
      <c r="T541" s="5">
        <v>4873</v>
      </c>
      <c r="U541" s="7" t="s">
        <v>76</v>
      </c>
      <c r="V541" t="s">
        <v>39</v>
      </c>
      <c r="W541" s="7" t="s">
        <v>40</v>
      </c>
    </row>
    <row r="542" spans="1:23" x14ac:dyDescent="0.3">
      <c r="A542" s="6">
        <v>9239</v>
      </c>
      <c r="B542" s="7" t="s">
        <v>257</v>
      </c>
      <c r="C542" t="s">
        <v>87</v>
      </c>
      <c r="D542" t="s">
        <v>134</v>
      </c>
      <c r="E542" s="8">
        <v>15.99</v>
      </c>
      <c r="F542" s="6">
        <v>274</v>
      </c>
      <c r="G542" s="7" t="s">
        <v>36</v>
      </c>
      <c r="H542" s="6">
        <v>5</v>
      </c>
      <c r="I542" s="6">
        <v>6</v>
      </c>
      <c r="J542" s="7" t="b">
        <v>0</v>
      </c>
      <c r="K542" s="6">
        <v>732</v>
      </c>
      <c r="L542" s="6">
        <v>105</v>
      </c>
      <c r="M542" s="7" t="s">
        <v>49</v>
      </c>
      <c r="N542" s="7" t="s">
        <v>28</v>
      </c>
      <c r="O542" s="7" t="s">
        <v>29</v>
      </c>
      <c r="P542" s="5">
        <v>36</v>
      </c>
      <c r="Q542" s="4">
        <v>4.0999999999999996</v>
      </c>
      <c r="R542" s="7" t="b">
        <v>1</v>
      </c>
      <c r="S542" s="7" t="s">
        <v>30</v>
      </c>
      <c r="T542" s="5">
        <v>4194</v>
      </c>
      <c r="U542" s="7" t="s">
        <v>58</v>
      </c>
      <c r="V542" t="s">
        <v>69</v>
      </c>
      <c r="W542" s="7" t="s">
        <v>40</v>
      </c>
    </row>
    <row r="543" spans="1:23" x14ac:dyDescent="0.3">
      <c r="A543" s="6">
        <v>1636</v>
      </c>
      <c r="B543" s="7" t="s">
        <v>147</v>
      </c>
      <c r="C543" t="s">
        <v>557</v>
      </c>
      <c r="D543" s="1">
        <v>45455</v>
      </c>
      <c r="E543" s="8">
        <v>11.99</v>
      </c>
      <c r="F543" s="6">
        <v>102</v>
      </c>
      <c r="G543" s="7" t="s">
        <v>100</v>
      </c>
      <c r="H543" s="6">
        <v>5</v>
      </c>
      <c r="I543" s="6">
        <v>2</v>
      </c>
      <c r="J543" s="7" t="b">
        <v>0</v>
      </c>
      <c r="K543" s="6">
        <v>989</v>
      </c>
      <c r="L543" s="6">
        <v>44</v>
      </c>
      <c r="M543" s="7" t="s">
        <v>68</v>
      </c>
      <c r="N543" s="7" t="s">
        <v>75</v>
      </c>
      <c r="O543" s="7" t="s">
        <v>64</v>
      </c>
      <c r="P543" s="5">
        <v>63</v>
      </c>
      <c r="Q543" s="4">
        <v>4.8</v>
      </c>
      <c r="R543" s="7" t="b">
        <v>0</v>
      </c>
      <c r="S543" s="7" t="s">
        <v>30</v>
      </c>
      <c r="T543" s="5">
        <v>3118</v>
      </c>
      <c r="U543" s="7" t="s">
        <v>38</v>
      </c>
      <c r="V543" t="s">
        <v>32</v>
      </c>
      <c r="W543" s="7" t="s">
        <v>33</v>
      </c>
    </row>
    <row r="544" spans="1:23" x14ac:dyDescent="0.3">
      <c r="A544" s="6">
        <v>4401</v>
      </c>
      <c r="B544" s="7" t="s">
        <v>558</v>
      </c>
      <c r="C544" t="s">
        <v>559</v>
      </c>
      <c r="D544" t="s">
        <v>35</v>
      </c>
      <c r="E544" s="8">
        <v>15.99</v>
      </c>
      <c r="F544" s="6">
        <v>164</v>
      </c>
      <c r="G544" s="7" t="s">
        <v>51</v>
      </c>
      <c r="H544" s="6">
        <v>3</v>
      </c>
      <c r="I544" s="6">
        <v>5</v>
      </c>
      <c r="J544" s="7" t="b">
        <v>1</v>
      </c>
      <c r="K544" s="6">
        <v>89</v>
      </c>
      <c r="L544" s="6">
        <v>32</v>
      </c>
      <c r="M544" s="7" t="s">
        <v>74</v>
      </c>
      <c r="N544" s="7" t="s">
        <v>75</v>
      </c>
      <c r="O544" s="7" t="s">
        <v>37</v>
      </c>
      <c r="P544" s="5">
        <v>83</v>
      </c>
      <c r="Q544" s="4">
        <v>3</v>
      </c>
      <c r="R544" s="7" t="b">
        <v>1</v>
      </c>
      <c r="S544" s="7" t="s">
        <v>30</v>
      </c>
      <c r="T544" s="5">
        <v>2088</v>
      </c>
      <c r="U544" s="7" t="s">
        <v>76</v>
      </c>
      <c r="V544" t="s">
        <v>79</v>
      </c>
      <c r="W544" s="7" t="s">
        <v>40</v>
      </c>
    </row>
    <row r="545" spans="1:23" x14ac:dyDescent="0.3">
      <c r="A545" s="6">
        <v>7135</v>
      </c>
      <c r="B545" s="7" t="s">
        <v>560</v>
      </c>
      <c r="C545" s="1">
        <v>45272</v>
      </c>
      <c r="D545" t="s">
        <v>72</v>
      </c>
      <c r="E545" s="8">
        <v>15.99</v>
      </c>
      <c r="F545" s="6">
        <v>478</v>
      </c>
      <c r="G545" s="7" t="s">
        <v>36</v>
      </c>
      <c r="H545" s="6">
        <v>4</v>
      </c>
      <c r="I545" s="6">
        <v>5</v>
      </c>
      <c r="J545" s="7" t="b">
        <v>1</v>
      </c>
      <c r="K545" s="6">
        <v>578</v>
      </c>
      <c r="L545" s="6">
        <v>117</v>
      </c>
      <c r="M545" s="7" t="s">
        <v>74</v>
      </c>
      <c r="N545" s="7" t="s">
        <v>56</v>
      </c>
      <c r="O545" s="7" t="s">
        <v>29</v>
      </c>
      <c r="P545" s="5">
        <v>27</v>
      </c>
      <c r="Q545" s="4">
        <v>4.9000000000000004</v>
      </c>
      <c r="R545" s="7" t="b">
        <v>0</v>
      </c>
      <c r="S545" s="7" t="s">
        <v>30</v>
      </c>
      <c r="T545" s="5">
        <v>3468</v>
      </c>
      <c r="U545" s="7" t="s">
        <v>58</v>
      </c>
      <c r="V545" t="s">
        <v>69</v>
      </c>
      <c r="W545" s="7" t="s">
        <v>60</v>
      </c>
    </row>
    <row r="546" spans="1:23" x14ac:dyDescent="0.3">
      <c r="A546" s="6">
        <v>8923</v>
      </c>
      <c r="B546" s="7" t="s">
        <v>184</v>
      </c>
      <c r="C546" s="1">
        <v>45608</v>
      </c>
      <c r="D546" s="1">
        <v>45577</v>
      </c>
      <c r="E546" s="8">
        <v>11.99</v>
      </c>
      <c r="F546" s="6">
        <v>100</v>
      </c>
      <c r="G546" s="7" t="s">
        <v>100</v>
      </c>
      <c r="H546" s="6">
        <v>3</v>
      </c>
      <c r="I546" s="6">
        <v>4</v>
      </c>
      <c r="J546" s="7" t="b">
        <v>0</v>
      </c>
      <c r="K546" s="6">
        <v>417</v>
      </c>
      <c r="L546" s="6">
        <v>87</v>
      </c>
      <c r="M546" s="7" t="s">
        <v>92</v>
      </c>
      <c r="N546" s="7" t="s">
        <v>56</v>
      </c>
      <c r="O546" s="7" t="s">
        <v>64</v>
      </c>
      <c r="P546" s="5">
        <v>14</v>
      </c>
      <c r="Q546" s="4">
        <v>3.4</v>
      </c>
      <c r="R546" s="7" t="b">
        <v>0</v>
      </c>
      <c r="S546" s="7" t="s">
        <v>30</v>
      </c>
      <c r="T546" s="5">
        <v>3183</v>
      </c>
      <c r="U546" s="7" t="s">
        <v>58</v>
      </c>
      <c r="V546" t="s">
        <v>32</v>
      </c>
      <c r="W546" s="7" t="s">
        <v>93</v>
      </c>
    </row>
    <row r="547" spans="1:23" x14ac:dyDescent="0.3">
      <c r="A547" s="6">
        <v>9748</v>
      </c>
      <c r="B547" s="7" t="s">
        <v>323</v>
      </c>
      <c r="C547" s="1">
        <v>45272</v>
      </c>
      <c r="D547" s="1">
        <v>45485</v>
      </c>
      <c r="E547" s="8">
        <v>15.99</v>
      </c>
      <c r="F547" s="6">
        <v>264</v>
      </c>
      <c r="G547" s="7" t="s">
        <v>100</v>
      </c>
      <c r="H547" s="6">
        <v>2</v>
      </c>
      <c r="I547" s="6">
        <v>6</v>
      </c>
      <c r="J547" s="7" t="b">
        <v>0</v>
      </c>
      <c r="K547" s="6">
        <v>474</v>
      </c>
      <c r="L547" s="6">
        <v>10</v>
      </c>
      <c r="M547" s="7" t="s">
        <v>27</v>
      </c>
      <c r="N547" s="7" t="s">
        <v>75</v>
      </c>
      <c r="O547" s="7" t="s">
        <v>37</v>
      </c>
      <c r="P547" s="5">
        <v>18</v>
      </c>
      <c r="Q547" s="4">
        <v>4.7</v>
      </c>
      <c r="R547" s="7" t="b">
        <v>1</v>
      </c>
      <c r="S547" s="7" t="s">
        <v>30</v>
      </c>
      <c r="T547" s="5">
        <v>4070</v>
      </c>
      <c r="U547" s="7" t="s">
        <v>31</v>
      </c>
      <c r="V547" t="s">
        <v>32</v>
      </c>
      <c r="W547" s="7" t="s">
        <v>60</v>
      </c>
    </row>
    <row r="548" spans="1:23" x14ac:dyDescent="0.3">
      <c r="A548" s="6">
        <v>7046</v>
      </c>
      <c r="B548" s="7" t="s">
        <v>344</v>
      </c>
      <c r="C548" t="s">
        <v>561</v>
      </c>
      <c r="D548" s="1">
        <v>45577</v>
      </c>
      <c r="E548" s="8">
        <v>15.99</v>
      </c>
      <c r="F548" s="6">
        <v>208</v>
      </c>
      <c r="G548" s="7" t="s">
        <v>63</v>
      </c>
      <c r="H548" s="6">
        <v>5</v>
      </c>
      <c r="I548" s="6">
        <v>6</v>
      </c>
      <c r="J548" s="7" t="b">
        <v>0</v>
      </c>
      <c r="K548" s="6">
        <v>512</v>
      </c>
      <c r="L548" s="6">
        <v>176</v>
      </c>
      <c r="M548" s="7" t="s">
        <v>68</v>
      </c>
      <c r="N548" s="7" t="s">
        <v>28</v>
      </c>
      <c r="O548" s="7" t="s">
        <v>78</v>
      </c>
      <c r="P548" s="5">
        <v>36</v>
      </c>
      <c r="Q548" s="4">
        <v>4.7</v>
      </c>
      <c r="R548" s="7" t="b">
        <v>0</v>
      </c>
      <c r="S548" s="7" t="s">
        <v>30</v>
      </c>
      <c r="T548" s="5">
        <v>4147</v>
      </c>
      <c r="U548" s="7" t="s">
        <v>31</v>
      </c>
      <c r="V548" t="s">
        <v>79</v>
      </c>
      <c r="W548" s="7" t="s">
        <v>93</v>
      </c>
    </row>
    <row r="549" spans="1:23" x14ac:dyDescent="0.3">
      <c r="A549" s="6">
        <v>9688</v>
      </c>
      <c r="B549" s="7" t="s">
        <v>562</v>
      </c>
      <c r="C549" t="s">
        <v>455</v>
      </c>
      <c r="D549" s="1">
        <v>45394</v>
      </c>
      <c r="E549" s="8">
        <v>7.99</v>
      </c>
      <c r="F549" s="6">
        <v>56</v>
      </c>
      <c r="G549" s="7" t="s">
        <v>73</v>
      </c>
      <c r="H549" s="6">
        <v>1</v>
      </c>
      <c r="I549" s="6">
        <v>2</v>
      </c>
      <c r="J549" s="7" t="b">
        <v>1</v>
      </c>
      <c r="K549" s="6">
        <v>280</v>
      </c>
      <c r="L549" s="6">
        <v>67</v>
      </c>
      <c r="M549" s="7" t="s">
        <v>92</v>
      </c>
      <c r="N549" s="7" t="s">
        <v>75</v>
      </c>
      <c r="O549" s="7" t="s">
        <v>57</v>
      </c>
      <c r="P549" s="5">
        <v>21</v>
      </c>
      <c r="Q549" s="4">
        <v>4.5999999999999996</v>
      </c>
      <c r="R549" s="7" t="b">
        <v>0</v>
      </c>
      <c r="S549" s="7" t="s">
        <v>30</v>
      </c>
      <c r="T549" s="5">
        <v>255</v>
      </c>
      <c r="U549" s="7" t="s">
        <v>31</v>
      </c>
      <c r="V549" t="s">
        <v>39</v>
      </c>
      <c r="W549" s="7" t="s">
        <v>60</v>
      </c>
    </row>
    <row r="550" spans="1:23" x14ac:dyDescent="0.3">
      <c r="A550" s="6">
        <v>6720</v>
      </c>
      <c r="B550" s="7" t="s">
        <v>157</v>
      </c>
      <c r="C550" s="1">
        <v>45145</v>
      </c>
      <c r="D550" t="s">
        <v>25</v>
      </c>
      <c r="E550" s="8">
        <v>15.99</v>
      </c>
      <c r="F550" s="6">
        <v>207</v>
      </c>
      <c r="G550" s="7" t="s">
        <v>63</v>
      </c>
      <c r="H550" s="6">
        <v>2</v>
      </c>
      <c r="I550" s="6">
        <v>2</v>
      </c>
      <c r="J550" s="7" t="b">
        <v>1</v>
      </c>
      <c r="K550" s="6">
        <v>494</v>
      </c>
      <c r="L550" s="6">
        <v>28</v>
      </c>
      <c r="M550" s="7" t="s">
        <v>92</v>
      </c>
      <c r="N550" s="7" t="s">
        <v>75</v>
      </c>
      <c r="O550" s="7" t="s">
        <v>37</v>
      </c>
      <c r="P550" s="5">
        <v>99</v>
      </c>
      <c r="Q550" s="4">
        <v>3.6</v>
      </c>
      <c r="R550" s="7" t="b">
        <v>0</v>
      </c>
      <c r="S550" s="7" t="s">
        <v>30</v>
      </c>
      <c r="T550" s="5">
        <v>3278</v>
      </c>
      <c r="U550" s="7" t="s">
        <v>38</v>
      </c>
      <c r="V550" t="s">
        <v>79</v>
      </c>
      <c r="W550" s="7" t="s">
        <v>33</v>
      </c>
    </row>
    <row r="551" spans="1:23" x14ac:dyDescent="0.3">
      <c r="A551" s="6">
        <v>2766</v>
      </c>
      <c r="B551" s="7" t="s">
        <v>563</v>
      </c>
      <c r="C551" s="1">
        <v>45139</v>
      </c>
      <c r="D551" t="s">
        <v>87</v>
      </c>
      <c r="E551" s="8">
        <v>7.99</v>
      </c>
      <c r="F551" s="6">
        <v>187</v>
      </c>
      <c r="G551" s="7" t="s">
        <v>51</v>
      </c>
      <c r="H551" s="6">
        <v>2</v>
      </c>
      <c r="I551" s="6">
        <v>3</v>
      </c>
      <c r="J551" s="7" t="b">
        <v>1</v>
      </c>
      <c r="K551" s="6">
        <v>697</v>
      </c>
      <c r="L551" s="6">
        <v>5</v>
      </c>
      <c r="M551" s="7" t="s">
        <v>68</v>
      </c>
      <c r="N551" s="7" t="s">
        <v>44</v>
      </c>
      <c r="O551" s="7" t="s">
        <v>37</v>
      </c>
      <c r="P551" s="5">
        <v>29</v>
      </c>
      <c r="Q551" s="4">
        <v>4.5</v>
      </c>
      <c r="R551" s="7" t="b">
        <v>0</v>
      </c>
      <c r="S551" s="7" t="s">
        <v>30</v>
      </c>
      <c r="T551" s="5">
        <v>213</v>
      </c>
      <c r="U551" s="7" t="s">
        <v>58</v>
      </c>
      <c r="V551" t="s">
        <v>59</v>
      </c>
      <c r="W551" s="7" t="s">
        <v>60</v>
      </c>
    </row>
    <row r="552" spans="1:23" x14ac:dyDescent="0.3">
      <c r="A552" s="6">
        <v>3847</v>
      </c>
      <c r="B552" s="7" t="s">
        <v>114</v>
      </c>
      <c r="C552" s="1">
        <v>45415</v>
      </c>
      <c r="D552" t="s">
        <v>109</v>
      </c>
      <c r="E552" s="8">
        <v>11.99</v>
      </c>
      <c r="F552" s="6">
        <v>62</v>
      </c>
      <c r="G552" s="7" t="s">
        <v>26</v>
      </c>
      <c r="H552" s="6">
        <v>3</v>
      </c>
      <c r="I552" s="6">
        <v>1</v>
      </c>
      <c r="J552" s="7" t="b">
        <v>1</v>
      </c>
      <c r="K552" s="6">
        <v>879</v>
      </c>
      <c r="L552" s="6">
        <v>128</v>
      </c>
      <c r="M552" s="7" t="s">
        <v>55</v>
      </c>
      <c r="N552" s="7" t="s">
        <v>28</v>
      </c>
      <c r="O552" s="7" t="s">
        <v>45</v>
      </c>
      <c r="P552" s="5">
        <v>56</v>
      </c>
      <c r="Q552" s="4">
        <v>3.4</v>
      </c>
      <c r="R552" s="7" t="b">
        <v>0</v>
      </c>
      <c r="S552" s="7" t="s">
        <v>30</v>
      </c>
      <c r="T552" s="5">
        <v>2886</v>
      </c>
      <c r="U552" s="7" t="s">
        <v>65</v>
      </c>
      <c r="V552" t="s">
        <v>39</v>
      </c>
      <c r="W552" s="7" t="s">
        <v>33</v>
      </c>
    </row>
    <row r="553" spans="1:23" x14ac:dyDescent="0.3">
      <c r="A553" s="6">
        <v>8554</v>
      </c>
      <c r="B553" s="7" t="s">
        <v>153</v>
      </c>
      <c r="C553" s="1">
        <v>44969</v>
      </c>
      <c r="D553" t="s">
        <v>134</v>
      </c>
      <c r="E553" s="8">
        <v>15.99</v>
      </c>
      <c r="F553" s="6">
        <v>182</v>
      </c>
      <c r="G553" s="7" t="s">
        <v>100</v>
      </c>
      <c r="H553" s="6">
        <v>1</v>
      </c>
      <c r="I553" s="6">
        <v>2</v>
      </c>
      <c r="J553" s="7" t="b">
        <v>1</v>
      </c>
      <c r="K553" s="6">
        <v>442</v>
      </c>
      <c r="L553" s="6">
        <v>87</v>
      </c>
      <c r="M553" s="7" t="s">
        <v>27</v>
      </c>
      <c r="N553" s="7" t="s">
        <v>56</v>
      </c>
      <c r="O553" s="7" t="s">
        <v>45</v>
      </c>
      <c r="P553" s="5">
        <v>62</v>
      </c>
      <c r="Q553" s="4">
        <v>4.9000000000000004</v>
      </c>
      <c r="R553" s="7" t="b">
        <v>0</v>
      </c>
      <c r="S553" s="7" t="s">
        <v>30</v>
      </c>
      <c r="T553" s="5">
        <v>1901</v>
      </c>
      <c r="U553" s="7" t="s">
        <v>38</v>
      </c>
      <c r="V553" t="s">
        <v>69</v>
      </c>
      <c r="W553" s="7" t="s">
        <v>40</v>
      </c>
    </row>
    <row r="554" spans="1:23" x14ac:dyDescent="0.3">
      <c r="A554" s="6">
        <v>6569</v>
      </c>
      <c r="B554" s="7" t="s">
        <v>34</v>
      </c>
      <c r="C554" t="s">
        <v>526</v>
      </c>
      <c r="D554" t="s">
        <v>87</v>
      </c>
      <c r="E554" s="8">
        <v>7.99</v>
      </c>
      <c r="F554" s="6">
        <v>468</v>
      </c>
      <c r="G554" s="7" t="s">
        <v>100</v>
      </c>
      <c r="H554" s="6">
        <v>2</v>
      </c>
      <c r="I554" s="6">
        <v>3</v>
      </c>
      <c r="J554" s="7" t="b">
        <v>0</v>
      </c>
      <c r="K554" s="6">
        <v>514</v>
      </c>
      <c r="L554" s="6">
        <v>46</v>
      </c>
      <c r="M554" s="7" t="s">
        <v>43</v>
      </c>
      <c r="N554" s="7" t="s">
        <v>44</v>
      </c>
      <c r="O554" s="7" t="s">
        <v>64</v>
      </c>
      <c r="P554" s="5">
        <v>74</v>
      </c>
      <c r="Q554" s="4">
        <v>3.2</v>
      </c>
      <c r="R554" s="7" t="b">
        <v>0</v>
      </c>
      <c r="S554" s="7" t="s">
        <v>30</v>
      </c>
      <c r="T554" s="5">
        <v>4456</v>
      </c>
      <c r="U554" s="7" t="s">
        <v>31</v>
      </c>
      <c r="V554" t="s">
        <v>39</v>
      </c>
      <c r="W554" s="7" t="s">
        <v>93</v>
      </c>
    </row>
    <row r="555" spans="1:23" x14ac:dyDescent="0.3">
      <c r="A555" s="6">
        <v>6391</v>
      </c>
      <c r="B555" s="7" t="s">
        <v>257</v>
      </c>
      <c r="C555" s="1">
        <v>45601</v>
      </c>
      <c r="D555" t="s">
        <v>156</v>
      </c>
      <c r="E555" s="8">
        <v>15.99</v>
      </c>
      <c r="F555" s="6">
        <v>389</v>
      </c>
      <c r="G555" s="7" t="s">
        <v>36</v>
      </c>
      <c r="H555" s="6">
        <v>2</v>
      </c>
      <c r="I555" s="6">
        <v>2</v>
      </c>
      <c r="J555" s="7" t="b">
        <v>0</v>
      </c>
      <c r="K555" s="6">
        <v>120</v>
      </c>
      <c r="L555" s="6">
        <v>191</v>
      </c>
      <c r="M555" s="7" t="s">
        <v>49</v>
      </c>
      <c r="N555" s="7" t="s">
        <v>44</v>
      </c>
      <c r="O555" s="7" t="s">
        <v>64</v>
      </c>
      <c r="P555" s="5">
        <v>75</v>
      </c>
      <c r="Q555" s="4">
        <v>3.8</v>
      </c>
      <c r="R555" s="7" t="b">
        <v>1</v>
      </c>
      <c r="S555" s="7" t="s">
        <v>30</v>
      </c>
      <c r="T555" s="5">
        <v>237</v>
      </c>
      <c r="U555" s="7" t="s">
        <v>38</v>
      </c>
      <c r="V555" t="s">
        <v>59</v>
      </c>
      <c r="W555" s="7" t="s">
        <v>60</v>
      </c>
    </row>
    <row r="556" spans="1:23" x14ac:dyDescent="0.3">
      <c r="A556" s="6">
        <v>4883</v>
      </c>
      <c r="B556" s="7" t="s">
        <v>564</v>
      </c>
      <c r="C556" s="1">
        <v>45475</v>
      </c>
      <c r="D556" s="1">
        <v>45547</v>
      </c>
      <c r="E556" s="8">
        <v>15.99</v>
      </c>
      <c r="F556" s="6">
        <v>155</v>
      </c>
      <c r="G556" s="7" t="s">
        <v>26</v>
      </c>
      <c r="H556" s="6">
        <v>4</v>
      </c>
      <c r="I556" s="6">
        <v>5</v>
      </c>
      <c r="J556" s="7" t="b">
        <v>0</v>
      </c>
      <c r="K556" s="6">
        <v>573</v>
      </c>
      <c r="L556" s="6">
        <v>190</v>
      </c>
      <c r="M556" s="7" t="s">
        <v>55</v>
      </c>
      <c r="N556" s="7" t="s">
        <v>75</v>
      </c>
      <c r="O556" s="7" t="s">
        <v>57</v>
      </c>
      <c r="P556" s="5">
        <v>86</v>
      </c>
      <c r="Q556" s="4">
        <v>3.5</v>
      </c>
      <c r="R556" s="7" t="b">
        <v>1</v>
      </c>
      <c r="S556" s="7" t="s">
        <v>30</v>
      </c>
      <c r="T556" s="5">
        <v>4659</v>
      </c>
      <c r="U556" s="7" t="s">
        <v>76</v>
      </c>
      <c r="V556" t="s">
        <v>32</v>
      </c>
      <c r="W556" s="7" t="s">
        <v>33</v>
      </c>
    </row>
    <row r="557" spans="1:23" x14ac:dyDescent="0.3">
      <c r="A557" s="6">
        <v>4530</v>
      </c>
      <c r="B557" s="7" t="s">
        <v>226</v>
      </c>
      <c r="C557" t="s">
        <v>565</v>
      </c>
      <c r="D557" t="s">
        <v>214</v>
      </c>
      <c r="E557" s="8">
        <v>7.99</v>
      </c>
      <c r="F557" s="6">
        <v>331</v>
      </c>
      <c r="G557" s="7" t="s">
        <v>26</v>
      </c>
      <c r="H557" s="6">
        <v>1</v>
      </c>
      <c r="I557" s="6">
        <v>6</v>
      </c>
      <c r="J557" s="7" t="b">
        <v>1</v>
      </c>
      <c r="K557" s="6">
        <v>231</v>
      </c>
      <c r="L557" s="6">
        <v>199</v>
      </c>
      <c r="M557" s="7" t="s">
        <v>74</v>
      </c>
      <c r="N557" s="7" t="s">
        <v>28</v>
      </c>
      <c r="O557" s="7" t="s">
        <v>45</v>
      </c>
      <c r="P557" s="5">
        <v>93</v>
      </c>
      <c r="Q557" s="4">
        <v>3.4</v>
      </c>
      <c r="R557" s="7" t="b">
        <v>0</v>
      </c>
      <c r="S557" s="7" t="s">
        <v>30</v>
      </c>
      <c r="T557" s="5">
        <v>4906</v>
      </c>
      <c r="U557" s="7" t="s">
        <v>38</v>
      </c>
      <c r="V557" t="s">
        <v>79</v>
      </c>
      <c r="W557" s="7" t="s">
        <v>33</v>
      </c>
    </row>
    <row r="558" spans="1:23" x14ac:dyDescent="0.3">
      <c r="A558" s="6">
        <v>6531</v>
      </c>
      <c r="B558" s="7" t="s">
        <v>280</v>
      </c>
      <c r="C558" s="1">
        <v>45109</v>
      </c>
      <c r="D558" s="1">
        <v>45638</v>
      </c>
      <c r="E558" s="8">
        <v>11.99</v>
      </c>
      <c r="F558" s="6">
        <v>131</v>
      </c>
      <c r="G558" s="7" t="s">
        <v>48</v>
      </c>
      <c r="H558" s="6">
        <v>5</v>
      </c>
      <c r="I558" s="6">
        <v>2</v>
      </c>
      <c r="J558" s="7" t="b">
        <v>0</v>
      </c>
      <c r="K558" s="6">
        <v>374</v>
      </c>
      <c r="L558" s="6">
        <v>154</v>
      </c>
      <c r="M558" s="7" t="s">
        <v>92</v>
      </c>
      <c r="N558" s="7" t="s">
        <v>44</v>
      </c>
      <c r="O558" s="7" t="s">
        <v>37</v>
      </c>
      <c r="P558" s="5">
        <v>81</v>
      </c>
      <c r="Q558" s="4">
        <v>4.4000000000000004</v>
      </c>
      <c r="R558" s="7" t="b">
        <v>0</v>
      </c>
      <c r="S558" s="7" t="s">
        <v>30</v>
      </c>
      <c r="T558" s="5">
        <v>1155</v>
      </c>
      <c r="U558" s="7" t="s">
        <v>65</v>
      </c>
      <c r="V558" t="s">
        <v>32</v>
      </c>
      <c r="W558" s="7" t="s">
        <v>60</v>
      </c>
    </row>
    <row r="559" spans="1:23" x14ac:dyDescent="0.3">
      <c r="A559" s="6">
        <v>9701</v>
      </c>
      <c r="B559" s="7" t="s">
        <v>566</v>
      </c>
      <c r="C559" t="s">
        <v>567</v>
      </c>
      <c r="D559" t="s">
        <v>214</v>
      </c>
      <c r="E559" s="8">
        <v>7.99</v>
      </c>
      <c r="F559" s="6">
        <v>376</v>
      </c>
      <c r="G559" s="7" t="s">
        <v>48</v>
      </c>
      <c r="H559" s="6">
        <v>3</v>
      </c>
      <c r="I559" s="6">
        <v>6</v>
      </c>
      <c r="J559" s="7" t="b">
        <v>0</v>
      </c>
      <c r="K559" s="6">
        <v>727</v>
      </c>
      <c r="L559" s="6">
        <v>13</v>
      </c>
      <c r="M559" s="7" t="s">
        <v>49</v>
      </c>
      <c r="N559" s="7" t="s">
        <v>75</v>
      </c>
      <c r="O559" s="7" t="s">
        <v>37</v>
      </c>
      <c r="P559" s="5">
        <v>5</v>
      </c>
      <c r="Q559" s="4">
        <v>3.4</v>
      </c>
      <c r="R559" s="7" t="b">
        <v>0</v>
      </c>
      <c r="S559" s="7" t="s">
        <v>30</v>
      </c>
      <c r="T559" s="5">
        <v>4378</v>
      </c>
      <c r="U559" s="7" t="s">
        <v>38</v>
      </c>
      <c r="V559" t="s">
        <v>39</v>
      </c>
      <c r="W559" s="7" t="s">
        <v>60</v>
      </c>
    </row>
    <row r="560" spans="1:23" x14ac:dyDescent="0.3">
      <c r="A560" s="6">
        <v>4702</v>
      </c>
      <c r="B560" s="7" t="s">
        <v>383</v>
      </c>
      <c r="C560" t="s">
        <v>568</v>
      </c>
      <c r="D560" s="1">
        <v>45608</v>
      </c>
      <c r="E560" s="8">
        <v>7.99</v>
      </c>
      <c r="F560" s="6">
        <v>106</v>
      </c>
      <c r="G560" s="7" t="s">
        <v>63</v>
      </c>
      <c r="H560" s="6">
        <v>4</v>
      </c>
      <c r="I560" s="6">
        <v>6</v>
      </c>
      <c r="J560" s="7" t="b">
        <v>1</v>
      </c>
      <c r="K560" s="6">
        <v>858</v>
      </c>
      <c r="L560" s="6">
        <v>12</v>
      </c>
      <c r="M560" s="7" t="s">
        <v>68</v>
      </c>
      <c r="N560" s="7" t="s">
        <v>44</v>
      </c>
      <c r="O560" s="7" t="s">
        <v>45</v>
      </c>
      <c r="P560" s="5">
        <v>25</v>
      </c>
      <c r="Q560" s="4">
        <v>3.4</v>
      </c>
      <c r="R560" s="7" t="b">
        <v>1</v>
      </c>
      <c r="S560" s="7" t="s">
        <v>30</v>
      </c>
      <c r="T560" s="5">
        <v>1674</v>
      </c>
      <c r="U560" s="7" t="s">
        <v>38</v>
      </c>
      <c r="V560" t="s">
        <v>69</v>
      </c>
      <c r="W560" s="7" t="s">
        <v>93</v>
      </c>
    </row>
    <row r="561" spans="1:23" x14ac:dyDescent="0.3">
      <c r="A561" s="6">
        <v>3163</v>
      </c>
      <c r="B561" s="7" t="s">
        <v>409</v>
      </c>
      <c r="C561" s="1">
        <v>45633</v>
      </c>
      <c r="D561" t="s">
        <v>90</v>
      </c>
      <c r="E561" s="8">
        <v>11.99</v>
      </c>
      <c r="F561" s="6">
        <v>445</v>
      </c>
      <c r="G561" s="7" t="s">
        <v>73</v>
      </c>
      <c r="H561" s="6">
        <v>4</v>
      </c>
      <c r="I561" s="6">
        <v>4</v>
      </c>
      <c r="J561" s="7" t="b">
        <v>0</v>
      </c>
      <c r="K561" s="6">
        <v>25</v>
      </c>
      <c r="L561" s="6">
        <v>132</v>
      </c>
      <c r="M561" s="7" t="s">
        <v>74</v>
      </c>
      <c r="N561" s="7" t="s">
        <v>28</v>
      </c>
      <c r="O561" s="7" t="s">
        <v>57</v>
      </c>
      <c r="P561" s="5">
        <v>50</v>
      </c>
      <c r="Q561" s="4">
        <v>3.8</v>
      </c>
      <c r="R561" s="7" t="b">
        <v>1</v>
      </c>
      <c r="S561" s="7" t="s">
        <v>30</v>
      </c>
      <c r="T561" s="5">
        <v>2407</v>
      </c>
      <c r="U561" s="7" t="s">
        <v>58</v>
      </c>
      <c r="V561" t="s">
        <v>39</v>
      </c>
      <c r="W561" s="7" t="s">
        <v>60</v>
      </c>
    </row>
    <row r="562" spans="1:23" x14ac:dyDescent="0.3">
      <c r="A562" s="6">
        <v>8719</v>
      </c>
      <c r="B562" s="7" t="s">
        <v>126</v>
      </c>
      <c r="C562" t="s">
        <v>569</v>
      </c>
      <c r="D562" t="s">
        <v>214</v>
      </c>
      <c r="E562" s="8">
        <v>15.99</v>
      </c>
      <c r="F562" s="6">
        <v>345</v>
      </c>
      <c r="G562" s="7" t="s">
        <v>51</v>
      </c>
      <c r="H562" s="6">
        <v>4</v>
      </c>
      <c r="I562" s="6">
        <v>5</v>
      </c>
      <c r="J562" s="7" t="b">
        <v>0</v>
      </c>
      <c r="K562" s="6">
        <v>180</v>
      </c>
      <c r="L562" s="6">
        <v>99</v>
      </c>
      <c r="M562" s="7" t="s">
        <v>49</v>
      </c>
      <c r="N562" s="7" t="s">
        <v>75</v>
      </c>
      <c r="O562" s="7" t="s">
        <v>78</v>
      </c>
      <c r="P562" s="5">
        <v>73</v>
      </c>
      <c r="Q562" s="4">
        <v>4.7</v>
      </c>
      <c r="R562" s="7" t="b">
        <v>1</v>
      </c>
      <c r="S562" s="7" t="s">
        <v>30</v>
      </c>
      <c r="T562" s="5">
        <v>2636</v>
      </c>
      <c r="U562" s="7" t="s">
        <v>31</v>
      </c>
      <c r="V562" t="s">
        <v>59</v>
      </c>
      <c r="W562" s="7" t="s">
        <v>33</v>
      </c>
    </row>
    <row r="563" spans="1:23" x14ac:dyDescent="0.3">
      <c r="A563" s="6">
        <v>1282</v>
      </c>
      <c r="B563" s="7" t="s">
        <v>120</v>
      </c>
      <c r="C563" s="1">
        <v>45577</v>
      </c>
      <c r="D563" t="s">
        <v>99</v>
      </c>
      <c r="E563" s="8">
        <v>15.99</v>
      </c>
      <c r="F563" s="6">
        <v>432</v>
      </c>
      <c r="G563" s="7" t="s">
        <v>63</v>
      </c>
      <c r="H563" s="6">
        <v>4</v>
      </c>
      <c r="I563" s="6">
        <v>3</v>
      </c>
      <c r="J563" s="7" t="b">
        <v>1</v>
      </c>
      <c r="K563" s="6">
        <v>666</v>
      </c>
      <c r="L563" s="6">
        <v>76</v>
      </c>
      <c r="M563" s="7" t="s">
        <v>68</v>
      </c>
      <c r="N563" s="7" t="s">
        <v>75</v>
      </c>
      <c r="O563" s="7" t="s">
        <v>78</v>
      </c>
      <c r="P563" s="5">
        <v>92</v>
      </c>
      <c r="Q563" s="4">
        <v>4.5999999999999996</v>
      </c>
      <c r="R563" s="7" t="b">
        <v>0</v>
      </c>
      <c r="S563" s="7" t="s">
        <v>30</v>
      </c>
      <c r="T563" s="5">
        <v>4020</v>
      </c>
      <c r="U563" s="7" t="s">
        <v>76</v>
      </c>
      <c r="V563" t="s">
        <v>69</v>
      </c>
      <c r="W563" s="7" t="s">
        <v>33</v>
      </c>
    </row>
    <row r="564" spans="1:23" x14ac:dyDescent="0.3">
      <c r="A564" s="6">
        <v>4538</v>
      </c>
      <c r="B564" s="7" t="s">
        <v>290</v>
      </c>
      <c r="C564" t="s">
        <v>570</v>
      </c>
      <c r="D564" t="s">
        <v>42</v>
      </c>
      <c r="E564" s="8">
        <v>15.99</v>
      </c>
      <c r="F564" s="6">
        <v>362</v>
      </c>
      <c r="G564" s="7" t="s">
        <v>36</v>
      </c>
      <c r="H564" s="6">
        <v>4</v>
      </c>
      <c r="I564" s="6">
        <v>1</v>
      </c>
      <c r="J564" s="7" t="b">
        <v>0</v>
      </c>
      <c r="K564" s="6">
        <v>709</v>
      </c>
      <c r="L564" s="6">
        <v>52</v>
      </c>
      <c r="M564" s="7" t="s">
        <v>27</v>
      </c>
      <c r="N564" s="7" t="s">
        <v>56</v>
      </c>
      <c r="O564" s="7" t="s">
        <v>57</v>
      </c>
      <c r="P564" s="5">
        <v>80</v>
      </c>
      <c r="Q564" s="4">
        <v>4.5</v>
      </c>
      <c r="R564" s="7" t="b">
        <v>1</v>
      </c>
      <c r="S564" s="7" t="s">
        <v>30</v>
      </c>
      <c r="T564" s="5">
        <v>4127</v>
      </c>
      <c r="U564" s="7" t="s">
        <v>58</v>
      </c>
      <c r="V564" t="s">
        <v>79</v>
      </c>
      <c r="W564" s="7" t="s">
        <v>33</v>
      </c>
    </row>
    <row r="565" spans="1:23" x14ac:dyDescent="0.3">
      <c r="A565" s="6">
        <v>9538</v>
      </c>
      <c r="B565" s="7" t="s">
        <v>280</v>
      </c>
      <c r="C565" t="s">
        <v>443</v>
      </c>
      <c r="D565" t="s">
        <v>90</v>
      </c>
      <c r="E565" s="8">
        <v>15.99</v>
      </c>
      <c r="F565" s="6">
        <v>174</v>
      </c>
      <c r="G565" s="7" t="s">
        <v>36</v>
      </c>
      <c r="H565" s="6">
        <v>4</v>
      </c>
      <c r="I565" s="6">
        <v>3</v>
      </c>
      <c r="J565" s="7" t="b">
        <v>0</v>
      </c>
      <c r="K565" s="6">
        <v>30</v>
      </c>
      <c r="L565" s="6">
        <v>136</v>
      </c>
      <c r="M565" s="7" t="s">
        <v>27</v>
      </c>
      <c r="N565" s="7" t="s">
        <v>75</v>
      </c>
      <c r="O565" s="7" t="s">
        <v>45</v>
      </c>
      <c r="P565" s="5">
        <v>4</v>
      </c>
      <c r="Q565" s="4">
        <v>3.1</v>
      </c>
      <c r="R565" s="7" t="b">
        <v>1</v>
      </c>
      <c r="S565" s="7" t="s">
        <v>30</v>
      </c>
      <c r="T565" s="5">
        <v>4503</v>
      </c>
      <c r="U565" s="7" t="s">
        <v>31</v>
      </c>
      <c r="V565" t="s">
        <v>32</v>
      </c>
      <c r="W565" s="7" t="s">
        <v>60</v>
      </c>
    </row>
    <row r="566" spans="1:23" x14ac:dyDescent="0.3">
      <c r="A566" s="6">
        <v>5109</v>
      </c>
      <c r="B566" s="7" t="s">
        <v>179</v>
      </c>
      <c r="C566" t="s">
        <v>571</v>
      </c>
      <c r="D566" t="s">
        <v>25</v>
      </c>
      <c r="E566" s="8">
        <v>11.99</v>
      </c>
      <c r="F566" s="6">
        <v>490</v>
      </c>
      <c r="G566" s="7" t="s">
        <v>51</v>
      </c>
      <c r="H566" s="6">
        <v>4</v>
      </c>
      <c r="I566" s="6">
        <v>3</v>
      </c>
      <c r="J566" s="7" t="b">
        <v>0</v>
      </c>
      <c r="K566" s="6">
        <v>466</v>
      </c>
      <c r="L566" s="6">
        <v>106</v>
      </c>
      <c r="M566" s="7" t="s">
        <v>74</v>
      </c>
      <c r="N566" s="7" t="s">
        <v>56</v>
      </c>
      <c r="O566" s="7" t="s">
        <v>78</v>
      </c>
      <c r="P566" s="5">
        <v>91</v>
      </c>
      <c r="Q566" s="4">
        <v>3.7</v>
      </c>
      <c r="R566" s="7" t="b">
        <v>0</v>
      </c>
      <c r="S566" s="7" t="s">
        <v>30</v>
      </c>
      <c r="T566" s="5">
        <v>1080</v>
      </c>
      <c r="U566" s="7" t="s">
        <v>38</v>
      </c>
      <c r="V566" t="s">
        <v>59</v>
      </c>
      <c r="W566" s="7" t="s">
        <v>93</v>
      </c>
    </row>
    <row r="567" spans="1:23" x14ac:dyDescent="0.3">
      <c r="A567" s="6">
        <v>7947</v>
      </c>
      <c r="B567" s="7" t="s">
        <v>572</v>
      </c>
      <c r="C567" s="1">
        <v>45241</v>
      </c>
      <c r="D567" t="s">
        <v>72</v>
      </c>
      <c r="E567" s="8">
        <v>15.99</v>
      </c>
      <c r="F567" s="6">
        <v>32</v>
      </c>
      <c r="G567" s="7" t="s">
        <v>73</v>
      </c>
      <c r="H567" s="6">
        <v>3</v>
      </c>
      <c r="I567" s="6">
        <v>4</v>
      </c>
      <c r="J567" s="7" t="b">
        <v>0</v>
      </c>
      <c r="K567" s="6">
        <v>385</v>
      </c>
      <c r="L567" s="6">
        <v>106</v>
      </c>
      <c r="M567" s="7" t="s">
        <v>49</v>
      </c>
      <c r="N567" s="7" t="s">
        <v>56</v>
      </c>
      <c r="O567" s="7" t="s">
        <v>57</v>
      </c>
      <c r="P567" s="5">
        <v>75</v>
      </c>
      <c r="Q567" s="4">
        <v>3.7</v>
      </c>
      <c r="R567" s="7" t="b">
        <v>0</v>
      </c>
      <c r="S567" s="7" t="s">
        <v>30</v>
      </c>
      <c r="T567" s="5">
        <v>1610</v>
      </c>
      <c r="U567" s="7" t="s">
        <v>65</v>
      </c>
      <c r="V567" t="s">
        <v>32</v>
      </c>
      <c r="W567" s="7" t="s">
        <v>33</v>
      </c>
    </row>
    <row r="568" spans="1:23" x14ac:dyDescent="0.3">
      <c r="A568" s="6">
        <v>7546</v>
      </c>
      <c r="B568" s="7" t="s">
        <v>147</v>
      </c>
      <c r="C568" t="s">
        <v>573</v>
      </c>
      <c r="D568" s="1">
        <v>45577</v>
      </c>
      <c r="E568" s="8">
        <v>7.99</v>
      </c>
      <c r="F568" s="6">
        <v>48</v>
      </c>
      <c r="G568" s="7" t="s">
        <v>48</v>
      </c>
      <c r="H568" s="6">
        <v>1</v>
      </c>
      <c r="I568" s="6">
        <v>4</v>
      </c>
      <c r="J568" s="7" t="b">
        <v>0</v>
      </c>
      <c r="K568" s="6">
        <v>484</v>
      </c>
      <c r="L568" s="6">
        <v>131</v>
      </c>
      <c r="M568" s="7" t="s">
        <v>55</v>
      </c>
      <c r="N568" s="7" t="s">
        <v>75</v>
      </c>
      <c r="O568" s="7" t="s">
        <v>64</v>
      </c>
      <c r="P568" s="5">
        <v>68</v>
      </c>
      <c r="Q568" s="4">
        <v>4</v>
      </c>
      <c r="R568" s="7" t="b">
        <v>0</v>
      </c>
      <c r="S568" s="7" t="s">
        <v>30</v>
      </c>
      <c r="T568" s="5">
        <v>1535</v>
      </c>
      <c r="U568" s="7" t="s">
        <v>58</v>
      </c>
      <c r="V568" t="s">
        <v>59</v>
      </c>
      <c r="W568" s="7" t="s">
        <v>93</v>
      </c>
    </row>
    <row r="569" spans="1:23" x14ac:dyDescent="0.3">
      <c r="A569" s="6">
        <v>4213</v>
      </c>
      <c r="B569" s="7" t="s">
        <v>574</v>
      </c>
      <c r="C569" s="1">
        <v>45150</v>
      </c>
      <c r="D569" t="s">
        <v>109</v>
      </c>
      <c r="E569" s="8">
        <v>7.99</v>
      </c>
      <c r="F569" s="6">
        <v>141</v>
      </c>
      <c r="G569" s="7" t="s">
        <v>26</v>
      </c>
      <c r="H569" s="6">
        <v>4</v>
      </c>
      <c r="I569" s="6">
        <v>2</v>
      </c>
      <c r="J569" s="7" t="b">
        <v>1</v>
      </c>
      <c r="K569" s="6">
        <v>379</v>
      </c>
      <c r="L569" s="6">
        <v>35</v>
      </c>
      <c r="M569" s="7" t="s">
        <v>43</v>
      </c>
      <c r="N569" s="7" t="s">
        <v>75</v>
      </c>
      <c r="O569" s="7" t="s">
        <v>29</v>
      </c>
      <c r="P569" s="5">
        <v>29</v>
      </c>
      <c r="Q569" s="4">
        <v>4.9000000000000004</v>
      </c>
      <c r="R569" s="7" t="b">
        <v>1</v>
      </c>
      <c r="S569" s="7" t="s">
        <v>30</v>
      </c>
      <c r="T569" s="5">
        <v>3840</v>
      </c>
      <c r="U569" s="7" t="s">
        <v>76</v>
      </c>
      <c r="V569" t="s">
        <v>69</v>
      </c>
      <c r="W569" s="7" t="s">
        <v>33</v>
      </c>
    </row>
    <row r="570" spans="1:23" x14ac:dyDescent="0.3">
      <c r="A570" s="6">
        <v>3135</v>
      </c>
      <c r="B570" s="7" t="s">
        <v>325</v>
      </c>
      <c r="C570" s="1">
        <v>45479</v>
      </c>
      <c r="D570" t="s">
        <v>156</v>
      </c>
      <c r="E570" s="8">
        <v>7.99</v>
      </c>
      <c r="F570" s="6">
        <v>368</v>
      </c>
      <c r="G570" s="7" t="s">
        <v>63</v>
      </c>
      <c r="H570" s="6">
        <v>5</v>
      </c>
      <c r="I570" s="6">
        <v>1</v>
      </c>
      <c r="J570" s="7" t="b">
        <v>0</v>
      </c>
      <c r="K570" s="6">
        <v>481</v>
      </c>
      <c r="L570" s="6">
        <v>58</v>
      </c>
      <c r="M570" s="7" t="s">
        <v>92</v>
      </c>
      <c r="N570" s="7" t="s">
        <v>75</v>
      </c>
      <c r="O570" s="7" t="s">
        <v>37</v>
      </c>
      <c r="P570" s="5">
        <v>97</v>
      </c>
      <c r="Q570" s="4">
        <v>4</v>
      </c>
      <c r="R570" s="7" t="b">
        <v>0</v>
      </c>
      <c r="S570" s="7" t="s">
        <v>30</v>
      </c>
      <c r="T570" s="5">
        <v>1108</v>
      </c>
      <c r="U570" s="7" t="s">
        <v>38</v>
      </c>
      <c r="V570" t="s">
        <v>39</v>
      </c>
      <c r="W570" s="7" t="s">
        <v>40</v>
      </c>
    </row>
    <row r="571" spans="1:23" x14ac:dyDescent="0.3">
      <c r="A571" s="6">
        <v>9916</v>
      </c>
      <c r="B571" s="7" t="s">
        <v>531</v>
      </c>
      <c r="C571" t="s">
        <v>575</v>
      </c>
      <c r="D571" t="s">
        <v>134</v>
      </c>
      <c r="E571" s="8">
        <v>7.99</v>
      </c>
      <c r="F571" s="6">
        <v>227</v>
      </c>
      <c r="G571" s="7" t="s">
        <v>73</v>
      </c>
      <c r="H571" s="6">
        <v>5</v>
      </c>
      <c r="I571" s="6">
        <v>2</v>
      </c>
      <c r="J571" s="7" t="b">
        <v>1</v>
      </c>
      <c r="K571" s="6">
        <v>969</v>
      </c>
      <c r="L571" s="6">
        <v>175</v>
      </c>
      <c r="M571" s="7" t="s">
        <v>49</v>
      </c>
      <c r="N571" s="7" t="s">
        <v>56</v>
      </c>
      <c r="O571" s="7" t="s">
        <v>57</v>
      </c>
      <c r="P571" s="5">
        <v>11</v>
      </c>
      <c r="Q571" s="4">
        <v>5</v>
      </c>
      <c r="R571" s="7" t="b">
        <v>0</v>
      </c>
      <c r="S571" s="7" t="s">
        <v>30</v>
      </c>
      <c r="T571" s="5">
        <v>4510</v>
      </c>
      <c r="U571" s="7" t="s">
        <v>58</v>
      </c>
      <c r="V571" t="s">
        <v>32</v>
      </c>
      <c r="W571" s="7" t="s">
        <v>40</v>
      </c>
    </row>
    <row r="572" spans="1:23" x14ac:dyDescent="0.3">
      <c r="A572" s="6">
        <v>2784</v>
      </c>
      <c r="B572" s="7" t="s">
        <v>138</v>
      </c>
      <c r="C572" t="s">
        <v>576</v>
      </c>
      <c r="D572" t="s">
        <v>25</v>
      </c>
      <c r="E572" s="8">
        <v>7.99</v>
      </c>
      <c r="F572" s="6">
        <v>484</v>
      </c>
      <c r="G572" s="7" t="s">
        <v>51</v>
      </c>
      <c r="H572" s="6">
        <v>5</v>
      </c>
      <c r="I572" s="6">
        <v>2</v>
      </c>
      <c r="J572" s="7" t="b">
        <v>1</v>
      </c>
      <c r="K572" s="6">
        <v>52</v>
      </c>
      <c r="L572" s="6">
        <v>151</v>
      </c>
      <c r="M572" s="7" t="s">
        <v>92</v>
      </c>
      <c r="N572" s="7" t="s">
        <v>28</v>
      </c>
      <c r="O572" s="7" t="s">
        <v>78</v>
      </c>
      <c r="P572" s="5">
        <v>15</v>
      </c>
      <c r="Q572" s="4">
        <v>3.1</v>
      </c>
      <c r="R572" s="7" t="b">
        <v>0</v>
      </c>
      <c r="S572" s="7" t="s">
        <v>30</v>
      </c>
      <c r="T572" s="5">
        <v>1042</v>
      </c>
      <c r="U572" s="7" t="s">
        <v>76</v>
      </c>
      <c r="V572" t="s">
        <v>59</v>
      </c>
      <c r="W572" s="7" t="s">
        <v>33</v>
      </c>
    </row>
    <row r="573" spans="1:23" x14ac:dyDescent="0.3">
      <c r="A573" s="6">
        <v>5916</v>
      </c>
      <c r="B573" s="7" t="s">
        <v>148</v>
      </c>
      <c r="C573" t="s">
        <v>493</v>
      </c>
      <c r="D573" s="1">
        <v>45547</v>
      </c>
      <c r="E573" s="8">
        <v>15.99</v>
      </c>
      <c r="F573" s="6">
        <v>14</v>
      </c>
      <c r="G573" s="7" t="s">
        <v>36</v>
      </c>
      <c r="H573" s="6">
        <v>4</v>
      </c>
      <c r="I573" s="6">
        <v>2</v>
      </c>
      <c r="J573" s="7" t="b">
        <v>1</v>
      </c>
      <c r="K573" s="6">
        <v>57</v>
      </c>
      <c r="L573" s="6">
        <v>175</v>
      </c>
      <c r="M573" s="7" t="s">
        <v>74</v>
      </c>
      <c r="N573" s="7" t="s">
        <v>44</v>
      </c>
      <c r="O573" s="7" t="s">
        <v>78</v>
      </c>
      <c r="P573" s="5">
        <v>41</v>
      </c>
      <c r="Q573" s="4">
        <v>3.4</v>
      </c>
      <c r="R573" s="7" t="b">
        <v>1</v>
      </c>
      <c r="S573" s="7" t="s">
        <v>30</v>
      </c>
      <c r="T573" s="5">
        <v>2175</v>
      </c>
      <c r="U573" s="7" t="s">
        <v>65</v>
      </c>
      <c r="V573" t="s">
        <v>59</v>
      </c>
      <c r="W573" s="7" t="s">
        <v>40</v>
      </c>
    </row>
    <row r="574" spans="1:23" x14ac:dyDescent="0.3">
      <c r="A574" s="6">
        <v>1674</v>
      </c>
      <c r="B574" s="7" t="s">
        <v>177</v>
      </c>
      <c r="C574" t="s">
        <v>577</v>
      </c>
      <c r="D574" t="s">
        <v>35</v>
      </c>
      <c r="E574" s="8">
        <v>11.99</v>
      </c>
      <c r="F574" s="6">
        <v>328</v>
      </c>
      <c r="G574" s="7" t="s">
        <v>73</v>
      </c>
      <c r="H574" s="6">
        <v>2</v>
      </c>
      <c r="I574" s="6">
        <v>2</v>
      </c>
      <c r="J574" s="7" t="b">
        <v>1</v>
      </c>
      <c r="K574" s="6">
        <v>415</v>
      </c>
      <c r="L574" s="6">
        <v>162</v>
      </c>
      <c r="M574" s="7" t="s">
        <v>49</v>
      </c>
      <c r="N574" s="7" t="s">
        <v>28</v>
      </c>
      <c r="O574" s="7" t="s">
        <v>78</v>
      </c>
      <c r="P574" s="5">
        <v>19</v>
      </c>
      <c r="Q574" s="4">
        <v>4.4000000000000004</v>
      </c>
      <c r="R574" s="7" t="b">
        <v>1</v>
      </c>
      <c r="S574" s="7" t="s">
        <v>30</v>
      </c>
      <c r="T574" s="5">
        <v>1311</v>
      </c>
      <c r="U574" s="7" t="s">
        <v>31</v>
      </c>
      <c r="V574" t="s">
        <v>32</v>
      </c>
      <c r="W574" s="7" t="s">
        <v>60</v>
      </c>
    </row>
    <row r="575" spans="1:23" x14ac:dyDescent="0.3">
      <c r="A575" s="6">
        <v>2095</v>
      </c>
      <c r="B575" s="7" t="s">
        <v>357</v>
      </c>
      <c r="C575" t="s">
        <v>327</v>
      </c>
      <c r="D575" t="s">
        <v>168</v>
      </c>
      <c r="E575" s="8">
        <v>11.99</v>
      </c>
      <c r="F575" s="6">
        <v>279</v>
      </c>
      <c r="G575" s="7" t="s">
        <v>100</v>
      </c>
      <c r="H575" s="6">
        <v>5</v>
      </c>
      <c r="I575" s="6">
        <v>5</v>
      </c>
      <c r="J575" s="7" t="b">
        <v>1</v>
      </c>
      <c r="K575" s="6">
        <v>285</v>
      </c>
      <c r="L575" s="6">
        <v>92</v>
      </c>
      <c r="M575" s="7" t="s">
        <v>43</v>
      </c>
      <c r="N575" s="7" t="s">
        <v>75</v>
      </c>
      <c r="O575" s="7" t="s">
        <v>45</v>
      </c>
      <c r="P575" s="5">
        <v>81</v>
      </c>
      <c r="Q575" s="4">
        <v>4.7</v>
      </c>
      <c r="R575" s="7" t="b">
        <v>1</v>
      </c>
      <c r="S575" s="7" t="s">
        <v>30</v>
      </c>
      <c r="T575" s="5">
        <v>4201</v>
      </c>
      <c r="U575" s="7" t="s">
        <v>65</v>
      </c>
      <c r="V575" t="s">
        <v>79</v>
      </c>
      <c r="W575" s="7" t="s">
        <v>33</v>
      </c>
    </row>
    <row r="576" spans="1:23" x14ac:dyDescent="0.3">
      <c r="A576" s="6">
        <v>9594</v>
      </c>
      <c r="B576" s="7" t="s">
        <v>138</v>
      </c>
      <c r="C576" t="s">
        <v>578</v>
      </c>
      <c r="D576" s="1">
        <v>45363</v>
      </c>
      <c r="E576" s="8">
        <v>7.99</v>
      </c>
      <c r="F576" s="6">
        <v>158</v>
      </c>
      <c r="G576" s="7" t="s">
        <v>26</v>
      </c>
      <c r="H576" s="6">
        <v>2</v>
      </c>
      <c r="I576" s="6">
        <v>5</v>
      </c>
      <c r="J576" s="7" t="b">
        <v>1</v>
      </c>
      <c r="K576" s="6">
        <v>861</v>
      </c>
      <c r="L576" s="6">
        <v>125</v>
      </c>
      <c r="M576" s="7" t="s">
        <v>92</v>
      </c>
      <c r="N576" s="7" t="s">
        <v>56</v>
      </c>
      <c r="O576" s="7" t="s">
        <v>64</v>
      </c>
      <c r="P576" s="5">
        <v>95</v>
      </c>
      <c r="Q576" s="4">
        <v>4.4000000000000004</v>
      </c>
      <c r="R576" s="7" t="b">
        <v>1</v>
      </c>
      <c r="S576" s="7" t="s">
        <v>30</v>
      </c>
      <c r="T576" s="5">
        <v>513</v>
      </c>
      <c r="U576" s="7" t="s">
        <v>65</v>
      </c>
      <c r="V576" t="s">
        <v>59</v>
      </c>
      <c r="W576" s="7" t="s">
        <v>33</v>
      </c>
    </row>
    <row r="577" spans="1:23" x14ac:dyDescent="0.3">
      <c r="A577" s="6">
        <v>6750</v>
      </c>
      <c r="B577" s="7" t="s">
        <v>23</v>
      </c>
      <c r="C577" t="s">
        <v>410</v>
      </c>
      <c r="D577" s="1">
        <v>45334</v>
      </c>
      <c r="E577" s="8">
        <v>7.99</v>
      </c>
      <c r="F577" s="6">
        <v>422</v>
      </c>
      <c r="G577" s="7" t="s">
        <v>48</v>
      </c>
      <c r="H577" s="6">
        <v>3</v>
      </c>
      <c r="I577" s="6">
        <v>5</v>
      </c>
      <c r="J577" s="7" t="b">
        <v>0</v>
      </c>
      <c r="K577" s="6">
        <v>399</v>
      </c>
      <c r="L577" s="6">
        <v>27</v>
      </c>
      <c r="M577" s="7" t="s">
        <v>92</v>
      </c>
      <c r="N577" s="7" t="s">
        <v>56</v>
      </c>
      <c r="O577" s="7" t="s">
        <v>64</v>
      </c>
      <c r="P577" s="5">
        <v>12</v>
      </c>
      <c r="Q577" s="4">
        <v>4.4000000000000004</v>
      </c>
      <c r="R577" s="7" t="b">
        <v>1</v>
      </c>
      <c r="S577" s="7" t="s">
        <v>30</v>
      </c>
      <c r="T577" s="5">
        <v>1330</v>
      </c>
      <c r="U577" s="7" t="s">
        <v>31</v>
      </c>
      <c r="V577" t="s">
        <v>59</v>
      </c>
      <c r="W577" s="7" t="s">
        <v>93</v>
      </c>
    </row>
    <row r="578" spans="1:23" x14ac:dyDescent="0.3">
      <c r="A578" s="6">
        <v>7235</v>
      </c>
      <c r="B578" s="7" t="s">
        <v>171</v>
      </c>
      <c r="C578" s="1">
        <v>44986</v>
      </c>
      <c r="D578" t="s">
        <v>168</v>
      </c>
      <c r="E578" s="8">
        <v>7.99</v>
      </c>
      <c r="F578" s="6">
        <v>235</v>
      </c>
      <c r="G578" s="7" t="s">
        <v>63</v>
      </c>
      <c r="H578" s="6">
        <v>1</v>
      </c>
      <c r="I578" s="6">
        <v>2</v>
      </c>
      <c r="J578" s="7" t="b">
        <v>0</v>
      </c>
      <c r="K578" s="6">
        <v>765</v>
      </c>
      <c r="L578" s="6">
        <v>159</v>
      </c>
      <c r="M578" s="7" t="s">
        <v>49</v>
      </c>
      <c r="N578" s="7" t="s">
        <v>56</v>
      </c>
      <c r="O578" s="7" t="s">
        <v>29</v>
      </c>
      <c r="P578" s="5">
        <v>77</v>
      </c>
      <c r="Q578" s="4">
        <v>4.2</v>
      </c>
      <c r="R578" s="7" t="b">
        <v>0</v>
      </c>
      <c r="S578" s="7" t="s">
        <v>30</v>
      </c>
      <c r="T578" s="5">
        <v>3689</v>
      </c>
      <c r="U578" s="7" t="s">
        <v>58</v>
      </c>
      <c r="V578" t="s">
        <v>69</v>
      </c>
      <c r="W578" s="7" t="s">
        <v>40</v>
      </c>
    </row>
    <row r="579" spans="1:23" x14ac:dyDescent="0.3">
      <c r="A579" s="6">
        <v>3910</v>
      </c>
      <c r="B579" s="7" t="s">
        <v>260</v>
      </c>
      <c r="C579" t="s">
        <v>198</v>
      </c>
      <c r="D579" s="1">
        <v>45516</v>
      </c>
      <c r="E579" s="8">
        <v>11.99</v>
      </c>
      <c r="F579" s="6">
        <v>331</v>
      </c>
      <c r="G579" s="7" t="s">
        <v>100</v>
      </c>
      <c r="H579" s="6">
        <v>1</v>
      </c>
      <c r="I579" s="6">
        <v>2</v>
      </c>
      <c r="J579" s="7" t="b">
        <v>0</v>
      </c>
      <c r="K579" s="6">
        <v>667</v>
      </c>
      <c r="L579" s="6">
        <v>43</v>
      </c>
      <c r="M579" s="7" t="s">
        <v>68</v>
      </c>
      <c r="N579" s="7" t="s">
        <v>44</v>
      </c>
      <c r="O579" s="7" t="s">
        <v>45</v>
      </c>
      <c r="P579" s="5">
        <v>55</v>
      </c>
      <c r="Q579" s="4">
        <v>3.5</v>
      </c>
      <c r="R579" s="7" t="b">
        <v>0</v>
      </c>
      <c r="S579" s="7" t="s">
        <v>30</v>
      </c>
      <c r="T579" s="5">
        <v>670</v>
      </c>
      <c r="U579" s="7" t="s">
        <v>76</v>
      </c>
      <c r="V579" t="s">
        <v>59</v>
      </c>
      <c r="W579" s="7" t="s">
        <v>93</v>
      </c>
    </row>
    <row r="580" spans="1:23" x14ac:dyDescent="0.3">
      <c r="A580" s="6">
        <v>8190</v>
      </c>
      <c r="B580" s="7" t="s">
        <v>579</v>
      </c>
      <c r="C580" t="s">
        <v>461</v>
      </c>
      <c r="D580" s="1">
        <v>45547</v>
      </c>
      <c r="E580" s="8">
        <v>11.99</v>
      </c>
      <c r="F580" s="6">
        <v>148</v>
      </c>
      <c r="G580" s="7" t="s">
        <v>51</v>
      </c>
      <c r="H580" s="6">
        <v>4</v>
      </c>
      <c r="I580" s="6">
        <v>1</v>
      </c>
      <c r="J580" s="7" t="b">
        <v>1</v>
      </c>
      <c r="K580" s="6">
        <v>409</v>
      </c>
      <c r="L580" s="6">
        <v>38</v>
      </c>
      <c r="M580" s="7" t="s">
        <v>92</v>
      </c>
      <c r="N580" s="7" t="s">
        <v>56</v>
      </c>
      <c r="O580" s="7" t="s">
        <v>64</v>
      </c>
      <c r="P580" s="5">
        <v>37</v>
      </c>
      <c r="Q580" s="4">
        <v>3.1</v>
      </c>
      <c r="R580" s="7" t="b">
        <v>1</v>
      </c>
      <c r="S580" s="7" t="s">
        <v>30</v>
      </c>
      <c r="T580" s="5">
        <v>544</v>
      </c>
      <c r="U580" s="7" t="s">
        <v>58</v>
      </c>
      <c r="V580" t="s">
        <v>32</v>
      </c>
      <c r="W580" s="7" t="s">
        <v>40</v>
      </c>
    </row>
    <row r="581" spans="1:23" x14ac:dyDescent="0.3">
      <c r="A581" s="6">
        <v>5315</v>
      </c>
      <c r="B581" s="7" t="s">
        <v>580</v>
      </c>
      <c r="C581" t="s">
        <v>581</v>
      </c>
      <c r="D581" t="s">
        <v>54</v>
      </c>
      <c r="E581" s="8">
        <v>7.99</v>
      </c>
      <c r="F581" s="6">
        <v>198</v>
      </c>
      <c r="G581" s="7" t="s">
        <v>63</v>
      </c>
      <c r="H581" s="6">
        <v>4</v>
      </c>
      <c r="I581" s="6">
        <v>3</v>
      </c>
      <c r="J581" s="7" t="b">
        <v>0</v>
      </c>
      <c r="K581" s="6">
        <v>202</v>
      </c>
      <c r="L581" s="6">
        <v>26</v>
      </c>
      <c r="M581" s="7" t="s">
        <v>43</v>
      </c>
      <c r="N581" s="7" t="s">
        <v>75</v>
      </c>
      <c r="O581" s="7" t="s">
        <v>78</v>
      </c>
      <c r="P581" s="5">
        <v>52</v>
      </c>
      <c r="Q581" s="4">
        <v>4.8</v>
      </c>
      <c r="R581" s="7" t="b">
        <v>0</v>
      </c>
      <c r="S581" s="7" t="s">
        <v>30</v>
      </c>
      <c r="T581" s="5">
        <v>1392</v>
      </c>
      <c r="U581" s="7" t="s">
        <v>65</v>
      </c>
      <c r="V581" t="s">
        <v>39</v>
      </c>
      <c r="W581" s="7" t="s">
        <v>93</v>
      </c>
    </row>
    <row r="582" spans="1:23" x14ac:dyDescent="0.3">
      <c r="A582" s="6">
        <v>7503</v>
      </c>
      <c r="B582" s="7" t="s">
        <v>153</v>
      </c>
      <c r="C582" t="s">
        <v>582</v>
      </c>
      <c r="D582" s="1">
        <v>45363</v>
      </c>
      <c r="E582" s="8">
        <v>15.99</v>
      </c>
      <c r="F582" s="6">
        <v>81</v>
      </c>
      <c r="G582" s="7" t="s">
        <v>63</v>
      </c>
      <c r="H582" s="6">
        <v>3</v>
      </c>
      <c r="I582" s="6">
        <v>4</v>
      </c>
      <c r="J582" s="7" t="b">
        <v>0</v>
      </c>
      <c r="K582" s="6">
        <v>208</v>
      </c>
      <c r="L582" s="6">
        <v>144</v>
      </c>
      <c r="M582" s="7" t="s">
        <v>92</v>
      </c>
      <c r="N582" s="7" t="s">
        <v>44</v>
      </c>
      <c r="O582" s="7" t="s">
        <v>64</v>
      </c>
      <c r="P582" s="5">
        <v>12</v>
      </c>
      <c r="Q582" s="4">
        <v>4.5999999999999996</v>
      </c>
      <c r="R582" s="7" t="b">
        <v>0</v>
      </c>
      <c r="S582" s="7" t="s">
        <v>30</v>
      </c>
      <c r="T582" s="5">
        <v>3199</v>
      </c>
      <c r="U582" s="7" t="s">
        <v>76</v>
      </c>
      <c r="V582" t="s">
        <v>39</v>
      </c>
      <c r="W582" s="7" t="s">
        <v>60</v>
      </c>
    </row>
    <row r="583" spans="1:23" x14ac:dyDescent="0.3">
      <c r="A583" s="6">
        <v>5788</v>
      </c>
      <c r="B583" s="7" t="s">
        <v>186</v>
      </c>
      <c r="C583" s="1">
        <v>45051</v>
      </c>
      <c r="D583" t="s">
        <v>109</v>
      </c>
      <c r="E583" s="8">
        <v>11.99</v>
      </c>
      <c r="F583" s="6">
        <v>131</v>
      </c>
      <c r="G583" s="7" t="s">
        <v>63</v>
      </c>
      <c r="H583" s="6">
        <v>3</v>
      </c>
      <c r="I583" s="6">
        <v>3</v>
      </c>
      <c r="J583" s="7" t="b">
        <v>1</v>
      </c>
      <c r="K583" s="6">
        <v>382</v>
      </c>
      <c r="L583" s="6">
        <v>50</v>
      </c>
      <c r="M583" s="7" t="s">
        <v>74</v>
      </c>
      <c r="N583" s="7" t="s">
        <v>56</v>
      </c>
      <c r="O583" s="7" t="s">
        <v>57</v>
      </c>
      <c r="P583" s="5">
        <v>47</v>
      </c>
      <c r="Q583" s="4">
        <v>4.8</v>
      </c>
      <c r="R583" s="7" t="b">
        <v>0</v>
      </c>
      <c r="S583" s="7" t="s">
        <v>30</v>
      </c>
      <c r="T583" s="5">
        <v>4204</v>
      </c>
      <c r="U583" s="7" t="s">
        <v>65</v>
      </c>
      <c r="V583" t="s">
        <v>39</v>
      </c>
      <c r="W583" s="7" t="s">
        <v>60</v>
      </c>
    </row>
    <row r="584" spans="1:23" x14ac:dyDescent="0.3">
      <c r="A584" s="6">
        <v>7030</v>
      </c>
      <c r="B584" s="7" t="s">
        <v>583</v>
      </c>
      <c r="C584" t="s">
        <v>239</v>
      </c>
      <c r="D584" t="s">
        <v>109</v>
      </c>
      <c r="E584" s="8">
        <v>15.99</v>
      </c>
      <c r="F584" s="6">
        <v>210</v>
      </c>
      <c r="G584" s="7" t="s">
        <v>51</v>
      </c>
      <c r="H584" s="6">
        <v>3</v>
      </c>
      <c r="I584" s="6">
        <v>4</v>
      </c>
      <c r="J584" s="7" t="b">
        <v>0</v>
      </c>
      <c r="K584" s="6">
        <v>666</v>
      </c>
      <c r="L584" s="6">
        <v>164</v>
      </c>
      <c r="M584" s="7" t="s">
        <v>27</v>
      </c>
      <c r="N584" s="7" t="s">
        <v>28</v>
      </c>
      <c r="O584" s="7" t="s">
        <v>45</v>
      </c>
      <c r="P584" s="5">
        <v>38</v>
      </c>
      <c r="Q584" s="4">
        <v>4.2</v>
      </c>
      <c r="R584" s="7" t="b">
        <v>0</v>
      </c>
      <c r="S584" s="7" t="s">
        <v>30</v>
      </c>
      <c r="T584" s="5">
        <v>1461</v>
      </c>
      <c r="U584" s="7" t="s">
        <v>58</v>
      </c>
      <c r="V584" t="s">
        <v>79</v>
      </c>
      <c r="W584" s="7" t="s">
        <v>33</v>
      </c>
    </row>
    <row r="585" spans="1:23" x14ac:dyDescent="0.3">
      <c r="A585" s="6">
        <v>6619</v>
      </c>
      <c r="B585" s="7" t="s">
        <v>408</v>
      </c>
      <c r="C585" t="s">
        <v>293</v>
      </c>
      <c r="D585" t="s">
        <v>129</v>
      </c>
      <c r="E585" s="8">
        <v>15.99</v>
      </c>
      <c r="F585" s="6">
        <v>301</v>
      </c>
      <c r="G585" s="7" t="s">
        <v>51</v>
      </c>
      <c r="H585" s="6">
        <v>2</v>
      </c>
      <c r="I585" s="6">
        <v>1</v>
      </c>
      <c r="J585" s="7" t="b">
        <v>1</v>
      </c>
      <c r="K585" s="6">
        <v>855</v>
      </c>
      <c r="L585" s="6">
        <v>46</v>
      </c>
      <c r="M585" s="7" t="s">
        <v>55</v>
      </c>
      <c r="N585" s="7" t="s">
        <v>75</v>
      </c>
      <c r="O585" s="7" t="s">
        <v>57</v>
      </c>
      <c r="P585" s="5">
        <v>26</v>
      </c>
      <c r="Q585" s="4">
        <v>4.4000000000000004</v>
      </c>
      <c r="R585" s="7" t="b">
        <v>0</v>
      </c>
      <c r="S585" s="7" t="s">
        <v>30</v>
      </c>
      <c r="T585" s="5">
        <v>658</v>
      </c>
      <c r="U585" s="7" t="s">
        <v>31</v>
      </c>
      <c r="V585" t="s">
        <v>32</v>
      </c>
      <c r="W585" s="7" t="s">
        <v>33</v>
      </c>
    </row>
    <row r="586" spans="1:23" x14ac:dyDescent="0.3">
      <c r="A586" s="6">
        <v>6319</v>
      </c>
      <c r="B586" s="7" t="s">
        <v>584</v>
      </c>
      <c r="C586" s="1">
        <v>44988</v>
      </c>
      <c r="D586" t="s">
        <v>129</v>
      </c>
      <c r="E586" s="8">
        <v>7.99</v>
      </c>
      <c r="F586" s="6">
        <v>466</v>
      </c>
      <c r="G586" s="7" t="s">
        <v>100</v>
      </c>
      <c r="H586" s="6">
        <v>4</v>
      </c>
      <c r="I586" s="6">
        <v>1</v>
      </c>
      <c r="J586" s="7" t="b">
        <v>1</v>
      </c>
      <c r="K586" s="6">
        <v>592</v>
      </c>
      <c r="L586" s="6">
        <v>67</v>
      </c>
      <c r="M586" s="7" t="s">
        <v>92</v>
      </c>
      <c r="N586" s="7" t="s">
        <v>44</v>
      </c>
      <c r="O586" s="7" t="s">
        <v>78</v>
      </c>
      <c r="P586" s="5">
        <v>81</v>
      </c>
      <c r="Q586" s="4">
        <v>4.8</v>
      </c>
      <c r="R586" s="7" t="b">
        <v>0</v>
      </c>
      <c r="S586" s="7" t="s">
        <v>30</v>
      </c>
      <c r="T586" s="5">
        <v>423</v>
      </c>
      <c r="U586" s="7" t="s">
        <v>38</v>
      </c>
      <c r="V586" t="s">
        <v>69</v>
      </c>
      <c r="W586" s="7" t="s">
        <v>60</v>
      </c>
    </row>
    <row r="587" spans="1:23" x14ac:dyDescent="0.3">
      <c r="A587" s="6">
        <v>6268</v>
      </c>
      <c r="B587" s="7" t="s">
        <v>313</v>
      </c>
      <c r="C587" t="s">
        <v>585</v>
      </c>
      <c r="D587" t="s">
        <v>214</v>
      </c>
      <c r="E587" s="8">
        <v>15.99</v>
      </c>
      <c r="F587" s="6">
        <v>336</v>
      </c>
      <c r="G587" s="7" t="s">
        <v>63</v>
      </c>
      <c r="H587" s="6">
        <v>5</v>
      </c>
      <c r="I587" s="6">
        <v>2</v>
      </c>
      <c r="J587" s="7" t="b">
        <v>0</v>
      </c>
      <c r="K587" s="6">
        <v>546</v>
      </c>
      <c r="L587" s="6">
        <v>16</v>
      </c>
      <c r="M587" s="7" t="s">
        <v>55</v>
      </c>
      <c r="N587" s="7" t="s">
        <v>28</v>
      </c>
      <c r="O587" s="7" t="s">
        <v>64</v>
      </c>
      <c r="P587" s="5">
        <v>31</v>
      </c>
      <c r="Q587" s="4">
        <v>3.6</v>
      </c>
      <c r="R587" s="7" t="b">
        <v>1</v>
      </c>
      <c r="S587" s="7" t="s">
        <v>30</v>
      </c>
      <c r="T587" s="5">
        <v>2824</v>
      </c>
      <c r="U587" s="7" t="s">
        <v>31</v>
      </c>
      <c r="V587" t="s">
        <v>79</v>
      </c>
      <c r="W587" s="7" t="s">
        <v>93</v>
      </c>
    </row>
    <row r="588" spans="1:23" x14ac:dyDescent="0.3">
      <c r="A588" s="6">
        <v>5016</v>
      </c>
      <c r="B588" s="7" t="s">
        <v>424</v>
      </c>
      <c r="C588" t="s">
        <v>586</v>
      </c>
      <c r="D588" s="1">
        <v>45608</v>
      </c>
      <c r="E588" s="8">
        <v>11.99</v>
      </c>
      <c r="F588" s="6">
        <v>280</v>
      </c>
      <c r="G588" s="7" t="s">
        <v>73</v>
      </c>
      <c r="H588" s="6">
        <v>4</v>
      </c>
      <c r="I588" s="6">
        <v>3</v>
      </c>
      <c r="J588" s="7" t="b">
        <v>0</v>
      </c>
      <c r="K588" s="6">
        <v>633</v>
      </c>
      <c r="L588" s="6">
        <v>83</v>
      </c>
      <c r="M588" s="7" t="s">
        <v>27</v>
      </c>
      <c r="N588" s="7" t="s">
        <v>28</v>
      </c>
      <c r="O588" s="7" t="s">
        <v>45</v>
      </c>
      <c r="P588" s="5">
        <v>49</v>
      </c>
      <c r="Q588" s="4">
        <v>3.3</v>
      </c>
      <c r="R588" s="7" t="b">
        <v>0</v>
      </c>
      <c r="S588" s="7" t="s">
        <v>30</v>
      </c>
      <c r="T588" s="5">
        <v>2657</v>
      </c>
      <c r="U588" s="7" t="s">
        <v>58</v>
      </c>
      <c r="V588" t="s">
        <v>79</v>
      </c>
      <c r="W588" s="7" t="s">
        <v>93</v>
      </c>
    </row>
    <row r="589" spans="1:23" x14ac:dyDescent="0.3">
      <c r="A589" s="6">
        <v>3888</v>
      </c>
      <c r="B589" s="7" t="s">
        <v>176</v>
      </c>
      <c r="C589" t="s">
        <v>554</v>
      </c>
      <c r="D589" t="s">
        <v>42</v>
      </c>
      <c r="E589" s="8">
        <v>15.99</v>
      </c>
      <c r="F589" s="6">
        <v>495</v>
      </c>
      <c r="G589" s="7" t="s">
        <v>26</v>
      </c>
      <c r="H589" s="6">
        <v>3</v>
      </c>
      <c r="I589" s="6">
        <v>2</v>
      </c>
      <c r="J589" s="7" t="b">
        <v>1</v>
      </c>
      <c r="K589" s="6">
        <v>883</v>
      </c>
      <c r="L589" s="6">
        <v>60</v>
      </c>
      <c r="M589" s="7" t="s">
        <v>68</v>
      </c>
      <c r="N589" s="7" t="s">
        <v>75</v>
      </c>
      <c r="O589" s="7" t="s">
        <v>64</v>
      </c>
      <c r="P589" s="5">
        <v>10</v>
      </c>
      <c r="Q589" s="4">
        <v>4.5</v>
      </c>
      <c r="R589" s="7" t="b">
        <v>0</v>
      </c>
      <c r="S589" s="7" t="s">
        <v>30</v>
      </c>
      <c r="T589" s="5">
        <v>2213</v>
      </c>
      <c r="U589" s="7" t="s">
        <v>76</v>
      </c>
      <c r="V589" t="s">
        <v>79</v>
      </c>
      <c r="W589" s="7" t="s">
        <v>40</v>
      </c>
    </row>
    <row r="590" spans="1:23" x14ac:dyDescent="0.3">
      <c r="A590" s="6">
        <v>9918</v>
      </c>
      <c r="B590" s="7" t="s">
        <v>238</v>
      </c>
      <c r="C590" t="s">
        <v>587</v>
      </c>
      <c r="D590" s="1">
        <v>45638</v>
      </c>
      <c r="E590" s="8">
        <v>11.99</v>
      </c>
      <c r="F590" s="6">
        <v>144</v>
      </c>
      <c r="G590" s="7" t="s">
        <v>51</v>
      </c>
      <c r="H590" s="6">
        <v>5</v>
      </c>
      <c r="I590" s="6">
        <v>6</v>
      </c>
      <c r="J590" s="7" t="b">
        <v>0</v>
      </c>
      <c r="K590" s="6">
        <v>235</v>
      </c>
      <c r="L590" s="6">
        <v>88</v>
      </c>
      <c r="M590" s="7" t="s">
        <v>55</v>
      </c>
      <c r="N590" s="7" t="s">
        <v>28</v>
      </c>
      <c r="O590" s="7" t="s">
        <v>29</v>
      </c>
      <c r="P590" s="5">
        <v>18</v>
      </c>
      <c r="Q590" s="4">
        <v>3.1</v>
      </c>
      <c r="R590" s="7" t="b">
        <v>1</v>
      </c>
      <c r="S590" s="7" t="s">
        <v>30</v>
      </c>
      <c r="T590" s="5">
        <v>3455</v>
      </c>
      <c r="U590" s="7" t="s">
        <v>65</v>
      </c>
      <c r="V590" t="s">
        <v>59</v>
      </c>
      <c r="W590" s="7" t="s">
        <v>60</v>
      </c>
    </row>
    <row r="591" spans="1:23" x14ac:dyDescent="0.3">
      <c r="A591" s="6">
        <v>7305</v>
      </c>
      <c r="B591" s="7" t="s">
        <v>224</v>
      </c>
      <c r="C591" s="1">
        <v>44960</v>
      </c>
      <c r="D591" s="1">
        <v>45334</v>
      </c>
      <c r="E591" s="8">
        <v>7.99</v>
      </c>
      <c r="F591" s="6">
        <v>165</v>
      </c>
      <c r="G591" s="7" t="s">
        <v>100</v>
      </c>
      <c r="H591" s="6">
        <v>5</v>
      </c>
      <c r="I591" s="6">
        <v>4</v>
      </c>
      <c r="J591" s="7" t="b">
        <v>0</v>
      </c>
      <c r="K591" s="6">
        <v>267</v>
      </c>
      <c r="L591" s="6">
        <v>146</v>
      </c>
      <c r="M591" s="7" t="s">
        <v>27</v>
      </c>
      <c r="N591" s="7" t="s">
        <v>56</v>
      </c>
      <c r="O591" s="7" t="s">
        <v>57</v>
      </c>
      <c r="P591" s="5">
        <v>34</v>
      </c>
      <c r="Q591" s="4">
        <v>4.2</v>
      </c>
      <c r="R591" s="7" t="b">
        <v>1</v>
      </c>
      <c r="S591" s="7" t="s">
        <v>30</v>
      </c>
      <c r="T591" s="5">
        <v>3334</v>
      </c>
      <c r="U591" s="7" t="s">
        <v>76</v>
      </c>
      <c r="V591" t="s">
        <v>39</v>
      </c>
      <c r="W591" s="7" t="s">
        <v>40</v>
      </c>
    </row>
    <row r="592" spans="1:23" x14ac:dyDescent="0.3">
      <c r="A592" s="6">
        <v>5719</v>
      </c>
      <c r="B592" s="7" t="s">
        <v>531</v>
      </c>
      <c r="C592" t="s">
        <v>588</v>
      </c>
      <c r="D592" t="s">
        <v>129</v>
      </c>
      <c r="E592" s="8">
        <v>11.99</v>
      </c>
      <c r="F592" s="6">
        <v>479</v>
      </c>
      <c r="G592" s="7" t="s">
        <v>51</v>
      </c>
      <c r="H592" s="6">
        <v>5</v>
      </c>
      <c r="I592" s="6">
        <v>2</v>
      </c>
      <c r="J592" s="7" t="b">
        <v>0</v>
      </c>
      <c r="K592" s="6">
        <v>710</v>
      </c>
      <c r="L592" s="6">
        <v>68</v>
      </c>
      <c r="M592" s="7" t="s">
        <v>74</v>
      </c>
      <c r="N592" s="7" t="s">
        <v>75</v>
      </c>
      <c r="O592" s="7" t="s">
        <v>78</v>
      </c>
      <c r="P592" s="5">
        <v>54</v>
      </c>
      <c r="Q592" s="4">
        <v>4.5999999999999996</v>
      </c>
      <c r="R592" s="7" t="b">
        <v>0</v>
      </c>
      <c r="S592" s="7" t="s">
        <v>30</v>
      </c>
      <c r="T592" s="5">
        <v>105</v>
      </c>
      <c r="U592" s="7" t="s">
        <v>76</v>
      </c>
      <c r="V592" t="s">
        <v>69</v>
      </c>
      <c r="W592" s="7" t="s">
        <v>93</v>
      </c>
    </row>
    <row r="593" spans="1:23" x14ac:dyDescent="0.3">
      <c r="A593" s="6">
        <v>2334</v>
      </c>
      <c r="B593" s="7" t="s">
        <v>473</v>
      </c>
      <c r="C593" t="s">
        <v>358</v>
      </c>
      <c r="D593" t="s">
        <v>156</v>
      </c>
      <c r="E593" s="8">
        <v>11.99</v>
      </c>
      <c r="F593" s="6">
        <v>285</v>
      </c>
      <c r="G593" s="7" t="s">
        <v>73</v>
      </c>
      <c r="H593" s="6">
        <v>2</v>
      </c>
      <c r="I593" s="6">
        <v>4</v>
      </c>
      <c r="J593" s="7" t="b">
        <v>0</v>
      </c>
      <c r="K593" s="6">
        <v>805</v>
      </c>
      <c r="L593" s="6">
        <v>42</v>
      </c>
      <c r="M593" s="7" t="s">
        <v>49</v>
      </c>
      <c r="N593" s="7" t="s">
        <v>44</v>
      </c>
      <c r="O593" s="7" t="s">
        <v>29</v>
      </c>
      <c r="P593" s="5">
        <v>90</v>
      </c>
      <c r="Q593" s="4">
        <v>4.5</v>
      </c>
      <c r="R593" s="7" t="b">
        <v>0</v>
      </c>
      <c r="S593" s="7" t="s">
        <v>30</v>
      </c>
      <c r="T593" s="5">
        <v>1404</v>
      </c>
      <c r="U593" s="7" t="s">
        <v>31</v>
      </c>
      <c r="V593" t="s">
        <v>69</v>
      </c>
      <c r="W593" s="7" t="s">
        <v>60</v>
      </c>
    </row>
    <row r="594" spans="1:23" x14ac:dyDescent="0.3">
      <c r="A594" s="6">
        <v>1006</v>
      </c>
      <c r="B594" s="7" t="s">
        <v>589</v>
      </c>
      <c r="C594" t="s">
        <v>590</v>
      </c>
      <c r="D594" t="s">
        <v>168</v>
      </c>
      <c r="E594" s="8">
        <v>11.99</v>
      </c>
      <c r="F594" s="6">
        <v>93</v>
      </c>
      <c r="G594" s="7" t="s">
        <v>36</v>
      </c>
      <c r="H594" s="6">
        <v>4</v>
      </c>
      <c r="I594" s="6">
        <v>6</v>
      </c>
      <c r="J594" s="7" t="b">
        <v>0</v>
      </c>
      <c r="K594" s="6">
        <v>209</v>
      </c>
      <c r="L594" s="6">
        <v>151</v>
      </c>
      <c r="M594" s="7" t="s">
        <v>55</v>
      </c>
      <c r="N594" s="7" t="s">
        <v>56</v>
      </c>
      <c r="O594" s="7" t="s">
        <v>64</v>
      </c>
      <c r="P594" s="5">
        <v>74</v>
      </c>
      <c r="Q594" s="4">
        <v>3</v>
      </c>
      <c r="R594" s="7" t="b">
        <v>0</v>
      </c>
      <c r="S594" s="7" t="s">
        <v>30</v>
      </c>
      <c r="T594" s="5">
        <v>1017</v>
      </c>
      <c r="U594" s="7" t="s">
        <v>58</v>
      </c>
      <c r="V594" t="s">
        <v>79</v>
      </c>
      <c r="W594" s="7" t="s">
        <v>60</v>
      </c>
    </row>
    <row r="595" spans="1:23" x14ac:dyDescent="0.3">
      <c r="A595" s="6">
        <v>6719</v>
      </c>
      <c r="B595" s="7" t="s">
        <v>114</v>
      </c>
      <c r="C595" t="s">
        <v>336</v>
      </c>
      <c r="D595" t="s">
        <v>87</v>
      </c>
      <c r="E595" s="8">
        <v>15.99</v>
      </c>
      <c r="F595" s="6">
        <v>299</v>
      </c>
      <c r="G595" s="7" t="s">
        <v>63</v>
      </c>
      <c r="H595" s="6">
        <v>5</v>
      </c>
      <c r="I595" s="6">
        <v>2</v>
      </c>
      <c r="J595" s="7" t="b">
        <v>0</v>
      </c>
      <c r="K595" s="6">
        <v>803</v>
      </c>
      <c r="L595" s="6">
        <v>197</v>
      </c>
      <c r="M595" s="7" t="s">
        <v>68</v>
      </c>
      <c r="N595" s="7" t="s">
        <v>75</v>
      </c>
      <c r="O595" s="7" t="s">
        <v>78</v>
      </c>
      <c r="P595" s="5">
        <v>58</v>
      </c>
      <c r="Q595" s="4">
        <v>4.8</v>
      </c>
      <c r="R595" s="7" t="b">
        <v>0</v>
      </c>
      <c r="S595" s="7" t="s">
        <v>30</v>
      </c>
      <c r="T595" s="5">
        <v>2812</v>
      </c>
      <c r="U595" s="7" t="s">
        <v>38</v>
      </c>
      <c r="V595" t="s">
        <v>39</v>
      </c>
      <c r="W595" s="7" t="s">
        <v>40</v>
      </c>
    </row>
    <row r="596" spans="1:23" x14ac:dyDescent="0.3">
      <c r="A596" s="6">
        <v>6138</v>
      </c>
      <c r="B596" s="7" t="s">
        <v>70</v>
      </c>
      <c r="C596" s="1">
        <v>45536</v>
      </c>
      <c r="D596" t="s">
        <v>109</v>
      </c>
      <c r="E596" s="8">
        <v>15.99</v>
      </c>
      <c r="F596" s="6">
        <v>10</v>
      </c>
      <c r="G596" s="7" t="s">
        <v>51</v>
      </c>
      <c r="H596" s="6">
        <v>4</v>
      </c>
      <c r="I596" s="6">
        <v>6</v>
      </c>
      <c r="J596" s="7" t="b">
        <v>1</v>
      </c>
      <c r="K596" s="6">
        <v>236</v>
      </c>
      <c r="L596" s="6">
        <v>183</v>
      </c>
      <c r="M596" s="7" t="s">
        <v>55</v>
      </c>
      <c r="N596" s="7" t="s">
        <v>56</v>
      </c>
      <c r="O596" s="7" t="s">
        <v>64</v>
      </c>
      <c r="P596" s="5">
        <v>86</v>
      </c>
      <c r="Q596" s="4">
        <v>3.8</v>
      </c>
      <c r="R596" s="7" t="b">
        <v>0</v>
      </c>
      <c r="S596" s="7" t="s">
        <v>30</v>
      </c>
      <c r="T596" s="5">
        <v>959</v>
      </c>
      <c r="U596" s="7" t="s">
        <v>31</v>
      </c>
      <c r="V596" t="s">
        <v>69</v>
      </c>
      <c r="W596" s="7" t="s">
        <v>33</v>
      </c>
    </row>
    <row r="597" spans="1:23" x14ac:dyDescent="0.3">
      <c r="A597" s="6">
        <v>1255</v>
      </c>
      <c r="B597" s="7" t="s">
        <v>122</v>
      </c>
      <c r="C597" s="1">
        <v>45112</v>
      </c>
      <c r="D597" s="1">
        <v>45577</v>
      </c>
      <c r="E597" s="8">
        <v>11.99</v>
      </c>
      <c r="F597" s="6">
        <v>82</v>
      </c>
      <c r="G597" s="7" t="s">
        <v>51</v>
      </c>
      <c r="H597" s="6">
        <v>4</v>
      </c>
      <c r="I597" s="6">
        <v>3</v>
      </c>
      <c r="J597" s="7" t="b">
        <v>1</v>
      </c>
      <c r="K597" s="6">
        <v>264</v>
      </c>
      <c r="L597" s="6">
        <v>115</v>
      </c>
      <c r="M597" s="7" t="s">
        <v>55</v>
      </c>
      <c r="N597" s="7" t="s">
        <v>75</v>
      </c>
      <c r="O597" s="7" t="s">
        <v>78</v>
      </c>
      <c r="P597" s="5">
        <v>30</v>
      </c>
      <c r="Q597" s="4">
        <v>4.7</v>
      </c>
      <c r="R597" s="7" t="b">
        <v>1</v>
      </c>
      <c r="S597" s="7" t="s">
        <v>30</v>
      </c>
      <c r="T597" s="5">
        <v>1870</v>
      </c>
      <c r="U597" s="7" t="s">
        <v>58</v>
      </c>
      <c r="V597" t="s">
        <v>59</v>
      </c>
      <c r="W597" s="7" t="s">
        <v>93</v>
      </c>
    </row>
    <row r="598" spans="1:23" x14ac:dyDescent="0.3">
      <c r="A598" s="6">
        <v>5528</v>
      </c>
      <c r="B598" s="7" t="s">
        <v>179</v>
      </c>
      <c r="C598" t="s">
        <v>512</v>
      </c>
      <c r="D598" s="1">
        <v>45577</v>
      </c>
      <c r="E598" s="8">
        <v>11.99</v>
      </c>
      <c r="F598" s="6">
        <v>27</v>
      </c>
      <c r="G598" s="7" t="s">
        <v>26</v>
      </c>
      <c r="H598" s="6">
        <v>3</v>
      </c>
      <c r="I598" s="6">
        <v>6</v>
      </c>
      <c r="J598" s="7" t="b">
        <v>1</v>
      </c>
      <c r="K598" s="6">
        <v>767</v>
      </c>
      <c r="L598" s="6">
        <v>5</v>
      </c>
      <c r="M598" s="7" t="s">
        <v>68</v>
      </c>
      <c r="N598" s="7" t="s">
        <v>44</v>
      </c>
      <c r="O598" s="7" t="s">
        <v>78</v>
      </c>
      <c r="P598" s="5">
        <v>69</v>
      </c>
      <c r="Q598" s="4">
        <v>3.2</v>
      </c>
      <c r="R598" s="7" t="b">
        <v>1</v>
      </c>
      <c r="S598" s="7" t="s">
        <v>30</v>
      </c>
      <c r="T598" s="5">
        <v>2984</v>
      </c>
      <c r="U598" s="7" t="s">
        <v>58</v>
      </c>
      <c r="V598" t="s">
        <v>69</v>
      </c>
      <c r="W598" s="7" t="s">
        <v>93</v>
      </c>
    </row>
    <row r="599" spans="1:23" x14ac:dyDescent="0.3">
      <c r="A599" s="6">
        <v>2517</v>
      </c>
      <c r="B599" s="7" t="s">
        <v>157</v>
      </c>
      <c r="C599" t="s">
        <v>591</v>
      </c>
      <c r="D599" s="1">
        <v>45303</v>
      </c>
      <c r="E599" s="8">
        <v>7.99</v>
      </c>
      <c r="F599" s="6">
        <v>105</v>
      </c>
      <c r="G599" s="7" t="s">
        <v>48</v>
      </c>
      <c r="H599" s="6">
        <v>2</v>
      </c>
      <c r="I599" s="6">
        <v>1</v>
      </c>
      <c r="J599" s="7" t="b">
        <v>1</v>
      </c>
      <c r="K599" s="6">
        <v>247</v>
      </c>
      <c r="L599" s="6">
        <v>104</v>
      </c>
      <c r="M599" s="7" t="s">
        <v>92</v>
      </c>
      <c r="N599" s="7" t="s">
        <v>28</v>
      </c>
      <c r="O599" s="7" t="s">
        <v>57</v>
      </c>
      <c r="P599" s="5">
        <v>19</v>
      </c>
      <c r="Q599" s="4">
        <v>3.2</v>
      </c>
      <c r="R599" s="7" t="b">
        <v>1</v>
      </c>
      <c r="S599" s="7" t="s">
        <v>30</v>
      </c>
      <c r="T599" s="5">
        <v>3379</v>
      </c>
      <c r="U599" s="7" t="s">
        <v>31</v>
      </c>
      <c r="V599" t="s">
        <v>32</v>
      </c>
      <c r="W599" s="7" t="s">
        <v>93</v>
      </c>
    </row>
    <row r="600" spans="1:23" x14ac:dyDescent="0.3">
      <c r="A600" s="6">
        <v>9593</v>
      </c>
      <c r="B600" s="7" t="s">
        <v>592</v>
      </c>
      <c r="C600" s="1">
        <v>45270</v>
      </c>
      <c r="D600" t="s">
        <v>156</v>
      </c>
      <c r="E600" s="8">
        <v>15.99</v>
      </c>
      <c r="F600" s="6">
        <v>330</v>
      </c>
      <c r="G600" s="7" t="s">
        <v>63</v>
      </c>
      <c r="H600" s="6">
        <v>3</v>
      </c>
      <c r="I600" s="6">
        <v>1</v>
      </c>
      <c r="J600" s="7" t="b">
        <v>1</v>
      </c>
      <c r="K600" s="6">
        <v>69</v>
      </c>
      <c r="L600" s="6">
        <v>101</v>
      </c>
      <c r="M600" s="7" t="s">
        <v>49</v>
      </c>
      <c r="N600" s="7" t="s">
        <v>28</v>
      </c>
      <c r="O600" s="7" t="s">
        <v>64</v>
      </c>
      <c r="P600" s="5">
        <v>38</v>
      </c>
      <c r="Q600" s="4">
        <v>3</v>
      </c>
      <c r="R600" s="7" t="b">
        <v>1</v>
      </c>
      <c r="S600" s="7" t="s">
        <v>30</v>
      </c>
      <c r="T600" s="5">
        <v>4990</v>
      </c>
      <c r="U600" s="7" t="s">
        <v>38</v>
      </c>
      <c r="V600" t="s">
        <v>79</v>
      </c>
      <c r="W600" s="7" t="s">
        <v>40</v>
      </c>
    </row>
    <row r="601" spans="1:23" x14ac:dyDescent="0.3">
      <c r="A601" s="6">
        <v>7507</v>
      </c>
      <c r="B601" s="7" t="s">
        <v>404</v>
      </c>
      <c r="C601" s="1">
        <v>45446</v>
      </c>
      <c r="D601" s="1">
        <v>45577</v>
      </c>
      <c r="E601" s="8">
        <v>11.99</v>
      </c>
      <c r="F601" s="6">
        <v>462</v>
      </c>
      <c r="G601" s="7" t="s">
        <v>51</v>
      </c>
      <c r="H601" s="6">
        <v>2</v>
      </c>
      <c r="I601" s="6">
        <v>4</v>
      </c>
      <c r="J601" s="7" t="b">
        <v>1</v>
      </c>
      <c r="K601" s="6">
        <v>958</v>
      </c>
      <c r="L601" s="6">
        <v>153</v>
      </c>
      <c r="M601" s="7" t="s">
        <v>92</v>
      </c>
      <c r="N601" s="7" t="s">
        <v>56</v>
      </c>
      <c r="O601" s="7" t="s">
        <v>37</v>
      </c>
      <c r="P601" s="5">
        <v>71</v>
      </c>
      <c r="Q601" s="4">
        <v>4.8</v>
      </c>
      <c r="R601" s="7" t="b">
        <v>0</v>
      </c>
      <c r="S601" s="7" t="s">
        <v>30</v>
      </c>
      <c r="T601" s="5">
        <v>2554</v>
      </c>
      <c r="U601" s="7" t="s">
        <v>58</v>
      </c>
      <c r="V601" t="s">
        <v>32</v>
      </c>
      <c r="W601" s="7" t="s">
        <v>40</v>
      </c>
    </row>
    <row r="602" spans="1:23" x14ac:dyDescent="0.3">
      <c r="A602" s="6">
        <v>2884</v>
      </c>
      <c r="B602" s="7" t="s">
        <v>549</v>
      </c>
      <c r="C602" t="s">
        <v>462</v>
      </c>
      <c r="D602" t="s">
        <v>35</v>
      </c>
      <c r="E602" s="8">
        <v>15.99</v>
      </c>
      <c r="F602" s="6">
        <v>250</v>
      </c>
      <c r="G602" s="7" t="s">
        <v>26</v>
      </c>
      <c r="H602" s="6">
        <v>4</v>
      </c>
      <c r="I602" s="6">
        <v>6</v>
      </c>
      <c r="J602" s="7" t="b">
        <v>0</v>
      </c>
      <c r="K602" s="6">
        <v>271</v>
      </c>
      <c r="L602" s="6">
        <v>50</v>
      </c>
      <c r="M602" s="7" t="s">
        <v>74</v>
      </c>
      <c r="N602" s="7" t="s">
        <v>75</v>
      </c>
      <c r="O602" s="7" t="s">
        <v>29</v>
      </c>
      <c r="P602" s="5">
        <v>34</v>
      </c>
      <c r="Q602" s="4">
        <v>4.7</v>
      </c>
      <c r="R602" s="7" t="b">
        <v>0</v>
      </c>
      <c r="S602" s="7" t="s">
        <v>30</v>
      </c>
      <c r="T602" s="5">
        <v>4307</v>
      </c>
      <c r="U602" s="7" t="s">
        <v>76</v>
      </c>
      <c r="V602" t="s">
        <v>59</v>
      </c>
      <c r="W602" s="7" t="s">
        <v>40</v>
      </c>
    </row>
    <row r="603" spans="1:23" x14ac:dyDescent="0.3">
      <c r="A603" s="6">
        <v>6374</v>
      </c>
      <c r="B603" s="7" t="s">
        <v>495</v>
      </c>
      <c r="C603" s="1">
        <v>45114</v>
      </c>
      <c r="D603" t="s">
        <v>54</v>
      </c>
      <c r="E603" s="8">
        <v>15.99</v>
      </c>
      <c r="F603" s="6">
        <v>30</v>
      </c>
      <c r="G603" s="7" t="s">
        <v>26</v>
      </c>
      <c r="H603" s="6">
        <v>1</v>
      </c>
      <c r="I603" s="6">
        <v>1</v>
      </c>
      <c r="J603" s="7" t="b">
        <v>0</v>
      </c>
      <c r="K603" s="6">
        <v>178</v>
      </c>
      <c r="L603" s="6">
        <v>162</v>
      </c>
      <c r="M603" s="7" t="s">
        <v>55</v>
      </c>
      <c r="N603" s="7" t="s">
        <v>28</v>
      </c>
      <c r="O603" s="7" t="s">
        <v>45</v>
      </c>
      <c r="P603" s="5">
        <v>20</v>
      </c>
      <c r="Q603" s="4">
        <v>4.5999999999999996</v>
      </c>
      <c r="R603" s="7" t="b">
        <v>1</v>
      </c>
      <c r="S603" s="7" t="s">
        <v>30</v>
      </c>
      <c r="T603" s="5">
        <v>3124</v>
      </c>
      <c r="U603" s="7" t="s">
        <v>31</v>
      </c>
      <c r="V603" t="s">
        <v>69</v>
      </c>
      <c r="W603" s="7" t="s">
        <v>93</v>
      </c>
    </row>
    <row r="604" spans="1:23" x14ac:dyDescent="0.3">
      <c r="A604" s="6">
        <v>6888</v>
      </c>
      <c r="B604" s="7" t="s">
        <v>196</v>
      </c>
      <c r="C604" s="1">
        <v>45509</v>
      </c>
      <c r="D604" s="1">
        <v>45363</v>
      </c>
      <c r="E604" s="8">
        <v>15.99</v>
      </c>
      <c r="F604" s="6">
        <v>364</v>
      </c>
      <c r="G604" s="7" t="s">
        <v>73</v>
      </c>
      <c r="H604" s="6">
        <v>2</v>
      </c>
      <c r="I604" s="6">
        <v>5</v>
      </c>
      <c r="J604" s="7" t="b">
        <v>0</v>
      </c>
      <c r="K604" s="6">
        <v>865</v>
      </c>
      <c r="L604" s="6">
        <v>104</v>
      </c>
      <c r="M604" s="7" t="s">
        <v>27</v>
      </c>
      <c r="N604" s="7" t="s">
        <v>56</v>
      </c>
      <c r="O604" s="7" t="s">
        <v>45</v>
      </c>
      <c r="P604" s="5">
        <v>31</v>
      </c>
      <c r="Q604" s="4">
        <v>3.1</v>
      </c>
      <c r="R604" s="7" t="b">
        <v>0</v>
      </c>
      <c r="S604" s="7" t="s">
        <v>30</v>
      </c>
      <c r="T604" s="5">
        <v>1261</v>
      </c>
      <c r="U604" s="7" t="s">
        <v>31</v>
      </c>
      <c r="V604" t="s">
        <v>32</v>
      </c>
      <c r="W604" s="7" t="s">
        <v>33</v>
      </c>
    </row>
    <row r="605" spans="1:23" x14ac:dyDescent="0.3">
      <c r="A605" s="6">
        <v>2788</v>
      </c>
      <c r="B605" s="7" t="s">
        <v>593</v>
      </c>
      <c r="C605" s="1">
        <v>45171</v>
      </c>
      <c r="D605" s="1">
        <v>45455</v>
      </c>
      <c r="E605" s="8">
        <v>15.99</v>
      </c>
      <c r="F605" s="6">
        <v>404</v>
      </c>
      <c r="G605" s="7" t="s">
        <v>73</v>
      </c>
      <c r="H605" s="6">
        <v>2</v>
      </c>
      <c r="I605" s="6">
        <v>2</v>
      </c>
      <c r="J605" s="7" t="b">
        <v>0</v>
      </c>
      <c r="K605" s="6">
        <v>257</v>
      </c>
      <c r="L605" s="6">
        <v>113</v>
      </c>
      <c r="M605" s="7" t="s">
        <v>74</v>
      </c>
      <c r="N605" s="7" t="s">
        <v>56</v>
      </c>
      <c r="O605" s="7" t="s">
        <v>45</v>
      </c>
      <c r="P605" s="5">
        <v>60</v>
      </c>
      <c r="Q605" s="4">
        <v>3.8</v>
      </c>
      <c r="R605" s="7" t="b">
        <v>0</v>
      </c>
      <c r="S605" s="7" t="s">
        <v>30</v>
      </c>
      <c r="T605" s="5">
        <v>1290</v>
      </c>
      <c r="U605" s="7" t="s">
        <v>58</v>
      </c>
      <c r="V605" t="s">
        <v>32</v>
      </c>
      <c r="W605" s="7" t="s">
        <v>33</v>
      </c>
    </row>
    <row r="606" spans="1:23" x14ac:dyDescent="0.3">
      <c r="A606" s="6">
        <v>7892</v>
      </c>
      <c r="B606" s="7" t="s">
        <v>137</v>
      </c>
      <c r="C606" s="1">
        <v>45327</v>
      </c>
      <c r="D606" t="s">
        <v>87</v>
      </c>
      <c r="E606" s="8">
        <v>7.99</v>
      </c>
      <c r="F606" s="6">
        <v>499</v>
      </c>
      <c r="G606" s="7" t="s">
        <v>100</v>
      </c>
      <c r="H606" s="6">
        <v>4</v>
      </c>
      <c r="I606" s="6">
        <v>3</v>
      </c>
      <c r="J606" s="7" t="b">
        <v>0</v>
      </c>
      <c r="K606" s="6">
        <v>428</v>
      </c>
      <c r="L606" s="6">
        <v>168</v>
      </c>
      <c r="M606" s="7" t="s">
        <v>92</v>
      </c>
      <c r="N606" s="7" t="s">
        <v>56</v>
      </c>
      <c r="O606" s="7" t="s">
        <v>78</v>
      </c>
      <c r="P606" s="5">
        <v>82</v>
      </c>
      <c r="Q606" s="4">
        <v>3.7</v>
      </c>
      <c r="R606" s="7" t="b">
        <v>0</v>
      </c>
      <c r="S606" s="7" t="s">
        <v>30</v>
      </c>
      <c r="T606" s="5">
        <v>874</v>
      </c>
      <c r="U606" s="7" t="s">
        <v>31</v>
      </c>
      <c r="V606" t="s">
        <v>79</v>
      </c>
      <c r="W606" s="7" t="s">
        <v>60</v>
      </c>
    </row>
    <row r="607" spans="1:23" x14ac:dyDescent="0.3">
      <c r="A607" s="6">
        <v>4576</v>
      </c>
      <c r="B607" s="7" t="s">
        <v>138</v>
      </c>
      <c r="C607" t="s">
        <v>594</v>
      </c>
      <c r="D607" t="s">
        <v>129</v>
      </c>
      <c r="E607" s="8">
        <v>15.99</v>
      </c>
      <c r="F607" s="6">
        <v>480</v>
      </c>
      <c r="G607" s="7" t="s">
        <v>36</v>
      </c>
      <c r="H607" s="6">
        <v>2</v>
      </c>
      <c r="I607" s="6">
        <v>2</v>
      </c>
      <c r="J607" s="7" t="b">
        <v>1</v>
      </c>
      <c r="K607" s="6">
        <v>994</v>
      </c>
      <c r="L607" s="6">
        <v>78</v>
      </c>
      <c r="M607" s="7" t="s">
        <v>74</v>
      </c>
      <c r="N607" s="7" t="s">
        <v>56</v>
      </c>
      <c r="O607" s="7" t="s">
        <v>45</v>
      </c>
      <c r="P607" s="5">
        <v>39</v>
      </c>
      <c r="Q607" s="4">
        <v>4.3</v>
      </c>
      <c r="R607" s="7" t="b">
        <v>1</v>
      </c>
      <c r="S607" s="7" t="s">
        <v>30</v>
      </c>
      <c r="T607" s="5">
        <v>1734</v>
      </c>
      <c r="U607" s="7" t="s">
        <v>76</v>
      </c>
      <c r="V607" t="s">
        <v>39</v>
      </c>
      <c r="W607" s="7" t="s">
        <v>60</v>
      </c>
    </row>
    <row r="608" spans="1:23" x14ac:dyDescent="0.3">
      <c r="A608" s="6">
        <v>8901</v>
      </c>
      <c r="B608" s="7" t="s">
        <v>595</v>
      </c>
      <c r="C608" s="1">
        <v>45536</v>
      </c>
      <c r="D608" t="s">
        <v>168</v>
      </c>
      <c r="E608" s="8">
        <v>11.99</v>
      </c>
      <c r="F608" s="6">
        <v>417</v>
      </c>
      <c r="G608" s="7" t="s">
        <v>26</v>
      </c>
      <c r="H608" s="6">
        <v>5</v>
      </c>
      <c r="I608" s="6">
        <v>6</v>
      </c>
      <c r="J608" s="7" t="b">
        <v>0</v>
      </c>
      <c r="K608" s="6">
        <v>476</v>
      </c>
      <c r="L608" s="6">
        <v>37</v>
      </c>
      <c r="M608" s="7" t="s">
        <v>27</v>
      </c>
      <c r="N608" s="7" t="s">
        <v>75</v>
      </c>
      <c r="O608" s="7" t="s">
        <v>29</v>
      </c>
      <c r="P608" s="5">
        <v>12</v>
      </c>
      <c r="Q608" s="4">
        <v>4.0999999999999996</v>
      </c>
      <c r="R608" s="7" t="b">
        <v>1</v>
      </c>
      <c r="S608" s="7" t="s">
        <v>30</v>
      </c>
      <c r="T608" s="5">
        <v>2444</v>
      </c>
      <c r="U608" s="7" t="s">
        <v>76</v>
      </c>
      <c r="V608" t="s">
        <v>79</v>
      </c>
      <c r="W608" s="7" t="s">
        <v>60</v>
      </c>
    </row>
    <row r="609" spans="1:23" x14ac:dyDescent="0.3">
      <c r="A609" s="6">
        <v>5147</v>
      </c>
      <c r="B609" s="7" t="s">
        <v>140</v>
      </c>
      <c r="C609" t="s">
        <v>596</v>
      </c>
      <c r="D609" t="s">
        <v>42</v>
      </c>
      <c r="E609" s="8">
        <v>7.99</v>
      </c>
      <c r="F609" s="6">
        <v>215</v>
      </c>
      <c r="G609" s="7" t="s">
        <v>73</v>
      </c>
      <c r="H609" s="6">
        <v>5</v>
      </c>
      <c r="I609" s="6">
        <v>4</v>
      </c>
      <c r="J609" s="7" t="b">
        <v>1</v>
      </c>
      <c r="K609" s="6">
        <v>150</v>
      </c>
      <c r="L609" s="6">
        <v>57</v>
      </c>
      <c r="M609" s="7" t="s">
        <v>49</v>
      </c>
      <c r="N609" s="7" t="s">
        <v>28</v>
      </c>
      <c r="O609" s="7" t="s">
        <v>29</v>
      </c>
      <c r="P609" s="5">
        <v>76</v>
      </c>
      <c r="Q609" s="4">
        <v>4.5</v>
      </c>
      <c r="R609" s="7" t="b">
        <v>0</v>
      </c>
      <c r="S609" s="7" t="s">
        <v>30</v>
      </c>
      <c r="T609" s="5">
        <v>1529</v>
      </c>
      <c r="U609" s="7" t="s">
        <v>31</v>
      </c>
      <c r="V609" t="s">
        <v>32</v>
      </c>
      <c r="W609" s="7" t="s">
        <v>33</v>
      </c>
    </row>
    <row r="610" spans="1:23" x14ac:dyDescent="0.3">
      <c r="A610" s="6">
        <v>8646</v>
      </c>
      <c r="B610" s="7" t="s">
        <v>294</v>
      </c>
      <c r="C610" t="s">
        <v>597</v>
      </c>
      <c r="D610" s="1">
        <v>45455</v>
      </c>
      <c r="E610" s="8">
        <v>7.99</v>
      </c>
      <c r="F610" s="6">
        <v>234</v>
      </c>
      <c r="G610" s="7" t="s">
        <v>26</v>
      </c>
      <c r="H610" s="6">
        <v>2</v>
      </c>
      <c r="I610" s="6">
        <v>6</v>
      </c>
      <c r="J610" s="7" t="b">
        <v>1</v>
      </c>
      <c r="K610" s="6">
        <v>580</v>
      </c>
      <c r="L610" s="6">
        <v>149</v>
      </c>
      <c r="M610" s="7" t="s">
        <v>49</v>
      </c>
      <c r="N610" s="7" t="s">
        <v>28</v>
      </c>
      <c r="O610" s="7" t="s">
        <v>78</v>
      </c>
      <c r="P610" s="5">
        <v>31</v>
      </c>
      <c r="Q610" s="4">
        <v>3.8</v>
      </c>
      <c r="R610" s="7" t="b">
        <v>1</v>
      </c>
      <c r="S610" s="7" t="s">
        <v>30</v>
      </c>
      <c r="T610" s="5">
        <v>1976</v>
      </c>
      <c r="U610" s="7" t="s">
        <v>65</v>
      </c>
      <c r="V610" t="s">
        <v>79</v>
      </c>
      <c r="W610" s="7" t="s">
        <v>33</v>
      </c>
    </row>
    <row r="611" spans="1:23" x14ac:dyDescent="0.3">
      <c r="A611" s="6">
        <v>8343</v>
      </c>
      <c r="B611" s="7" t="s">
        <v>140</v>
      </c>
      <c r="C611" s="1">
        <v>45333</v>
      </c>
      <c r="D611" t="s">
        <v>72</v>
      </c>
      <c r="E611" s="8">
        <v>7.99</v>
      </c>
      <c r="F611" s="6">
        <v>103</v>
      </c>
      <c r="G611" s="7" t="s">
        <v>26</v>
      </c>
      <c r="H611" s="6">
        <v>2</v>
      </c>
      <c r="I611" s="6">
        <v>6</v>
      </c>
      <c r="J611" s="7" t="b">
        <v>0</v>
      </c>
      <c r="K611" s="6">
        <v>284</v>
      </c>
      <c r="L611" s="6">
        <v>84</v>
      </c>
      <c r="M611" s="7" t="s">
        <v>92</v>
      </c>
      <c r="N611" s="7" t="s">
        <v>28</v>
      </c>
      <c r="O611" s="7" t="s">
        <v>64</v>
      </c>
      <c r="P611" s="5">
        <v>30</v>
      </c>
      <c r="Q611" s="4">
        <v>4</v>
      </c>
      <c r="R611" s="7" t="b">
        <v>0</v>
      </c>
      <c r="S611" s="7" t="s">
        <v>30</v>
      </c>
      <c r="T611" s="5">
        <v>3452</v>
      </c>
      <c r="U611" s="7" t="s">
        <v>31</v>
      </c>
      <c r="V611" t="s">
        <v>79</v>
      </c>
      <c r="W611" s="7" t="s">
        <v>93</v>
      </c>
    </row>
    <row r="612" spans="1:23" x14ac:dyDescent="0.3">
      <c r="A612" s="6">
        <v>9332</v>
      </c>
      <c r="B612" s="7" t="s">
        <v>41</v>
      </c>
      <c r="C612" t="s">
        <v>397</v>
      </c>
      <c r="D612" t="s">
        <v>103</v>
      </c>
      <c r="E612" s="8">
        <v>15.99</v>
      </c>
      <c r="F612" s="6">
        <v>191</v>
      </c>
      <c r="G612" s="7" t="s">
        <v>51</v>
      </c>
      <c r="H612" s="6">
        <v>5</v>
      </c>
      <c r="I612" s="6">
        <v>1</v>
      </c>
      <c r="J612" s="7" t="b">
        <v>0</v>
      </c>
      <c r="K612" s="6">
        <v>688</v>
      </c>
      <c r="L612" s="6">
        <v>192</v>
      </c>
      <c r="M612" s="7" t="s">
        <v>27</v>
      </c>
      <c r="N612" s="7" t="s">
        <v>28</v>
      </c>
      <c r="O612" s="7" t="s">
        <v>29</v>
      </c>
      <c r="P612" s="5">
        <v>71</v>
      </c>
      <c r="Q612" s="4">
        <v>4</v>
      </c>
      <c r="R612" s="7" t="b">
        <v>0</v>
      </c>
      <c r="S612" s="7" t="s">
        <v>30</v>
      </c>
      <c r="T612" s="5">
        <v>2610</v>
      </c>
      <c r="U612" s="7" t="s">
        <v>58</v>
      </c>
      <c r="V612" t="s">
        <v>59</v>
      </c>
      <c r="W612" s="7" t="s">
        <v>60</v>
      </c>
    </row>
    <row r="613" spans="1:23" x14ac:dyDescent="0.3">
      <c r="A613" s="6">
        <v>7398</v>
      </c>
      <c r="B613" s="7" t="s">
        <v>349</v>
      </c>
      <c r="C613" t="s">
        <v>565</v>
      </c>
      <c r="D613" t="s">
        <v>35</v>
      </c>
      <c r="E613" s="8">
        <v>11.99</v>
      </c>
      <c r="F613" s="6">
        <v>82</v>
      </c>
      <c r="G613" s="7" t="s">
        <v>36</v>
      </c>
      <c r="H613" s="6">
        <v>5</v>
      </c>
      <c r="I613" s="6">
        <v>1</v>
      </c>
      <c r="J613" s="7" t="b">
        <v>1</v>
      </c>
      <c r="K613" s="6">
        <v>93</v>
      </c>
      <c r="L613" s="6">
        <v>46</v>
      </c>
      <c r="M613" s="7" t="s">
        <v>43</v>
      </c>
      <c r="N613" s="7" t="s">
        <v>28</v>
      </c>
      <c r="O613" s="7" t="s">
        <v>37</v>
      </c>
      <c r="P613" s="5">
        <v>41</v>
      </c>
      <c r="Q613" s="4">
        <v>4.7</v>
      </c>
      <c r="R613" s="7" t="b">
        <v>1</v>
      </c>
      <c r="S613" s="7" t="s">
        <v>30</v>
      </c>
      <c r="T613" s="5">
        <v>3152</v>
      </c>
      <c r="U613" s="7" t="s">
        <v>31</v>
      </c>
      <c r="V613" t="s">
        <v>39</v>
      </c>
      <c r="W613" s="7" t="s">
        <v>40</v>
      </c>
    </row>
    <row r="614" spans="1:23" x14ac:dyDescent="0.3">
      <c r="A614" s="6">
        <v>3572</v>
      </c>
      <c r="B614" s="7" t="s">
        <v>598</v>
      </c>
      <c r="C614" s="1">
        <v>45386</v>
      </c>
      <c r="D614" t="s">
        <v>35</v>
      </c>
      <c r="E614" s="8">
        <v>11.99</v>
      </c>
      <c r="F614" s="6">
        <v>468</v>
      </c>
      <c r="G614" s="7" t="s">
        <v>51</v>
      </c>
      <c r="H614" s="6">
        <v>5</v>
      </c>
      <c r="I614" s="6">
        <v>6</v>
      </c>
      <c r="J614" s="7" t="b">
        <v>1</v>
      </c>
      <c r="K614" s="6">
        <v>799</v>
      </c>
      <c r="L614" s="6">
        <v>44</v>
      </c>
      <c r="M614" s="7" t="s">
        <v>55</v>
      </c>
      <c r="N614" s="7" t="s">
        <v>28</v>
      </c>
      <c r="O614" s="7" t="s">
        <v>57</v>
      </c>
      <c r="P614" s="5">
        <v>98</v>
      </c>
      <c r="Q614" s="4">
        <v>4.9000000000000004</v>
      </c>
      <c r="R614" s="7" t="b">
        <v>0</v>
      </c>
      <c r="S614" s="7" t="s">
        <v>30</v>
      </c>
      <c r="T614" s="5">
        <v>4963</v>
      </c>
      <c r="U614" s="7" t="s">
        <v>76</v>
      </c>
      <c r="V614" t="s">
        <v>59</v>
      </c>
      <c r="W614" s="7" t="s">
        <v>40</v>
      </c>
    </row>
    <row r="615" spans="1:23" x14ac:dyDescent="0.3">
      <c r="A615" s="6">
        <v>4590</v>
      </c>
      <c r="B615" s="7" t="s">
        <v>553</v>
      </c>
      <c r="C615" t="s">
        <v>237</v>
      </c>
      <c r="D615" s="1">
        <v>45363</v>
      </c>
      <c r="E615" s="8">
        <v>11.99</v>
      </c>
      <c r="F615" s="6">
        <v>366</v>
      </c>
      <c r="G615" s="7" t="s">
        <v>100</v>
      </c>
      <c r="H615" s="6">
        <v>4</v>
      </c>
      <c r="I615" s="6">
        <v>3</v>
      </c>
      <c r="J615" s="7" t="b">
        <v>0</v>
      </c>
      <c r="K615" s="6">
        <v>327</v>
      </c>
      <c r="L615" s="6">
        <v>1</v>
      </c>
      <c r="M615" s="7" t="s">
        <v>49</v>
      </c>
      <c r="N615" s="7" t="s">
        <v>44</v>
      </c>
      <c r="O615" s="7" t="s">
        <v>29</v>
      </c>
      <c r="P615" s="5">
        <v>56</v>
      </c>
      <c r="Q615" s="4">
        <v>3.6</v>
      </c>
      <c r="R615" s="7" t="b">
        <v>1</v>
      </c>
      <c r="S615" s="7" t="s">
        <v>30</v>
      </c>
      <c r="T615" s="5">
        <v>3290</v>
      </c>
      <c r="U615" s="7" t="s">
        <v>38</v>
      </c>
      <c r="V615" t="s">
        <v>79</v>
      </c>
      <c r="W615" s="7" t="s">
        <v>33</v>
      </c>
    </row>
    <row r="616" spans="1:23" x14ac:dyDescent="0.3">
      <c r="A616" s="6">
        <v>1831</v>
      </c>
      <c r="B616" s="7" t="s">
        <v>88</v>
      </c>
      <c r="C616" s="1">
        <v>45636</v>
      </c>
      <c r="D616" s="1">
        <v>45608</v>
      </c>
      <c r="E616" s="8">
        <v>7.99</v>
      </c>
      <c r="F616" s="6">
        <v>53</v>
      </c>
      <c r="G616" s="7" t="s">
        <v>48</v>
      </c>
      <c r="H616" s="6">
        <v>1</v>
      </c>
      <c r="I616" s="6">
        <v>4</v>
      </c>
      <c r="J616" s="7" t="b">
        <v>0</v>
      </c>
      <c r="K616" s="6">
        <v>685</v>
      </c>
      <c r="L616" s="6">
        <v>127</v>
      </c>
      <c r="M616" s="7" t="s">
        <v>74</v>
      </c>
      <c r="N616" s="7" t="s">
        <v>56</v>
      </c>
      <c r="O616" s="7" t="s">
        <v>64</v>
      </c>
      <c r="P616" s="5">
        <v>26</v>
      </c>
      <c r="Q616" s="4">
        <v>4.0999999999999996</v>
      </c>
      <c r="R616" s="7" t="b">
        <v>1</v>
      </c>
      <c r="S616" s="7" t="s">
        <v>30</v>
      </c>
      <c r="T616" s="5">
        <v>2596</v>
      </c>
      <c r="U616" s="7" t="s">
        <v>58</v>
      </c>
      <c r="V616" t="s">
        <v>69</v>
      </c>
      <c r="W616" s="7" t="s">
        <v>33</v>
      </c>
    </row>
    <row r="617" spans="1:23" x14ac:dyDescent="0.3">
      <c r="A617" s="6">
        <v>6899</v>
      </c>
      <c r="B617" s="7" t="s">
        <v>284</v>
      </c>
      <c r="C617" s="1">
        <v>45050</v>
      </c>
      <c r="D617" s="1">
        <v>45424</v>
      </c>
      <c r="E617" s="8">
        <v>15.99</v>
      </c>
      <c r="F617" s="6">
        <v>102</v>
      </c>
      <c r="G617" s="7" t="s">
        <v>63</v>
      </c>
      <c r="H617" s="6">
        <v>1</v>
      </c>
      <c r="I617" s="6">
        <v>1</v>
      </c>
      <c r="J617" s="7" t="b">
        <v>1</v>
      </c>
      <c r="K617" s="6">
        <v>604</v>
      </c>
      <c r="L617" s="6">
        <v>107</v>
      </c>
      <c r="M617" s="7" t="s">
        <v>92</v>
      </c>
      <c r="N617" s="7" t="s">
        <v>75</v>
      </c>
      <c r="O617" s="7" t="s">
        <v>78</v>
      </c>
      <c r="P617" s="5">
        <v>9</v>
      </c>
      <c r="Q617" s="4">
        <v>4.3</v>
      </c>
      <c r="R617" s="7" t="b">
        <v>0</v>
      </c>
      <c r="S617" s="7" t="s">
        <v>30</v>
      </c>
      <c r="T617" s="5">
        <v>745</v>
      </c>
      <c r="U617" s="7" t="s">
        <v>76</v>
      </c>
      <c r="V617" t="s">
        <v>39</v>
      </c>
      <c r="W617" s="7" t="s">
        <v>33</v>
      </c>
    </row>
    <row r="618" spans="1:23" x14ac:dyDescent="0.3">
      <c r="A618" s="6">
        <v>1148</v>
      </c>
      <c r="B618" s="7" t="s">
        <v>88</v>
      </c>
      <c r="C618" t="s">
        <v>265</v>
      </c>
      <c r="D618" t="s">
        <v>105</v>
      </c>
      <c r="E618" s="8">
        <v>15.99</v>
      </c>
      <c r="F618" s="6">
        <v>259</v>
      </c>
      <c r="G618" s="7" t="s">
        <v>26</v>
      </c>
      <c r="H618" s="6">
        <v>1</v>
      </c>
      <c r="I618" s="6">
        <v>5</v>
      </c>
      <c r="J618" s="7" t="b">
        <v>1</v>
      </c>
      <c r="K618" s="6">
        <v>597</v>
      </c>
      <c r="L618" s="6">
        <v>165</v>
      </c>
      <c r="M618" s="7" t="s">
        <v>74</v>
      </c>
      <c r="N618" s="7" t="s">
        <v>75</v>
      </c>
      <c r="O618" s="7" t="s">
        <v>37</v>
      </c>
      <c r="P618" s="5">
        <v>33</v>
      </c>
      <c r="Q618" s="4">
        <v>4.2</v>
      </c>
      <c r="R618" s="7" t="b">
        <v>1</v>
      </c>
      <c r="S618" s="7" t="s">
        <v>30</v>
      </c>
      <c r="T618" s="5">
        <v>668</v>
      </c>
      <c r="U618" s="7" t="s">
        <v>76</v>
      </c>
      <c r="V618" t="s">
        <v>39</v>
      </c>
      <c r="W618" s="7" t="s">
        <v>60</v>
      </c>
    </row>
    <row r="619" spans="1:23" x14ac:dyDescent="0.3">
      <c r="A619" s="6">
        <v>3745</v>
      </c>
      <c r="B619" s="7" t="s">
        <v>325</v>
      </c>
      <c r="C619" s="1">
        <v>45635</v>
      </c>
      <c r="D619" t="s">
        <v>129</v>
      </c>
      <c r="E619" s="8">
        <v>11.99</v>
      </c>
      <c r="F619" s="6">
        <v>81</v>
      </c>
      <c r="G619" s="7" t="s">
        <v>100</v>
      </c>
      <c r="H619" s="6">
        <v>2</v>
      </c>
      <c r="I619" s="6">
        <v>4</v>
      </c>
      <c r="J619" s="7" t="b">
        <v>0</v>
      </c>
      <c r="K619" s="6">
        <v>451</v>
      </c>
      <c r="L619" s="6">
        <v>49</v>
      </c>
      <c r="M619" s="7" t="s">
        <v>43</v>
      </c>
      <c r="N619" s="7" t="s">
        <v>44</v>
      </c>
      <c r="O619" s="7" t="s">
        <v>64</v>
      </c>
      <c r="P619" s="5">
        <v>11</v>
      </c>
      <c r="Q619" s="4">
        <v>4.7</v>
      </c>
      <c r="R619" s="7" t="b">
        <v>1</v>
      </c>
      <c r="S619" s="7" t="s">
        <v>30</v>
      </c>
      <c r="T619" s="5">
        <v>3282</v>
      </c>
      <c r="U619" s="7" t="s">
        <v>76</v>
      </c>
      <c r="V619" t="s">
        <v>32</v>
      </c>
      <c r="W619" s="7" t="s">
        <v>33</v>
      </c>
    </row>
    <row r="620" spans="1:23" x14ac:dyDescent="0.3">
      <c r="A620" s="6">
        <v>5084</v>
      </c>
      <c r="B620" s="7" t="s">
        <v>599</v>
      </c>
      <c r="C620" t="s">
        <v>195</v>
      </c>
      <c r="D620" t="s">
        <v>82</v>
      </c>
      <c r="E620" s="8">
        <v>11.99</v>
      </c>
      <c r="F620" s="6">
        <v>135</v>
      </c>
      <c r="G620" s="7" t="s">
        <v>26</v>
      </c>
      <c r="H620" s="6">
        <v>4</v>
      </c>
      <c r="I620" s="6">
        <v>6</v>
      </c>
      <c r="J620" s="7" t="b">
        <v>0</v>
      </c>
      <c r="K620" s="6">
        <v>50</v>
      </c>
      <c r="L620" s="6">
        <v>15</v>
      </c>
      <c r="M620" s="7" t="s">
        <v>43</v>
      </c>
      <c r="N620" s="7" t="s">
        <v>56</v>
      </c>
      <c r="O620" s="7" t="s">
        <v>78</v>
      </c>
      <c r="P620" s="5">
        <v>91</v>
      </c>
      <c r="Q620" s="4">
        <v>4.4000000000000004</v>
      </c>
      <c r="R620" s="7" t="b">
        <v>0</v>
      </c>
      <c r="S620" s="7" t="s">
        <v>30</v>
      </c>
      <c r="T620" s="5">
        <v>1510</v>
      </c>
      <c r="U620" s="7" t="s">
        <v>58</v>
      </c>
      <c r="V620" t="s">
        <v>79</v>
      </c>
      <c r="W620" s="7" t="s">
        <v>33</v>
      </c>
    </row>
    <row r="621" spans="1:23" x14ac:dyDescent="0.3">
      <c r="A621" s="6">
        <v>7179</v>
      </c>
      <c r="B621" s="7" t="s">
        <v>157</v>
      </c>
      <c r="C621" s="1">
        <v>45178</v>
      </c>
      <c r="D621" t="s">
        <v>168</v>
      </c>
      <c r="E621" s="8">
        <v>11.99</v>
      </c>
      <c r="F621" s="6">
        <v>465</v>
      </c>
      <c r="G621" s="7" t="s">
        <v>73</v>
      </c>
      <c r="H621" s="6">
        <v>2</v>
      </c>
      <c r="I621" s="6">
        <v>3</v>
      </c>
      <c r="J621" s="7" t="b">
        <v>1</v>
      </c>
      <c r="K621" s="6">
        <v>987</v>
      </c>
      <c r="L621" s="6">
        <v>91</v>
      </c>
      <c r="M621" s="7" t="s">
        <v>92</v>
      </c>
      <c r="N621" s="7" t="s">
        <v>44</v>
      </c>
      <c r="O621" s="7" t="s">
        <v>45</v>
      </c>
      <c r="P621" s="5">
        <v>8</v>
      </c>
      <c r="Q621" s="4">
        <v>4.5999999999999996</v>
      </c>
      <c r="R621" s="7" t="b">
        <v>1</v>
      </c>
      <c r="S621" s="7" t="s">
        <v>30</v>
      </c>
      <c r="T621" s="5">
        <v>1206</v>
      </c>
      <c r="U621" s="7" t="s">
        <v>31</v>
      </c>
      <c r="V621" t="s">
        <v>32</v>
      </c>
      <c r="W621" s="7" t="s">
        <v>60</v>
      </c>
    </row>
    <row r="622" spans="1:23" x14ac:dyDescent="0.3">
      <c r="A622" s="6">
        <v>1005</v>
      </c>
      <c r="B622" s="7" t="s">
        <v>304</v>
      </c>
      <c r="C622" t="s">
        <v>402</v>
      </c>
      <c r="D622" s="1">
        <v>45577</v>
      </c>
      <c r="E622" s="8">
        <v>11.99</v>
      </c>
      <c r="F622" s="6">
        <v>163</v>
      </c>
      <c r="G622" s="7" t="s">
        <v>63</v>
      </c>
      <c r="H622" s="6">
        <v>2</v>
      </c>
      <c r="I622" s="6">
        <v>1</v>
      </c>
      <c r="J622" s="7" t="b">
        <v>0</v>
      </c>
      <c r="K622" s="6">
        <v>817</v>
      </c>
      <c r="L622" s="6">
        <v>182</v>
      </c>
      <c r="M622" s="7" t="s">
        <v>55</v>
      </c>
      <c r="N622" s="7" t="s">
        <v>56</v>
      </c>
      <c r="O622" s="7" t="s">
        <v>64</v>
      </c>
      <c r="P622" s="5">
        <v>43</v>
      </c>
      <c r="Q622" s="4">
        <v>4.5999999999999996</v>
      </c>
      <c r="R622" s="7" t="b">
        <v>1</v>
      </c>
      <c r="S622" s="7" t="s">
        <v>30</v>
      </c>
      <c r="T622" s="5">
        <v>168</v>
      </c>
      <c r="U622" s="7" t="s">
        <v>65</v>
      </c>
      <c r="V622" t="s">
        <v>79</v>
      </c>
      <c r="W622" s="7" t="s">
        <v>93</v>
      </c>
    </row>
    <row r="623" spans="1:23" x14ac:dyDescent="0.3">
      <c r="A623" s="6">
        <v>6405</v>
      </c>
      <c r="B623" s="7" t="s">
        <v>598</v>
      </c>
      <c r="C623" t="s">
        <v>600</v>
      </c>
      <c r="D623" s="1">
        <v>45608</v>
      </c>
      <c r="E623" s="8">
        <v>11.99</v>
      </c>
      <c r="F623" s="6">
        <v>321</v>
      </c>
      <c r="G623" s="7" t="s">
        <v>73</v>
      </c>
      <c r="H623" s="6">
        <v>1</v>
      </c>
      <c r="I623" s="6">
        <v>6</v>
      </c>
      <c r="J623" s="7" t="b">
        <v>1</v>
      </c>
      <c r="K623" s="6">
        <v>361</v>
      </c>
      <c r="L623" s="6">
        <v>12</v>
      </c>
      <c r="M623" s="7" t="s">
        <v>55</v>
      </c>
      <c r="N623" s="7" t="s">
        <v>75</v>
      </c>
      <c r="O623" s="7" t="s">
        <v>37</v>
      </c>
      <c r="P623" s="5">
        <v>72</v>
      </c>
      <c r="Q623" s="4">
        <v>4.9000000000000004</v>
      </c>
      <c r="R623" s="7" t="b">
        <v>1</v>
      </c>
      <c r="S623" s="7" t="s">
        <v>30</v>
      </c>
      <c r="T623" s="5">
        <v>1303</v>
      </c>
      <c r="U623" s="7" t="s">
        <v>76</v>
      </c>
      <c r="V623" t="s">
        <v>59</v>
      </c>
      <c r="W623" s="7" t="s">
        <v>33</v>
      </c>
    </row>
    <row r="624" spans="1:23" x14ac:dyDescent="0.3">
      <c r="A624" s="6">
        <v>5215</v>
      </c>
      <c r="B624" s="7" t="s">
        <v>41</v>
      </c>
      <c r="C624" t="s">
        <v>412</v>
      </c>
      <c r="D624" t="s">
        <v>72</v>
      </c>
      <c r="E624" s="8">
        <v>7.99</v>
      </c>
      <c r="F624" s="6">
        <v>212</v>
      </c>
      <c r="G624" s="7" t="s">
        <v>100</v>
      </c>
      <c r="H624" s="6">
        <v>5</v>
      </c>
      <c r="I624" s="6">
        <v>5</v>
      </c>
      <c r="J624" s="7" t="b">
        <v>0</v>
      </c>
      <c r="K624" s="6">
        <v>146</v>
      </c>
      <c r="L624" s="6">
        <v>147</v>
      </c>
      <c r="M624" s="7" t="s">
        <v>49</v>
      </c>
      <c r="N624" s="7" t="s">
        <v>44</v>
      </c>
      <c r="O624" s="7" t="s">
        <v>78</v>
      </c>
      <c r="P624" s="5">
        <v>23</v>
      </c>
      <c r="Q624" s="4">
        <v>3.4</v>
      </c>
      <c r="R624" s="7" t="b">
        <v>0</v>
      </c>
      <c r="S624" s="7" t="s">
        <v>30</v>
      </c>
      <c r="T624" s="5">
        <v>1365</v>
      </c>
      <c r="U624" s="7" t="s">
        <v>58</v>
      </c>
      <c r="V624" t="s">
        <v>59</v>
      </c>
      <c r="W624" s="7" t="s">
        <v>93</v>
      </c>
    </row>
    <row r="625" spans="1:23" x14ac:dyDescent="0.3">
      <c r="A625" s="6">
        <v>7525</v>
      </c>
      <c r="B625" s="7" t="s">
        <v>318</v>
      </c>
      <c r="C625" t="s">
        <v>601</v>
      </c>
      <c r="D625" t="s">
        <v>103</v>
      </c>
      <c r="E625" s="8">
        <v>15.99</v>
      </c>
      <c r="F625" s="6">
        <v>453</v>
      </c>
      <c r="G625" s="7" t="s">
        <v>26</v>
      </c>
      <c r="H625" s="6">
        <v>1</v>
      </c>
      <c r="I625" s="6">
        <v>4</v>
      </c>
      <c r="J625" s="7" t="b">
        <v>0</v>
      </c>
      <c r="K625" s="6">
        <v>313</v>
      </c>
      <c r="L625" s="6">
        <v>1</v>
      </c>
      <c r="M625" s="7" t="s">
        <v>74</v>
      </c>
      <c r="N625" s="7" t="s">
        <v>28</v>
      </c>
      <c r="O625" s="7" t="s">
        <v>64</v>
      </c>
      <c r="P625" s="5">
        <v>7</v>
      </c>
      <c r="Q625" s="4">
        <v>3.7</v>
      </c>
      <c r="R625" s="7" t="b">
        <v>1</v>
      </c>
      <c r="S625" s="7" t="s">
        <v>30</v>
      </c>
      <c r="T625" s="5">
        <v>1563</v>
      </c>
      <c r="U625" s="7" t="s">
        <v>58</v>
      </c>
      <c r="V625" t="s">
        <v>39</v>
      </c>
      <c r="W625" s="7" t="s">
        <v>60</v>
      </c>
    </row>
    <row r="626" spans="1:23" x14ac:dyDescent="0.3">
      <c r="A626" s="6">
        <v>9115</v>
      </c>
      <c r="B626" s="7" t="s">
        <v>88</v>
      </c>
      <c r="C626" t="s">
        <v>324</v>
      </c>
      <c r="D626" t="s">
        <v>72</v>
      </c>
      <c r="E626" s="8">
        <v>11.99</v>
      </c>
      <c r="F626" s="6">
        <v>34</v>
      </c>
      <c r="G626" s="7" t="s">
        <v>73</v>
      </c>
      <c r="H626" s="6">
        <v>1</v>
      </c>
      <c r="I626" s="6">
        <v>1</v>
      </c>
      <c r="J626" s="7" t="b">
        <v>0</v>
      </c>
      <c r="K626" s="6">
        <v>80</v>
      </c>
      <c r="L626" s="6">
        <v>71</v>
      </c>
      <c r="M626" s="7" t="s">
        <v>43</v>
      </c>
      <c r="N626" s="7" t="s">
        <v>56</v>
      </c>
      <c r="O626" s="7" t="s">
        <v>37</v>
      </c>
      <c r="P626" s="5">
        <v>55</v>
      </c>
      <c r="Q626" s="4">
        <v>3.6</v>
      </c>
      <c r="R626" s="7" t="b">
        <v>0</v>
      </c>
      <c r="S626" s="7" t="s">
        <v>30</v>
      </c>
      <c r="T626" s="5">
        <v>1172</v>
      </c>
      <c r="U626" s="7" t="s">
        <v>65</v>
      </c>
      <c r="V626" t="s">
        <v>69</v>
      </c>
      <c r="W626" s="7" t="s">
        <v>33</v>
      </c>
    </row>
    <row r="627" spans="1:23" x14ac:dyDescent="0.3">
      <c r="A627" s="6">
        <v>6454</v>
      </c>
      <c r="B627" s="7" t="s">
        <v>191</v>
      </c>
      <c r="C627" s="1">
        <v>45508</v>
      </c>
      <c r="D627" t="s">
        <v>35</v>
      </c>
      <c r="E627" s="8">
        <v>15.99</v>
      </c>
      <c r="F627" s="6">
        <v>197</v>
      </c>
      <c r="G627" s="7" t="s">
        <v>73</v>
      </c>
      <c r="H627" s="6">
        <v>1</v>
      </c>
      <c r="I627" s="6">
        <v>4</v>
      </c>
      <c r="J627" s="7" t="b">
        <v>1</v>
      </c>
      <c r="K627" s="6">
        <v>860</v>
      </c>
      <c r="L627" s="6">
        <v>42</v>
      </c>
      <c r="M627" s="7" t="s">
        <v>27</v>
      </c>
      <c r="N627" s="7" t="s">
        <v>56</v>
      </c>
      <c r="O627" s="7" t="s">
        <v>78</v>
      </c>
      <c r="P627" s="5">
        <v>97</v>
      </c>
      <c r="Q627" s="4">
        <v>4</v>
      </c>
      <c r="R627" s="7" t="b">
        <v>1</v>
      </c>
      <c r="S627" s="7" t="s">
        <v>30</v>
      </c>
      <c r="T627" s="5">
        <v>1704</v>
      </c>
      <c r="U627" s="7" t="s">
        <v>76</v>
      </c>
      <c r="V627" t="s">
        <v>32</v>
      </c>
      <c r="W627" s="7" t="s">
        <v>93</v>
      </c>
    </row>
    <row r="628" spans="1:23" x14ac:dyDescent="0.3">
      <c r="A628" s="6">
        <v>4781</v>
      </c>
      <c r="B628" s="7" t="s">
        <v>602</v>
      </c>
      <c r="C628" t="s">
        <v>371</v>
      </c>
      <c r="D628" s="1">
        <v>45303</v>
      </c>
      <c r="E628" s="8">
        <v>15.99</v>
      </c>
      <c r="F628" s="6">
        <v>361</v>
      </c>
      <c r="G628" s="7" t="s">
        <v>73</v>
      </c>
      <c r="H628" s="6">
        <v>5</v>
      </c>
      <c r="I628" s="6">
        <v>3</v>
      </c>
      <c r="J628" s="7" t="b">
        <v>1</v>
      </c>
      <c r="K628" s="6">
        <v>67</v>
      </c>
      <c r="L628" s="6">
        <v>66</v>
      </c>
      <c r="M628" s="7" t="s">
        <v>55</v>
      </c>
      <c r="N628" s="7" t="s">
        <v>28</v>
      </c>
      <c r="O628" s="7" t="s">
        <v>37</v>
      </c>
      <c r="P628" s="5">
        <v>3</v>
      </c>
      <c r="Q628" s="4">
        <v>3.7</v>
      </c>
      <c r="R628" s="7" t="b">
        <v>1</v>
      </c>
      <c r="S628" s="7" t="s">
        <v>30</v>
      </c>
      <c r="T628" s="5">
        <v>4421</v>
      </c>
      <c r="U628" s="7" t="s">
        <v>76</v>
      </c>
      <c r="V628" t="s">
        <v>79</v>
      </c>
      <c r="W628" s="7" t="s">
        <v>40</v>
      </c>
    </row>
    <row r="629" spans="1:23" x14ac:dyDescent="0.3">
      <c r="A629" s="6">
        <v>5040</v>
      </c>
      <c r="B629" s="7" t="s">
        <v>603</v>
      </c>
      <c r="C629" s="1">
        <v>45028</v>
      </c>
      <c r="D629" s="1">
        <v>45334</v>
      </c>
      <c r="E629" s="8">
        <v>11.99</v>
      </c>
      <c r="F629" s="6">
        <v>166</v>
      </c>
      <c r="G629" s="7" t="s">
        <v>48</v>
      </c>
      <c r="H629" s="6">
        <v>5</v>
      </c>
      <c r="I629" s="6">
        <v>2</v>
      </c>
      <c r="J629" s="7" t="b">
        <v>1</v>
      </c>
      <c r="K629" s="6">
        <v>178</v>
      </c>
      <c r="L629" s="6">
        <v>61</v>
      </c>
      <c r="M629" s="7" t="s">
        <v>92</v>
      </c>
      <c r="N629" s="7" t="s">
        <v>44</v>
      </c>
      <c r="O629" s="7" t="s">
        <v>78</v>
      </c>
      <c r="P629" s="5">
        <v>30</v>
      </c>
      <c r="Q629" s="4">
        <v>3.1</v>
      </c>
      <c r="R629" s="7" t="b">
        <v>0</v>
      </c>
      <c r="S629" s="7" t="s">
        <v>30</v>
      </c>
      <c r="T629" s="5">
        <v>2964</v>
      </c>
      <c r="U629" s="7" t="s">
        <v>31</v>
      </c>
      <c r="V629" t="s">
        <v>59</v>
      </c>
      <c r="W629" s="7" t="s">
        <v>33</v>
      </c>
    </row>
    <row r="630" spans="1:23" x14ac:dyDescent="0.3">
      <c r="A630" s="6">
        <v>3209</v>
      </c>
      <c r="B630" s="7" t="s">
        <v>347</v>
      </c>
      <c r="C630" t="s">
        <v>576</v>
      </c>
      <c r="D630" t="s">
        <v>214</v>
      </c>
      <c r="E630" s="8">
        <v>7.99</v>
      </c>
      <c r="F630" s="6">
        <v>168</v>
      </c>
      <c r="G630" s="7" t="s">
        <v>51</v>
      </c>
      <c r="H630" s="6">
        <v>3</v>
      </c>
      <c r="I630" s="6">
        <v>1</v>
      </c>
      <c r="J630" s="7" t="b">
        <v>0</v>
      </c>
      <c r="K630" s="6">
        <v>113</v>
      </c>
      <c r="L630" s="6">
        <v>85</v>
      </c>
      <c r="M630" s="7" t="s">
        <v>49</v>
      </c>
      <c r="N630" s="7" t="s">
        <v>75</v>
      </c>
      <c r="O630" s="7" t="s">
        <v>57</v>
      </c>
      <c r="P630" s="5">
        <v>52</v>
      </c>
      <c r="Q630" s="4">
        <v>4.7</v>
      </c>
      <c r="R630" s="7" t="b">
        <v>0</v>
      </c>
      <c r="S630" s="7" t="s">
        <v>30</v>
      </c>
      <c r="T630" s="5">
        <v>1094</v>
      </c>
      <c r="U630" s="7" t="s">
        <v>31</v>
      </c>
      <c r="V630" t="s">
        <v>59</v>
      </c>
      <c r="W630" s="7" t="s">
        <v>40</v>
      </c>
    </row>
    <row r="631" spans="1:23" x14ac:dyDescent="0.3">
      <c r="A631" s="6">
        <v>8703</v>
      </c>
      <c r="B631" s="7" t="s">
        <v>254</v>
      </c>
      <c r="C631" s="1">
        <v>45450</v>
      </c>
      <c r="D631" t="s">
        <v>82</v>
      </c>
      <c r="E631" s="8">
        <v>15.99</v>
      </c>
      <c r="F631" s="6">
        <v>336</v>
      </c>
      <c r="G631" s="7" t="s">
        <v>36</v>
      </c>
      <c r="H631" s="6">
        <v>1</v>
      </c>
      <c r="I631" s="6">
        <v>4</v>
      </c>
      <c r="J631" s="7" t="b">
        <v>1</v>
      </c>
      <c r="K631" s="6">
        <v>855</v>
      </c>
      <c r="L631" s="6">
        <v>186</v>
      </c>
      <c r="M631" s="7" t="s">
        <v>43</v>
      </c>
      <c r="N631" s="7" t="s">
        <v>28</v>
      </c>
      <c r="O631" s="7" t="s">
        <v>45</v>
      </c>
      <c r="P631" s="5">
        <v>54</v>
      </c>
      <c r="Q631" s="4">
        <v>3.6</v>
      </c>
      <c r="R631" s="7" t="b">
        <v>0</v>
      </c>
      <c r="S631" s="7" t="s">
        <v>30</v>
      </c>
      <c r="T631" s="5">
        <v>3674</v>
      </c>
      <c r="U631" s="7" t="s">
        <v>76</v>
      </c>
      <c r="V631" t="s">
        <v>39</v>
      </c>
      <c r="W631" s="7" t="s">
        <v>33</v>
      </c>
    </row>
    <row r="632" spans="1:23" x14ac:dyDescent="0.3">
      <c r="A632" s="6">
        <v>2536</v>
      </c>
      <c r="B632" s="7" t="s">
        <v>272</v>
      </c>
      <c r="C632" t="s">
        <v>358</v>
      </c>
      <c r="D632" t="s">
        <v>42</v>
      </c>
      <c r="E632" s="8">
        <v>15.99</v>
      </c>
      <c r="F632" s="6">
        <v>212</v>
      </c>
      <c r="G632" s="7" t="s">
        <v>63</v>
      </c>
      <c r="H632" s="6">
        <v>2</v>
      </c>
      <c r="I632" s="6">
        <v>4</v>
      </c>
      <c r="J632" s="7" t="b">
        <v>0</v>
      </c>
      <c r="K632" s="6">
        <v>608</v>
      </c>
      <c r="L632" s="6">
        <v>96</v>
      </c>
      <c r="M632" s="7" t="s">
        <v>92</v>
      </c>
      <c r="N632" s="7" t="s">
        <v>75</v>
      </c>
      <c r="O632" s="7" t="s">
        <v>45</v>
      </c>
      <c r="P632" s="5">
        <v>76</v>
      </c>
      <c r="Q632" s="4">
        <v>4</v>
      </c>
      <c r="R632" s="7" t="b">
        <v>0</v>
      </c>
      <c r="S632" s="7" t="s">
        <v>30</v>
      </c>
      <c r="T632" s="5">
        <v>296</v>
      </c>
      <c r="U632" s="7" t="s">
        <v>58</v>
      </c>
      <c r="V632" t="s">
        <v>79</v>
      </c>
      <c r="W632" s="7" t="s">
        <v>93</v>
      </c>
    </row>
    <row r="633" spans="1:23" x14ac:dyDescent="0.3">
      <c r="A633" s="6">
        <v>2057</v>
      </c>
      <c r="B633" s="7" t="s">
        <v>604</v>
      </c>
      <c r="C633" t="s">
        <v>605</v>
      </c>
      <c r="D633" t="s">
        <v>109</v>
      </c>
      <c r="E633" s="8">
        <v>7.99</v>
      </c>
      <c r="F633" s="6">
        <v>185</v>
      </c>
      <c r="G633" s="7" t="s">
        <v>63</v>
      </c>
      <c r="H633" s="6">
        <v>3</v>
      </c>
      <c r="I633" s="6">
        <v>6</v>
      </c>
      <c r="J633" s="7" t="b">
        <v>1</v>
      </c>
      <c r="K633" s="6">
        <v>804</v>
      </c>
      <c r="L633" s="6">
        <v>49</v>
      </c>
      <c r="M633" s="7" t="s">
        <v>27</v>
      </c>
      <c r="N633" s="7" t="s">
        <v>56</v>
      </c>
      <c r="O633" s="7" t="s">
        <v>45</v>
      </c>
      <c r="P633" s="5">
        <v>32</v>
      </c>
      <c r="Q633" s="4">
        <v>4.0999999999999996</v>
      </c>
      <c r="R633" s="7" t="b">
        <v>0</v>
      </c>
      <c r="S633" s="7" t="s">
        <v>30</v>
      </c>
      <c r="T633" s="5">
        <v>4164</v>
      </c>
      <c r="U633" s="7" t="s">
        <v>31</v>
      </c>
      <c r="V633" t="s">
        <v>32</v>
      </c>
      <c r="W633" s="7" t="s">
        <v>60</v>
      </c>
    </row>
    <row r="634" spans="1:23" x14ac:dyDescent="0.3">
      <c r="A634" s="6">
        <v>5627</v>
      </c>
      <c r="B634" s="7" t="s">
        <v>606</v>
      </c>
      <c r="C634" s="1">
        <v>45474</v>
      </c>
      <c r="D634" s="1">
        <v>45424</v>
      </c>
      <c r="E634" s="8">
        <v>11.99</v>
      </c>
      <c r="F634" s="6">
        <v>124</v>
      </c>
      <c r="G634" s="7" t="s">
        <v>48</v>
      </c>
      <c r="H634" s="6">
        <v>4</v>
      </c>
      <c r="I634" s="6">
        <v>2</v>
      </c>
      <c r="J634" s="7" t="b">
        <v>1</v>
      </c>
      <c r="K634" s="6">
        <v>207</v>
      </c>
      <c r="L634" s="6">
        <v>140</v>
      </c>
      <c r="M634" s="7" t="s">
        <v>27</v>
      </c>
      <c r="N634" s="7" t="s">
        <v>75</v>
      </c>
      <c r="O634" s="7" t="s">
        <v>29</v>
      </c>
      <c r="P634" s="5">
        <v>44</v>
      </c>
      <c r="Q634" s="4">
        <v>4.8</v>
      </c>
      <c r="R634" s="7" t="b">
        <v>1</v>
      </c>
      <c r="S634" s="7" t="s">
        <v>30</v>
      </c>
      <c r="T634" s="5">
        <v>3349</v>
      </c>
      <c r="U634" s="7" t="s">
        <v>65</v>
      </c>
      <c r="V634" t="s">
        <v>69</v>
      </c>
      <c r="W634" s="7" t="s">
        <v>40</v>
      </c>
    </row>
    <row r="635" spans="1:23" x14ac:dyDescent="0.3">
      <c r="A635" s="6">
        <v>4763</v>
      </c>
      <c r="B635" s="7" t="s">
        <v>266</v>
      </c>
      <c r="C635" s="1">
        <v>45628</v>
      </c>
      <c r="D635" s="1">
        <v>45424</v>
      </c>
      <c r="E635" s="8">
        <v>15.99</v>
      </c>
      <c r="F635" s="6">
        <v>256</v>
      </c>
      <c r="G635" s="7" t="s">
        <v>26</v>
      </c>
      <c r="H635" s="6">
        <v>1</v>
      </c>
      <c r="I635" s="6">
        <v>1</v>
      </c>
      <c r="J635" s="7" t="b">
        <v>0</v>
      </c>
      <c r="K635" s="6">
        <v>118</v>
      </c>
      <c r="L635" s="6">
        <v>104</v>
      </c>
      <c r="M635" s="7" t="s">
        <v>68</v>
      </c>
      <c r="N635" s="7" t="s">
        <v>44</v>
      </c>
      <c r="O635" s="7" t="s">
        <v>45</v>
      </c>
      <c r="P635" s="5">
        <v>8</v>
      </c>
      <c r="Q635" s="4">
        <v>3.5</v>
      </c>
      <c r="R635" s="7" t="b">
        <v>0</v>
      </c>
      <c r="S635" s="7" t="s">
        <v>30</v>
      </c>
      <c r="T635" s="5">
        <v>2830</v>
      </c>
      <c r="U635" s="7" t="s">
        <v>38</v>
      </c>
      <c r="V635" t="s">
        <v>69</v>
      </c>
      <c r="W635" s="7" t="s">
        <v>40</v>
      </c>
    </row>
    <row r="636" spans="1:23" x14ac:dyDescent="0.3">
      <c r="A636" s="6">
        <v>4577</v>
      </c>
      <c r="B636" s="7" t="s">
        <v>190</v>
      </c>
      <c r="C636" t="s">
        <v>523</v>
      </c>
      <c r="D636" s="1">
        <v>45608</v>
      </c>
      <c r="E636" s="8">
        <v>11.99</v>
      </c>
      <c r="F636" s="6">
        <v>58</v>
      </c>
      <c r="G636" s="7" t="s">
        <v>73</v>
      </c>
      <c r="H636" s="6">
        <v>1</v>
      </c>
      <c r="I636" s="6">
        <v>6</v>
      </c>
      <c r="J636" s="7" t="b">
        <v>0</v>
      </c>
      <c r="K636" s="6">
        <v>983</v>
      </c>
      <c r="L636" s="6">
        <v>8</v>
      </c>
      <c r="M636" s="7" t="s">
        <v>49</v>
      </c>
      <c r="N636" s="7" t="s">
        <v>56</v>
      </c>
      <c r="O636" s="7" t="s">
        <v>64</v>
      </c>
      <c r="P636" s="5">
        <v>75</v>
      </c>
      <c r="Q636" s="4">
        <v>4.3</v>
      </c>
      <c r="R636" s="7" t="b">
        <v>1</v>
      </c>
      <c r="S636" s="7" t="s">
        <v>30</v>
      </c>
      <c r="T636" s="5">
        <v>2409</v>
      </c>
      <c r="U636" s="7" t="s">
        <v>76</v>
      </c>
      <c r="V636" t="s">
        <v>79</v>
      </c>
      <c r="W636" s="7" t="s">
        <v>93</v>
      </c>
    </row>
    <row r="637" spans="1:23" x14ac:dyDescent="0.3">
      <c r="A637" s="6">
        <v>5216</v>
      </c>
      <c r="B637" s="7" t="s">
        <v>367</v>
      </c>
      <c r="C637" t="s">
        <v>607</v>
      </c>
      <c r="D637" t="s">
        <v>134</v>
      </c>
      <c r="E637" s="8">
        <v>15.99</v>
      </c>
      <c r="F637" s="6">
        <v>135</v>
      </c>
      <c r="G637" s="7" t="s">
        <v>73</v>
      </c>
      <c r="H637" s="6">
        <v>3</v>
      </c>
      <c r="I637" s="6">
        <v>2</v>
      </c>
      <c r="J637" s="7" t="b">
        <v>0</v>
      </c>
      <c r="K637" s="6">
        <v>523</v>
      </c>
      <c r="L637" s="6">
        <v>159</v>
      </c>
      <c r="M637" s="7" t="s">
        <v>27</v>
      </c>
      <c r="N637" s="7" t="s">
        <v>44</v>
      </c>
      <c r="O637" s="7" t="s">
        <v>29</v>
      </c>
      <c r="P637" s="5">
        <v>11</v>
      </c>
      <c r="Q637" s="4">
        <v>4.8</v>
      </c>
      <c r="R637" s="7" t="b">
        <v>1</v>
      </c>
      <c r="S637" s="7" t="s">
        <v>30</v>
      </c>
      <c r="T637" s="5">
        <v>2872</v>
      </c>
      <c r="U637" s="7" t="s">
        <v>65</v>
      </c>
      <c r="V637" t="s">
        <v>39</v>
      </c>
      <c r="W637" s="7" t="s">
        <v>33</v>
      </c>
    </row>
    <row r="638" spans="1:23" x14ac:dyDescent="0.3">
      <c r="A638" s="6">
        <v>3941</v>
      </c>
      <c r="B638" s="7" t="s">
        <v>608</v>
      </c>
      <c r="C638" t="s">
        <v>454</v>
      </c>
      <c r="D638" t="s">
        <v>168</v>
      </c>
      <c r="E638" s="8">
        <v>11.99</v>
      </c>
      <c r="F638" s="6">
        <v>163</v>
      </c>
      <c r="G638" s="7" t="s">
        <v>100</v>
      </c>
      <c r="H638" s="6">
        <v>5</v>
      </c>
      <c r="I638" s="6">
        <v>2</v>
      </c>
      <c r="J638" s="7" t="b">
        <v>0</v>
      </c>
      <c r="K638" s="6">
        <v>786</v>
      </c>
      <c r="L638" s="6">
        <v>94</v>
      </c>
      <c r="M638" s="7" t="s">
        <v>49</v>
      </c>
      <c r="N638" s="7" t="s">
        <v>75</v>
      </c>
      <c r="O638" s="7" t="s">
        <v>45</v>
      </c>
      <c r="P638" s="5">
        <v>18</v>
      </c>
      <c r="Q638" s="4">
        <v>4.5999999999999996</v>
      </c>
      <c r="R638" s="7" t="b">
        <v>1</v>
      </c>
      <c r="S638" s="7" t="s">
        <v>30</v>
      </c>
      <c r="T638" s="5">
        <v>1364</v>
      </c>
      <c r="U638" s="7" t="s">
        <v>65</v>
      </c>
      <c r="V638" t="s">
        <v>39</v>
      </c>
      <c r="W638" s="7" t="s">
        <v>40</v>
      </c>
    </row>
    <row r="639" spans="1:23" x14ac:dyDescent="0.3">
      <c r="A639" s="6">
        <v>4396</v>
      </c>
      <c r="B639" s="7" t="s">
        <v>234</v>
      </c>
      <c r="C639" s="1">
        <v>44958</v>
      </c>
      <c r="D639" t="s">
        <v>72</v>
      </c>
      <c r="E639" s="8">
        <v>15.99</v>
      </c>
      <c r="F639" s="6">
        <v>120</v>
      </c>
      <c r="G639" s="7" t="s">
        <v>36</v>
      </c>
      <c r="H639" s="6">
        <v>2</v>
      </c>
      <c r="I639" s="6">
        <v>3</v>
      </c>
      <c r="J639" s="7" t="b">
        <v>0</v>
      </c>
      <c r="K639" s="6">
        <v>781</v>
      </c>
      <c r="L639" s="6">
        <v>97</v>
      </c>
      <c r="M639" s="7" t="s">
        <v>43</v>
      </c>
      <c r="N639" s="7" t="s">
        <v>56</v>
      </c>
      <c r="O639" s="7" t="s">
        <v>64</v>
      </c>
      <c r="P639" s="5">
        <v>46</v>
      </c>
      <c r="Q639" s="4">
        <v>3.3</v>
      </c>
      <c r="R639" s="7" t="b">
        <v>1</v>
      </c>
      <c r="S639" s="7" t="s">
        <v>30</v>
      </c>
      <c r="T639" s="5">
        <v>473</v>
      </c>
      <c r="U639" s="7" t="s">
        <v>58</v>
      </c>
      <c r="V639" t="s">
        <v>59</v>
      </c>
      <c r="W639" s="7" t="s">
        <v>40</v>
      </c>
    </row>
    <row r="640" spans="1:23" x14ac:dyDescent="0.3">
      <c r="A640" s="6">
        <v>4865</v>
      </c>
      <c r="B640" s="7" t="s">
        <v>98</v>
      </c>
      <c r="C640" t="s">
        <v>609</v>
      </c>
      <c r="D640" t="s">
        <v>105</v>
      </c>
      <c r="E640" s="8">
        <v>7.99</v>
      </c>
      <c r="F640" s="6">
        <v>439</v>
      </c>
      <c r="G640" s="7" t="s">
        <v>48</v>
      </c>
      <c r="H640" s="6">
        <v>1</v>
      </c>
      <c r="I640" s="6">
        <v>5</v>
      </c>
      <c r="J640" s="7" t="b">
        <v>1</v>
      </c>
      <c r="K640" s="6">
        <v>434</v>
      </c>
      <c r="L640" s="6">
        <v>104</v>
      </c>
      <c r="M640" s="7" t="s">
        <v>92</v>
      </c>
      <c r="N640" s="7" t="s">
        <v>28</v>
      </c>
      <c r="O640" s="7" t="s">
        <v>29</v>
      </c>
      <c r="P640" s="5">
        <v>36</v>
      </c>
      <c r="Q640" s="4">
        <v>4.5</v>
      </c>
      <c r="R640" s="7" t="b">
        <v>1</v>
      </c>
      <c r="S640" s="7" t="s">
        <v>30</v>
      </c>
      <c r="T640" s="5">
        <v>4883</v>
      </c>
      <c r="U640" s="7" t="s">
        <v>31</v>
      </c>
      <c r="V640" t="s">
        <v>79</v>
      </c>
      <c r="W640" s="7" t="s">
        <v>60</v>
      </c>
    </row>
    <row r="641" spans="1:23" x14ac:dyDescent="0.3">
      <c r="A641" s="6">
        <v>2497</v>
      </c>
      <c r="B641" s="7" t="s">
        <v>382</v>
      </c>
      <c r="C641" t="s">
        <v>410</v>
      </c>
      <c r="D641" t="s">
        <v>90</v>
      </c>
      <c r="E641" s="8">
        <v>7.99</v>
      </c>
      <c r="F641" s="6">
        <v>223</v>
      </c>
      <c r="G641" s="7" t="s">
        <v>51</v>
      </c>
      <c r="H641" s="6">
        <v>1</v>
      </c>
      <c r="I641" s="6">
        <v>4</v>
      </c>
      <c r="J641" s="7" t="b">
        <v>0</v>
      </c>
      <c r="K641" s="6">
        <v>824</v>
      </c>
      <c r="L641" s="6">
        <v>125</v>
      </c>
      <c r="M641" s="7" t="s">
        <v>49</v>
      </c>
      <c r="N641" s="7" t="s">
        <v>56</v>
      </c>
      <c r="O641" s="7" t="s">
        <v>29</v>
      </c>
      <c r="P641" s="5">
        <v>56</v>
      </c>
      <c r="Q641" s="4">
        <v>4.5</v>
      </c>
      <c r="R641" s="7" t="b">
        <v>1</v>
      </c>
      <c r="S641" s="7" t="s">
        <v>30</v>
      </c>
      <c r="T641" s="5">
        <v>99</v>
      </c>
      <c r="U641" s="7" t="s">
        <v>58</v>
      </c>
      <c r="V641" t="s">
        <v>59</v>
      </c>
      <c r="W641" s="7" t="s">
        <v>40</v>
      </c>
    </row>
    <row r="642" spans="1:23" x14ac:dyDescent="0.3">
      <c r="A642" s="6">
        <v>4945</v>
      </c>
      <c r="B642" s="7" t="s">
        <v>313</v>
      </c>
      <c r="C642" s="1">
        <v>45387</v>
      </c>
      <c r="D642" t="s">
        <v>82</v>
      </c>
      <c r="E642" s="8">
        <v>11.99</v>
      </c>
      <c r="F642" s="6">
        <v>485</v>
      </c>
      <c r="G642" s="7" t="s">
        <v>100</v>
      </c>
      <c r="H642" s="6">
        <v>1</v>
      </c>
      <c r="I642" s="6">
        <v>1</v>
      </c>
      <c r="J642" s="7" t="b">
        <v>1</v>
      </c>
      <c r="K642" s="6">
        <v>230</v>
      </c>
      <c r="L642" s="6">
        <v>21</v>
      </c>
      <c r="M642" s="7" t="s">
        <v>43</v>
      </c>
      <c r="N642" s="7" t="s">
        <v>28</v>
      </c>
      <c r="O642" s="7" t="s">
        <v>57</v>
      </c>
      <c r="P642" s="5">
        <v>83</v>
      </c>
      <c r="Q642" s="4">
        <v>4.0999999999999996</v>
      </c>
      <c r="R642" s="7" t="b">
        <v>0</v>
      </c>
      <c r="S642" s="7" t="s">
        <v>30</v>
      </c>
      <c r="T642" s="5">
        <v>2284</v>
      </c>
      <c r="U642" s="7" t="s">
        <v>31</v>
      </c>
      <c r="V642" t="s">
        <v>69</v>
      </c>
      <c r="W642" s="7" t="s">
        <v>93</v>
      </c>
    </row>
    <row r="643" spans="1:23" x14ac:dyDescent="0.3">
      <c r="A643" s="6">
        <v>5227</v>
      </c>
      <c r="B643" s="7" t="s">
        <v>610</v>
      </c>
      <c r="C643" t="s">
        <v>611</v>
      </c>
      <c r="D643" s="1">
        <v>45455</v>
      </c>
      <c r="E643" s="8">
        <v>7.99</v>
      </c>
      <c r="F643" s="6">
        <v>474</v>
      </c>
      <c r="G643" s="7" t="s">
        <v>36</v>
      </c>
      <c r="H643" s="6">
        <v>3</v>
      </c>
      <c r="I643" s="6">
        <v>6</v>
      </c>
      <c r="J643" s="7" t="b">
        <v>1</v>
      </c>
      <c r="K643" s="6">
        <v>358</v>
      </c>
      <c r="L643" s="6">
        <v>147</v>
      </c>
      <c r="M643" s="7" t="s">
        <v>27</v>
      </c>
      <c r="N643" s="7" t="s">
        <v>75</v>
      </c>
      <c r="O643" s="7" t="s">
        <v>29</v>
      </c>
      <c r="P643" s="5">
        <v>44</v>
      </c>
      <c r="Q643" s="4">
        <v>3.9</v>
      </c>
      <c r="R643" s="7" t="b">
        <v>1</v>
      </c>
      <c r="S643" s="7" t="s">
        <v>30</v>
      </c>
      <c r="T643" s="5">
        <v>3505</v>
      </c>
      <c r="U643" s="7" t="s">
        <v>76</v>
      </c>
      <c r="V643" t="s">
        <v>39</v>
      </c>
      <c r="W643" s="7" t="s">
        <v>60</v>
      </c>
    </row>
    <row r="644" spans="1:23" x14ac:dyDescent="0.3">
      <c r="A644" s="6">
        <v>2150</v>
      </c>
      <c r="B644" s="7" t="s">
        <v>311</v>
      </c>
      <c r="C644" s="1">
        <v>45630</v>
      </c>
      <c r="D644" s="1">
        <v>45547</v>
      </c>
      <c r="E644" s="8">
        <v>11.99</v>
      </c>
      <c r="F644" s="6">
        <v>259</v>
      </c>
      <c r="G644" s="7" t="s">
        <v>63</v>
      </c>
      <c r="H644" s="6">
        <v>2</v>
      </c>
      <c r="I644" s="6">
        <v>1</v>
      </c>
      <c r="J644" s="7" t="b">
        <v>0</v>
      </c>
      <c r="K644" s="6">
        <v>380</v>
      </c>
      <c r="L644" s="6">
        <v>9</v>
      </c>
      <c r="M644" s="7" t="s">
        <v>27</v>
      </c>
      <c r="N644" s="7" t="s">
        <v>75</v>
      </c>
      <c r="O644" s="7" t="s">
        <v>45</v>
      </c>
      <c r="P644" s="5">
        <v>49</v>
      </c>
      <c r="Q644" s="4">
        <v>3.2</v>
      </c>
      <c r="R644" s="7" t="b">
        <v>0</v>
      </c>
      <c r="S644" s="7" t="s">
        <v>30</v>
      </c>
      <c r="T644" s="5">
        <v>412</v>
      </c>
      <c r="U644" s="7" t="s">
        <v>31</v>
      </c>
      <c r="V644" t="s">
        <v>79</v>
      </c>
      <c r="W644" s="7" t="s">
        <v>40</v>
      </c>
    </row>
    <row r="645" spans="1:23" x14ac:dyDescent="0.3">
      <c r="A645" s="6">
        <v>7145</v>
      </c>
      <c r="B645" s="7" t="s">
        <v>612</v>
      </c>
      <c r="C645" t="s">
        <v>403</v>
      </c>
      <c r="D645" t="s">
        <v>82</v>
      </c>
      <c r="E645" s="8">
        <v>7.99</v>
      </c>
      <c r="F645" s="6">
        <v>53</v>
      </c>
      <c r="G645" s="7" t="s">
        <v>36</v>
      </c>
      <c r="H645" s="6">
        <v>2</v>
      </c>
      <c r="I645" s="6">
        <v>1</v>
      </c>
      <c r="J645" s="7" t="b">
        <v>0</v>
      </c>
      <c r="K645" s="6">
        <v>647</v>
      </c>
      <c r="L645" s="6">
        <v>165</v>
      </c>
      <c r="M645" s="7" t="s">
        <v>27</v>
      </c>
      <c r="N645" s="7" t="s">
        <v>28</v>
      </c>
      <c r="O645" s="7" t="s">
        <v>57</v>
      </c>
      <c r="P645" s="5">
        <v>88</v>
      </c>
      <c r="Q645" s="4">
        <v>4</v>
      </c>
      <c r="R645" s="7" t="b">
        <v>0</v>
      </c>
      <c r="S645" s="7" t="s">
        <v>30</v>
      </c>
      <c r="T645" s="5">
        <v>4867</v>
      </c>
      <c r="U645" s="7" t="s">
        <v>76</v>
      </c>
      <c r="V645" t="s">
        <v>69</v>
      </c>
      <c r="W645" s="7" t="s">
        <v>33</v>
      </c>
    </row>
    <row r="646" spans="1:23" x14ac:dyDescent="0.3">
      <c r="A646" s="6">
        <v>2040</v>
      </c>
      <c r="B646" s="7" t="s">
        <v>613</v>
      </c>
      <c r="C646" s="1">
        <v>45606</v>
      </c>
      <c r="D646" t="s">
        <v>90</v>
      </c>
      <c r="E646" s="8">
        <v>7.99</v>
      </c>
      <c r="F646" s="6">
        <v>221</v>
      </c>
      <c r="G646" s="7" t="s">
        <v>63</v>
      </c>
      <c r="H646" s="6">
        <v>1</v>
      </c>
      <c r="I646" s="6">
        <v>3</v>
      </c>
      <c r="J646" s="7" t="b">
        <v>1</v>
      </c>
      <c r="K646" s="6">
        <v>518</v>
      </c>
      <c r="L646" s="6">
        <v>157</v>
      </c>
      <c r="M646" s="7" t="s">
        <v>68</v>
      </c>
      <c r="N646" s="7" t="s">
        <v>75</v>
      </c>
      <c r="O646" s="7" t="s">
        <v>64</v>
      </c>
      <c r="P646" s="5">
        <v>4</v>
      </c>
      <c r="Q646" s="4">
        <v>3.7</v>
      </c>
      <c r="R646" s="7" t="b">
        <v>1</v>
      </c>
      <c r="S646" s="7" t="s">
        <v>30</v>
      </c>
      <c r="T646" s="5">
        <v>2560</v>
      </c>
      <c r="U646" s="7" t="s">
        <v>65</v>
      </c>
      <c r="V646" t="s">
        <v>59</v>
      </c>
      <c r="W646" s="7" t="s">
        <v>33</v>
      </c>
    </row>
    <row r="647" spans="1:23" x14ac:dyDescent="0.3">
      <c r="A647" s="6">
        <v>4191</v>
      </c>
      <c r="B647" s="7" t="s">
        <v>270</v>
      </c>
      <c r="C647" t="s">
        <v>310</v>
      </c>
      <c r="D647" s="1">
        <v>45363</v>
      </c>
      <c r="E647" s="8">
        <v>7.99</v>
      </c>
      <c r="F647" s="6">
        <v>46</v>
      </c>
      <c r="G647" s="7" t="s">
        <v>63</v>
      </c>
      <c r="H647" s="6">
        <v>2</v>
      </c>
      <c r="I647" s="6">
        <v>4</v>
      </c>
      <c r="J647" s="7" t="b">
        <v>0</v>
      </c>
      <c r="K647" s="6">
        <v>33</v>
      </c>
      <c r="L647" s="6">
        <v>120</v>
      </c>
      <c r="M647" s="7" t="s">
        <v>74</v>
      </c>
      <c r="N647" s="7" t="s">
        <v>75</v>
      </c>
      <c r="O647" s="7" t="s">
        <v>29</v>
      </c>
      <c r="P647" s="5">
        <v>77</v>
      </c>
      <c r="Q647" s="4">
        <v>3.9</v>
      </c>
      <c r="R647" s="7" t="b">
        <v>1</v>
      </c>
      <c r="S647" s="7" t="s">
        <v>30</v>
      </c>
      <c r="T647" s="5">
        <v>4269</v>
      </c>
      <c r="U647" s="7" t="s">
        <v>76</v>
      </c>
      <c r="V647" t="s">
        <v>32</v>
      </c>
      <c r="W647" s="7" t="s">
        <v>40</v>
      </c>
    </row>
    <row r="648" spans="1:23" x14ac:dyDescent="0.3">
      <c r="A648" s="6">
        <v>4336</v>
      </c>
      <c r="B648" s="7" t="s">
        <v>88</v>
      </c>
      <c r="C648" s="1">
        <v>44965</v>
      </c>
      <c r="D648" s="1">
        <v>45608</v>
      </c>
      <c r="E648" s="8">
        <v>15.99</v>
      </c>
      <c r="F648" s="6">
        <v>253</v>
      </c>
      <c r="G648" s="7" t="s">
        <v>51</v>
      </c>
      <c r="H648" s="6">
        <v>4</v>
      </c>
      <c r="I648" s="6">
        <v>2</v>
      </c>
      <c r="J648" s="7" t="b">
        <v>0</v>
      </c>
      <c r="K648" s="6">
        <v>660</v>
      </c>
      <c r="L648" s="6">
        <v>151</v>
      </c>
      <c r="M648" s="7" t="s">
        <v>49</v>
      </c>
      <c r="N648" s="7" t="s">
        <v>75</v>
      </c>
      <c r="O648" s="7" t="s">
        <v>29</v>
      </c>
      <c r="P648" s="5">
        <v>43</v>
      </c>
      <c r="Q648" s="4">
        <v>3.4</v>
      </c>
      <c r="R648" s="7" t="b">
        <v>1</v>
      </c>
      <c r="S648" s="7" t="s">
        <v>30</v>
      </c>
      <c r="T648" s="5">
        <v>1317</v>
      </c>
      <c r="U648" s="7" t="s">
        <v>31</v>
      </c>
      <c r="V648" t="s">
        <v>59</v>
      </c>
      <c r="W648" s="7" t="s">
        <v>33</v>
      </c>
    </row>
    <row r="649" spans="1:23" x14ac:dyDescent="0.3">
      <c r="A649" s="6">
        <v>5438</v>
      </c>
      <c r="B649" s="7" t="s">
        <v>411</v>
      </c>
      <c r="C649" s="1">
        <v>45087</v>
      </c>
      <c r="D649" t="s">
        <v>90</v>
      </c>
      <c r="E649" s="8">
        <v>11.99</v>
      </c>
      <c r="F649" s="6">
        <v>478</v>
      </c>
      <c r="G649" s="7" t="s">
        <v>36</v>
      </c>
      <c r="H649" s="6">
        <v>1</v>
      </c>
      <c r="I649" s="6">
        <v>6</v>
      </c>
      <c r="J649" s="7" t="b">
        <v>1</v>
      </c>
      <c r="K649" s="6">
        <v>517</v>
      </c>
      <c r="L649" s="6">
        <v>200</v>
      </c>
      <c r="M649" s="7" t="s">
        <v>92</v>
      </c>
      <c r="N649" s="7" t="s">
        <v>44</v>
      </c>
      <c r="O649" s="7" t="s">
        <v>29</v>
      </c>
      <c r="P649" s="5">
        <v>41</v>
      </c>
      <c r="Q649" s="4">
        <v>4.8</v>
      </c>
      <c r="R649" s="7" t="b">
        <v>0</v>
      </c>
      <c r="S649" s="7" t="s">
        <v>30</v>
      </c>
      <c r="T649" s="5">
        <v>2936</v>
      </c>
      <c r="U649" s="7" t="s">
        <v>58</v>
      </c>
      <c r="V649" t="s">
        <v>69</v>
      </c>
      <c r="W649" s="7" t="s">
        <v>33</v>
      </c>
    </row>
    <row r="650" spans="1:23" x14ac:dyDescent="0.3">
      <c r="A650" s="6">
        <v>9857</v>
      </c>
      <c r="B650" s="7" t="s">
        <v>247</v>
      </c>
      <c r="C650" t="s">
        <v>614</v>
      </c>
      <c r="D650" s="1">
        <v>45334</v>
      </c>
      <c r="E650" s="8">
        <v>7.99</v>
      </c>
      <c r="F650" s="6">
        <v>145</v>
      </c>
      <c r="G650" s="7" t="s">
        <v>26</v>
      </c>
      <c r="H650" s="6">
        <v>2</v>
      </c>
      <c r="I650" s="6">
        <v>5</v>
      </c>
      <c r="J650" s="7" t="b">
        <v>0</v>
      </c>
      <c r="K650" s="6">
        <v>882</v>
      </c>
      <c r="L650" s="6">
        <v>23</v>
      </c>
      <c r="M650" s="7" t="s">
        <v>74</v>
      </c>
      <c r="N650" s="7" t="s">
        <v>75</v>
      </c>
      <c r="O650" s="7" t="s">
        <v>78</v>
      </c>
      <c r="P650" s="5">
        <v>79</v>
      </c>
      <c r="Q650" s="4">
        <v>5</v>
      </c>
      <c r="R650" s="7" t="b">
        <v>1</v>
      </c>
      <c r="S650" s="7" t="s">
        <v>30</v>
      </c>
      <c r="T650" s="5">
        <v>905</v>
      </c>
      <c r="U650" s="7" t="s">
        <v>58</v>
      </c>
      <c r="V650" t="s">
        <v>69</v>
      </c>
      <c r="W650" s="7" t="s">
        <v>60</v>
      </c>
    </row>
    <row r="651" spans="1:23" x14ac:dyDescent="0.3">
      <c r="A651" s="6">
        <v>4767</v>
      </c>
      <c r="B651" s="7" t="s">
        <v>98</v>
      </c>
      <c r="C651" t="s">
        <v>167</v>
      </c>
      <c r="D651" t="s">
        <v>156</v>
      </c>
      <c r="E651" s="8">
        <v>15.99</v>
      </c>
      <c r="F651" s="6">
        <v>366</v>
      </c>
      <c r="G651" s="7" t="s">
        <v>51</v>
      </c>
      <c r="H651" s="6">
        <v>1</v>
      </c>
      <c r="I651" s="6">
        <v>3</v>
      </c>
      <c r="J651" s="7" t="b">
        <v>1</v>
      </c>
      <c r="K651" s="6">
        <v>349</v>
      </c>
      <c r="L651" s="6">
        <v>50</v>
      </c>
      <c r="M651" s="7" t="s">
        <v>68</v>
      </c>
      <c r="N651" s="7" t="s">
        <v>75</v>
      </c>
      <c r="O651" s="7" t="s">
        <v>78</v>
      </c>
      <c r="P651" s="5">
        <v>21</v>
      </c>
      <c r="Q651" s="4">
        <v>5</v>
      </c>
      <c r="R651" s="7" t="b">
        <v>1</v>
      </c>
      <c r="S651" s="7" t="s">
        <v>30</v>
      </c>
      <c r="T651" s="5">
        <v>4513</v>
      </c>
      <c r="U651" s="7" t="s">
        <v>31</v>
      </c>
      <c r="V651" t="s">
        <v>39</v>
      </c>
      <c r="W651" s="7" t="s">
        <v>33</v>
      </c>
    </row>
    <row r="652" spans="1:23" x14ac:dyDescent="0.3">
      <c r="A652" s="6">
        <v>9374</v>
      </c>
      <c r="B652" s="7" t="s">
        <v>224</v>
      </c>
      <c r="C652" t="s">
        <v>72</v>
      </c>
      <c r="D652" s="1">
        <v>45303</v>
      </c>
      <c r="E652" s="8">
        <v>15.99</v>
      </c>
      <c r="F652" s="6">
        <v>301</v>
      </c>
      <c r="G652" s="7" t="s">
        <v>26</v>
      </c>
      <c r="H652" s="6">
        <v>4</v>
      </c>
      <c r="I652" s="6">
        <v>6</v>
      </c>
      <c r="J652" s="7" t="b">
        <v>0</v>
      </c>
      <c r="K652" s="6">
        <v>619</v>
      </c>
      <c r="L652" s="6">
        <v>172</v>
      </c>
      <c r="M652" s="7" t="s">
        <v>27</v>
      </c>
      <c r="N652" s="7" t="s">
        <v>44</v>
      </c>
      <c r="O652" s="7" t="s">
        <v>64</v>
      </c>
      <c r="P652" s="5">
        <v>37</v>
      </c>
      <c r="Q652" s="4">
        <v>4.2</v>
      </c>
      <c r="R652" s="7" t="b">
        <v>1</v>
      </c>
      <c r="S652" s="7" t="s">
        <v>30</v>
      </c>
      <c r="T652" s="5">
        <v>1153</v>
      </c>
      <c r="U652" s="7" t="s">
        <v>76</v>
      </c>
      <c r="V652" t="s">
        <v>69</v>
      </c>
      <c r="W652" s="7" t="s">
        <v>40</v>
      </c>
    </row>
    <row r="653" spans="1:23" x14ac:dyDescent="0.3">
      <c r="A653" s="6">
        <v>3918</v>
      </c>
      <c r="B653" s="7" t="s">
        <v>88</v>
      </c>
      <c r="C653" t="s">
        <v>309</v>
      </c>
      <c r="D653" t="s">
        <v>105</v>
      </c>
      <c r="E653" s="8">
        <v>7.99</v>
      </c>
      <c r="F653" s="6">
        <v>26</v>
      </c>
      <c r="G653" s="7" t="s">
        <v>26</v>
      </c>
      <c r="H653" s="6">
        <v>4</v>
      </c>
      <c r="I653" s="6">
        <v>5</v>
      </c>
      <c r="J653" s="7" t="b">
        <v>0</v>
      </c>
      <c r="K653" s="6">
        <v>416</v>
      </c>
      <c r="L653" s="6">
        <v>146</v>
      </c>
      <c r="M653" s="7" t="s">
        <v>49</v>
      </c>
      <c r="N653" s="7" t="s">
        <v>44</v>
      </c>
      <c r="O653" s="7" t="s">
        <v>45</v>
      </c>
      <c r="P653" s="5">
        <v>41</v>
      </c>
      <c r="Q653" s="4">
        <v>3.5</v>
      </c>
      <c r="R653" s="7" t="b">
        <v>1</v>
      </c>
      <c r="S653" s="7" t="s">
        <v>30</v>
      </c>
      <c r="T653" s="5">
        <v>1506</v>
      </c>
      <c r="U653" s="7" t="s">
        <v>58</v>
      </c>
      <c r="V653" t="s">
        <v>32</v>
      </c>
      <c r="W653" s="7" t="s">
        <v>40</v>
      </c>
    </row>
    <row r="654" spans="1:23" x14ac:dyDescent="0.3">
      <c r="A654" s="6">
        <v>9866</v>
      </c>
      <c r="B654" s="7" t="s">
        <v>138</v>
      </c>
      <c r="C654" s="1">
        <v>45633</v>
      </c>
      <c r="D654" t="s">
        <v>72</v>
      </c>
      <c r="E654" s="8">
        <v>11.99</v>
      </c>
      <c r="F654" s="6">
        <v>208</v>
      </c>
      <c r="G654" s="7" t="s">
        <v>36</v>
      </c>
      <c r="H654" s="6">
        <v>1</v>
      </c>
      <c r="I654" s="6">
        <v>1</v>
      </c>
      <c r="J654" s="7" t="b">
        <v>0</v>
      </c>
      <c r="K654" s="6">
        <v>466</v>
      </c>
      <c r="L654" s="6">
        <v>174</v>
      </c>
      <c r="M654" s="7" t="s">
        <v>27</v>
      </c>
      <c r="N654" s="7" t="s">
        <v>56</v>
      </c>
      <c r="O654" s="7" t="s">
        <v>64</v>
      </c>
      <c r="P654" s="5">
        <v>51</v>
      </c>
      <c r="Q654" s="4">
        <v>4</v>
      </c>
      <c r="R654" s="7" t="b">
        <v>1</v>
      </c>
      <c r="S654" s="7" t="s">
        <v>30</v>
      </c>
      <c r="T654" s="5">
        <v>3817</v>
      </c>
      <c r="U654" s="7" t="s">
        <v>31</v>
      </c>
      <c r="V654" t="s">
        <v>32</v>
      </c>
      <c r="W654" s="7" t="s">
        <v>40</v>
      </c>
    </row>
    <row r="655" spans="1:23" x14ac:dyDescent="0.3">
      <c r="A655" s="6">
        <v>6389</v>
      </c>
      <c r="B655" s="7" t="s">
        <v>541</v>
      </c>
      <c r="C655" t="s">
        <v>615</v>
      </c>
      <c r="D655" t="s">
        <v>103</v>
      </c>
      <c r="E655" s="8">
        <v>11.99</v>
      </c>
      <c r="F655" s="6">
        <v>109</v>
      </c>
      <c r="G655" s="7" t="s">
        <v>51</v>
      </c>
      <c r="H655" s="6">
        <v>2</v>
      </c>
      <c r="I655" s="6">
        <v>3</v>
      </c>
      <c r="J655" s="7" t="b">
        <v>0</v>
      </c>
      <c r="K655" s="6">
        <v>701</v>
      </c>
      <c r="L655" s="6">
        <v>4</v>
      </c>
      <c r="M655" s="7" t="s">
        <v>43</v>
      </c>
      <c r="N655" s="7" t="s">
        <v>28</v>
      </c>
      <c r="O655" s="7" t="s">
        <v>29</v>
      </c>
      <c r="P655" s="5">
        <v>64</v>
      </c>
      <c r="Q655" s="4">
        <v>3.5</v>
      </c>
      <c r="R655" s="7" t="b">
        <v>0</v>
      </c>
      <c r="S655" s="7" t="s">
        <v>30</v>
      </c>
      <c r="T655" s="5">
        <v>4662</v>
      </c>
      <c r="U655" s="7" t="s">
        <v>65</v>
      </c>
      <c r="V655" t="s">
        <v>32</v>
      </c>
      <c r="W655" s="7" t="s">
        <v>93</v>
      </c>
    </row>
    <row r="656" spans="1:23" x14ac:dyDescent="0.3">
      <c r="A656" s="6">
        <v>8733</v>
      </c>
      <c r="B656" s="7" t="s">
        <v>294</v>
      </c>
      <c r="C656" s="1">
        <v>45449</v>
      </c>
      <c r="D656" t="s">
        <v>129</v>
      </c>
      <c r="E656" s="8">
        <v>15.99</v>
      </c>
      <c r="F656" s="6">
        <v>451</v>
      </c>
      <c r="G656" s="7" t="s">
        <v>63</v>
      </c>
      <c r="H656" s="6">
        <v>4</v>
      </c>
      <c r="I656" s="6">
        <v>4</v>
      </c>
      <c r="J656" s="7" t="b">
        <v>1</v>
      </c>
      <c r="K656" s="6">
        <v>742</v>
      </c>
      <c r="L656" s="6">
        <v>140</v>
      </c>
      <c r="M656" s="7" t="s">
        <v>68</v>
      </c>
      <c r="N656" s="7" t="s">
        <v>44</v>
      </c>
      <c r="O656" s="7" t="s">
        <v>64</v>
      </c>
      <c r="P656" s="5">
        <v>37</v>
      </c>
      <c r="Q656" s="4">
        <v>4.0999999999999996</v>
      </c>
      <c r="R656" s="7" t="b">
        <v>1</v>
      </c>
      <c r="S656" s="7" t="s">
        <v>30</v>
      </c>
      <c r="T656" s="5">
        <v>3708</v>
      </c>
      <c r="U656" s="7" t="s">
        <v>58</v>
      </c>
      <c r="V656" t="s">
        <v>32</v>
      </c>
      <c r="W656" s="7" t="s">
        <v>93</v>
      </c>
    </row>
    <row r="657" spans="1:23" x14ac:dyDescent="0.3">
      <c r="A657" s="6">
        <v>8105</v>
      </c>
      <c r="B657" s="7" t="s">
        <v>52</v>
      </c>
      <c r="C657" t="s">
        <v>616</v>
      </c>
      <c r="D657" t="s">
        <v>214</v>
      </c>
      <c r="E657" s="8">
        <v>15.99</v>
      </c>
      <c r="F657" s="6">
        <v>33</v>
      </c>
      <c r="G657" s="7" t="s">
        <v>36</v>
      </c>
      <c r="H657" s="6">
        <v>4</v>
      </c>
      <c r="I657" s="6">
        <v>5</v>
      </c>
      <c r="J657" s="7" t="b">
        <v>1</v>
      </c>
      <c r="K657" s="6">
        <v>228</v>
      </c>
      <c r="L657" s="6">
        <v>42</v>
      </c>
      <c r="M657" s="7" t="s">
        <v>55</v>
      </c>
      <c r="N657" s="7" t="s">
        <v>56</v>
      </c>
      <c r="O657" s="7" t="s">
        <v>29</v>
      </c>
      <c r="P657" s="5">
        <v>21</v>
      </c>
      <c r="Q657" s="4">
        <v>4</v>
      </c>
      <c r="R657" s="7" t="b">
        <v>1</v>
      </c>
      <c r="S657" s="7" t="s">
        <v>30</v>
      </c>
      <c r="T657" s="5">
        <v>1256</v>
      </c>
      <c r="U657" s="7" t="s">
        <v>31</v>
      </c>
      <c r="V657" t="s">
        <v>32</v>
      </c>
      <c r="W657" s="7" t="s">
        <v>33</v>
      </c>
    </row>
    <row r="658" spans="1:23" x14ac:dyDescent="0.3">
      <c r="A658" s="6">
        <v>3443</v>
      </c>
      <c r="B658" s="7" t="s">
        <v>190</v>
      </c>
      <c r="C658" s="1">
        <v>45294</v>
      </c>
      <c r="D658" s="1">
        <v>45424</v>
      </c>
      <c r="E658" s="8">
        <v>15.99</v>
      </c>
      <c r="F658" s="6">
        <v>467</v>
      </c>
      <c r="G658" s="7" t="s">
        <v>51</v>
      </c>
      <c r="H658" s="6">
        <v>4</v>
      </c>
      <c r="I658" s="6">
        <v>2</v>
      </c>
      <c r="J658" s="7" t="b">
        <v>0</v>
      </c>
      <c r="K658" s="6">
        <v>18</v>
      </c>
      <c r="L658" s="6">
        <v>34</v>
      </c>
      <c r="M658" s="7" t="s">
        <v>68</v>
      </c>
      <c r="N658" s="7" t="s">
        <v>75</v>
      </c>
      <c r="O658" s="7" t="s">
        <v>78</v>
      </c>
      <c r="P658" s="5">
        <v>100</v>
      </c>
      <c r="Q658" s="4">
        <v>4.0999999999999996</v>
      </c>
      <c r="R658" s="7" t="b">
        <v>1</v>
      </c>
      <c r="S658" s="7" t="s">
        <v>30</v>
      </c>
      <c r="T658" s="5">
        <v>1792</v>
      </c>
      <c r="U658" s="7" t="s">
        <v>31</v>
      </c>
      <c r="V658" t="s">
        <v>59</v>
      </c>
      <c r="W658" s="7" t="s">
        <v>93</v>
      </c>
    </row>
    <row r="659" spans="1:23" x14ac:dyDescent="0.3">
      <c r="A659" s="6">
        <v>2664</v>
      </c>
      <c r="B659" s="7" t="s">
        <v>98</v>
      </c>
      <c r="C659" t="s">
        <v>388</v>
      </c>
      <c r="D659" t="s">
        <v>99</v>
      </c>
      <c r="E659" s="8">
        <v>7.99</v>
      </c>
      <c r="F659" s="6">
        <v>123</v>
      </c>
      <c r="G659" s="7" t="s">
        <v>73</v>
      </c>
      <c r="H659" s="6">
        <v>2</v>
      </c>
      <c r="I659" s="6">
        <v>3</v>
      </c>
      <c r="J659" s="7" t="b">
        <v>1</v>
      </c>
      <c r="K659" s="6">
        <v>826</v>
      </c>
      <c r="L659" s="6">
        <v>79</v>
      </c>
      <c r="M659" s="7" t="s">
        <v>74</v>
      </c>
      <c r="N659" s="7" t="s">
        <v>56</v>
      </c>
      <c r="O659" s="7" t="s">
        <v>37</v>
      </c>
      <c r="P659" s="5">
        <v>34</v>
      </c>
      <c r="Q659" s="4">
        <v>3.5</v>
      </c>
      <c r="R659" s="7" t="b">
        <v>0</v>
      </c>
      <c r="S659" s="7" t="s">
        <v>30</v>
      </c>
      <c r="T659" s="5">
        <v>402</v>
      </c>
      <c r="U659" s="7" t="s">
        <v>38</v>
      </c>
      <c r="V659" t="s">
        <v>59</v>
      </c>
      <c r="W659" s="7" t="s">
        <v>40</v>
      </c>
    </row>
    <row r="660" spans="1:23" x14ac:dyDescent="0.3">
      <c r="A660" s="6">
        <v>1782</v>
      </c>
      <c r="B660" s="7" t="s">
        <v>617</v>
      </c>
      <c r="C660" s="1">
        <v>44931</v>
      </c>
      <c r="D660" t="s">
        <v>168</v>
      </c>
      <c r="E660" s="8">
        <v>15.99</v>
      </c>
      <c r="F660" s="6">
        <v>139</v>
      </c>
      <c r="G660" s="7" t="s">
        <v>100</v>
      </c>
      <c r="H660" s="6">
        <v>1</v>
      </c>
      <c r="I660" s="6">
        <v>4</v>
      </c>
      <c r="J660" s="7" t="b">
        <v>1</v>
      </c>
      <c r="K660" s="6">
        <v>357</v>
      </c>
      <c r="L660" s="6">
        <v>44</v>
      </c>
      <c r="M660" s="7" t="s">
        <v>55</v>
      </c>
      <c r="N660" s="7" t="s">
        <v>44</v>
      </c>
      <c r="O660" s="7" t="s">
        <v>57</v>
      </c>
      <c r="P660" s="5">
        <v>67</v>
      </c>
      <c r="Q660" s="4">
        <v>4.0999999999999996</v>
      </c>
      <c r="R660" s="7" t="b">
        <v>0</v>
      </c>
      <c r="S660" s="7" t="s">
        <v>30</v>
      </c>
      <c r="T660" s="5">
        <v>1271</v>
      </c>
      <c r="U660" s="7" t="s">
        <v>38</v>
      </c>
      <c r="V660" t="s">
        <v>69</v>
      </c>
      <c r="W660" s="7" t="s">
        <v>40</v>
      </c>
    </row>
    <row r="661" spans="1:23" x14ac:dyDescent="0.3">
      <c r="A661" s="6">
        <v>1337</v>
      </c>
      <c r="B661" s="7" t="s">
        <v>618</v>
      </c>
      <c r="C661" t="s">
        <v>522</v>
      </c>
      <c r="D661" t="s">
        <v>129</v>
      </c>
      <c r="E661" s="8">
        <v>7.99</v>
      </c>
      <c r="F661" s="6">
        <v>103</v>
      </c>
      <c r="G661" s="7" t="s">
        <v>100</v>
      </c>
      <c r="H661" s="6">
        <v>2</v>
      </c>
      <c r="I661" s="6">
        <v>1</v>
      </c>
      <c r="J661" s="7" t="b">
        <v>0</v>
      </c>
      <c r="K661" s="6">
        <v>474</v>
      </c>
      <c r="L661" s="6">
        <v>2</v>
      </c>
      <c r="M661" s="7" t="s">
        <v>74</v>
      </c>
      <c r="N661" s="7" t="s">
        <v>28</v>
      </c>
      <c r="O661" s="7" t="s">
        <v>37</v>
      </c>
      <c r="P661" s="5">
        <v>31</v>
      </c>
      <c r="Q661" s="4">
        <v>3.5</v>
      </c>
      <c r="R661" s="7" t="b">
        <v>0</v>
      </c>
      <c r="S661" s="7" t="s">
        <v>30</v>
      </c>
      <c r="T661" s="5">
        <v>4537</v>
      </c>
      <c r="U661" s="7" t="s">
        <v>58</v>
      </c>
      <c r="V661" t="s">
        <v>59</v>
      </c>
      <c r="W661" s="7" t="s">
        <v>93</v>
      </c>
    </row>
    <row r="662" spans="1:23" x14ac:dyDescent="0.3">
      <c r="A662" s="6">
        <v>5901</v>
      </c>
      <c r="B662" s="7" t="s">
        <v>41</v>
      </c>
      <c r="C662" s="1">
        <v>45081</v>
      </c>
      <c r="D662" t="s">
        <v>103</v>
      </c>
      <c r="E662" s="8">
        <v>7.99</v>
      </c>
      <c r="F662" s="6">
        <v>207</v>
      </c>
      <c r="G662" s="7" t="s">
        <v>63</v>
      </c>
      <c r="H662" s="6">
        <v>5</v>
      </c>
      <c r="I662" s="6">
        <v>5</v>
      </c>
      <c r="J662" s="7" t="b">
        <v>1</v>
      </c>
      <c r="K662" s="6">
        <v>946</v>
      </c>
      <c r="L662" s="6">
        <v>166</v>
      </c>
      <c r="M662" s="7" t="s">
        <v>92</v>
      </c>
      <c r="N662" s="7" t="s">
        <v>75</v>
      </c>
      <c r="O662" s="7" t="s">
        <v>29</v>
      </c>
      <c r="P662" s="5">
        <v>96</v>
      </c>
      <c r="Q662" s="4">
        <v>4.5999999999999996</v>
      </c>
      <c r="R662" s="7" t="b">
        <v>0</v>
      </c>
      <c r="S662" s="7" t="s">
        <v>30</v>
      </c>
      <c r="T662" s="5">
        <v>4815</v>
      </c>
      <c r="U662" s="7" t="s">
        <v>76</v>
      </c>
      <c r="V662" t="s">
        <v>79</v>
      </c>
      <c r="W662" s="7" t="s">
        <v>40</v>
      </c>
    </row>
    <row r="663" spans="1:23" x14ac:dyDescent="0.3">
      <c r="A663" s="6">
        <v>2731</v>
      </c>
      <c r="B663" s="7" t="s">
        <v>619</v>
      </c>
      <c r="C663" s="1">
        <v>45602</v>
      </c>
      <c r="D663" t="s">
        <v>25</v>
      </c>
      <c r="E663" s="8">
        <v>15.99</v>
      </c>
      <c r="F663" s="6">
        <v>267</v>
      </c>
      <c r="G663" s="7" t="s">
        <v>100</v>
      </c>
      <c r="H663" s="6">
        <v>5</v>
      </c>
      <c r="I663" s="6">
        <v>5</v>
      </c>
      <c r="J663" s="7" t="b">
        <v>1</v>
      </c>
      <c r="K663" s="6">
        <v>890</v>
      </c>
      <c r="L663" s="6">
        <v>187</v>
      </c>
      <c r="M663" s="7" t="s">
        <v>49</v>
      </c>
      <c r="N663" s="7" t="s">
        <v>28</v>
      </c>
      <c r="O663" s="7" t="s">
        <v>78</v>
      </c>
      <c r="P663" s="5">
        <v>98</v>
      </c>
      <c r="Q663" s="4">
        <v>3</v>
      </c>
      <c r="R663" s="7" t="b">
        <v>1</v>
      </c>
      <c r="S663" s="7" t="s">
        <v>30</v>
      </c>
      <c r="T663" s="5">
        <v>3510</v>
      </c>
      <c r="U663" s="7" t="s">
        <v>65</v>
      </c>
      <c r="V663" t="s">
        <v>69</v>
      </c>
      <c r="W663" s="7" t="s">
        <v>60</v>
      </c>
    </row>
    <row r="664" spans="1:23" x14ac:dyDescent="0.3">
      <c r="A664" s="6">
        <v>8307</v>
      </c>
      <c r="B664" s="7" t="s">
        <v>245</v>
      </c>
      <c r="C664" s="1">
        <v>45383</v>
      </c>
      <c r="D664" s="1">
        <v>45455</v>
      </c>
      <c r="E664" s="8">
        <v>7.99</v>
      </c>
      <c r="F664" s="6">
        <v>266</v>
      </c>
      <c r="G664" s="7" t="s">
        <v>63</v>
      </c>
      <c r="H664" s="6">
        <v>5</v>
      </c>
      <c r="I664" s="6">
        <v>3</v>
      </c>
      <c r="J664" s="7" t="b">
        <v>1</v>
      </c>
      <c r="K664" s="6">
        <v>583</v>
      </c>
      <c r="L664" s="6">
        <v>131</v>
      </c>
      <c r="M664" s="7" t="s">
        <v>43</v>
      </c>
      <c r="N664" s="7" t="s">
        <v>44</v>
      </c>
      <c r="O664" s="7" t="s">
        <v>45</v>
      </c>
      <c r="P664" s="5">
        <v>0</v>
      </c>
      <c r="Q664" s="4">
        <v>4</v>
      </c>
      <c r="R664" s="7" t="b">
        <v>0</v>
      </c>
      <c r="S664" s="7" t="s">
        <v>30</v>
      </c>
      <c r="T664" s="5">
        <v>4789</v>
      </c>
      <c r="U664" s="7" t="s">
        <v>76</v>
      </c>
      <c r="V664" t="s">
        <v>32</v>
      </c>
      <c r="W664" s="7" t="s">
        <v>60</v>
      </c>
    </row>
    <row r="665" spans="1:23" x14ac:dyDescent="0.3">
      <c r="A665" s="6">
        <v>8019</v>
      </c>
      <c r="B665" s="7" t="s">
        <v>620</v>
      </c>
      <c r="C665" t="s">
        <v>182</v>
      </c>
      <c r="D665" t="s">
        <v>54</v>
      </c>
      <c r="E665" s="8">
        <v>11.99</v>
      </c>
      <c r="F665" s="6">
        <v>240</v>
      </c>
      <c r="G665" s="7" t="s">
        <v>73</v>
      </c>
      <c r="H665" s="6">
        <v>4</v>
      </c>
      <c r="I665" s="6">
        <v>1</v>
      </c>
      <c r="J665" s="7" t="b">
        <v>0</v>
      </c>
      <c r="K665" s="6">
        <v>304</v>
      </c>
      <c r="L665" s="6">
        <v>25</v>
      </c>
      <c r="M665" s="7" t="s">
        <v>43</v>
      </c>
      <c r="N665" s="7" t="s">
        <v>28</v>
      </c>
      <c r="O665" s="7" t="s">
        <v>37</v>
      </c>
      <c r="P665" s="5">
        <v>66</v>
      </c>
      <c r="Q665" s="4">
        <v>4.5999999999999996</v>
      </c>
      <c r="R665" s="7" t="b">
        <v>0</v>
      </c>
      <c r="S665" s="7" t="s">
        <v>30</v>
      </c>
      <c r="T665" s="5">
        <v>863</v>
      </c>
      <c r="U665" s="7" t="s">
        <v>58</v>
      </c>
      <c r="V665" t="s">
        <v>59</v>
      </c>
      <c r="W665" s="7" t="s">
        <v>40</v>
      </c>
    </row>
    <row r="666" spans="1:23" x14ac:dyDescent="0.3">
      <c r="A666" s="6">
        <v>4847</v>
      </c>
      <c r="B666" s="7" t="s">
        <v>238</v>
      </c>
      <c r="C666" s="1">
        <v>45303</v>
      </c>
      <c r="D666" t="s">
        <v>90</v>
      </c>
      <c r="E666" s="8">
        <v>15.99</v>
      </c>
      <c r="F666" s="6">
        <v>315</v>
      </c>
      <c r="G666" s="7" t="s">
        <v>63</v>
      </c>
      <c r="H666" s="6">
        <v>1</v>
      </c>
      <c r="I666" s="6">
        <v>6</v>
      </c>
      <c r="J666" s="7" t="b">
        <v>0</v>
      </c>
      <c r="K666" s="6">
        <v>205</v>
      </c>
      <c r="L666" s="6">
        <v>92</v>
      </c>
      <c r="M666" s="7" t="s">
        <v>55</v>
      </c>
      <c r="N666" s="7" t="s">
        <v>28</v>
      </c>
      <c r="O666" s="7" t="s">
        <v>64</v>
      </c>
      <c r="P666" s="5">
        <v>67</v>
      </c>
      <c r="Q666" s="4">
        <v>3.5</v>
      </c>
      <c r="R666" s="7" t="b">
        <v>0</v>
      </c>
      <c r="S666" s="7" t="s">
        <v>30</v>
      </c>
      <c r="T666" s="5">
        <v>1584</v>
      </c>
      <c r="U666" s="7" t="s">
        <v>76</v>
      </c>
      <c r="V666" t="s">
        <v>79</v>
      </c>
      <c r="W666" s="7" t="s">
        <v>33</v>
      </c>
    </row>
    <row r="667" spans="1:23" x14ac:dyDescent="0.3">
      <c r="A667" s="6">
        <v>9822</v>
      </c>
      <c r="B667" s="7" t="s">
        <v>212</v>
      </c>
      <c r="C667" t="s">
        <v>581</v>
      </c>
      <c r="D667" t="s">
        <v>25</v>
      </c>
      <c r="E667" s="8">
        <v>7.99</v>
      </c>
      <c r="F667" s="6">
        <v>276</v>
      </c>
      <c r="G667" s="7" t="s">
        <v>73</v>
      </c>
      <c r="H667" s="6">
        <v>4</v>
      </c>
      <c r="I667" s="6">
        <v>1</v>
      </c>
      <c r="J667" s="7" t="b">
        <v>1</v>
      </c>
      <c r="K667" s="6">
        <v>348</v>
      </c>
      <c r="L667" s="6">
        <v>13</v>
      </c>
      <c r="M667" s="7" t="s">
        <v>55</v>
      </c>
      <c r="N667" s="7" t="s">
        <v>75</v>
      </c>
      <c r="O667" s="7" t="s">
        <v>37</v>
      </c>
      <c r="P667" s="5">
        <v>34</v>
      </c>
      <c r="Q667" s="4">
        <v>4.7</v>
      </c>
      <c r="R667" s="7" t="b">
        <v>0</v>
      </c>
      <c r="S667" s="7" t="s">
        <v>30</v>
      </c>
      <c r="T667" s="5">
        <v>3178</v>
      </c>
      <c r="U667" s="7" t="s">
        <v>58</v>
      </c>
      <c r="V667" t="s">
        <v>79</v>
      </c>
      <c r="W667" s="7" t="s">
        <v>93</v>
      </c>
    </row>
    <row r="668" spans="1:23" x14ac:dyDescent="0.3">
      <c r="A668" s="6">
        <v>9141</v>
      </c>
      <c r="B668" s="7" t="s">
        <v>621</v>
      </c>
      <c r="C668" t="s">
        <v>622</v>
      </c>
      <c r="D668" t="s">
        <v>87</v>
      </c>
      <c r="E668" s="8">
        <v>7.99</v>
      </c>
      <c r="F668" s="6">
        <v>308</v>
      </c>
      <c r="G668" s="7" t="s">
        <v>36</v>
      </c>
      <c r="H668" s="6">
        <v>1</v>
      </c>
      <c r="I668" s="6">
        <v>5</v>
      </c>
      <c r="J668" s="7" t="b">
        <v>0</v>
      </c>
      <c r="K668" s="6">
        <v>107</v>
      </c>
      <c r="L668" s="6">
        <v>87</v>
      </c>
      <c r="M668" s="7" t="s">
        <v>43</v>
      </c>
      <c r="N668" s="7" t="s">
        <v>75</v>
      </c>
      <c r="O668" s="7" t="s">
        <v>78</v>
      </c>
      <c r="P668" s="5">
        <v>17</v>
      </c>
      <c r="Q668" s="4">
        <v>3.4</v>
      </c>
      <c r="R668" s="7" t="b">
        <v>0</v>
      </c>
      <c r="S668" s="7" t="s">
        <v>30</v>
      </c>
      <c r="T668" s="5">
        <v>4108</v>
      </c>
      <c r="U668" s="7" t="s">
        <v>38</v>
      </c>
      <c r="V668" t="s">
        <v>59</v>
      </c>
      <c r="W668" s="7" t="s">
        <v>33</v>
      </c>
    </row>
    <row r="669" spans="1:23" x14ac:dyDescent="0.3">
      <c r="A669" s="6">
        <v>7539</v>
      </c>
      <c r="B669" s="7" t="s">
        <v>606</v>
      </c>
      <c r="C669" s="1">
        <v>44935</v>
      </c>
      <c r="D669" s="1">
        <v>45516</v>
      </c>
      <c r="E669" s="8">
        <v>7.99</v>
      </c>
      <c r="F669" s="6">
        <v>297</v>
      </c>
      <c r="G669" s="7" t="s">
        <v>63</v>
      </c>
      <c r="H669" s="6">
        <v>1</v>
      </c>
      <c r="I669" s="6">
        <v>6</v>
      </c>
      <c r="J669" s="7" t="b">
        <v>1</v>
      </c>
      <c r="K669" s="6">
        <v>959</v>
      </c>
      <c r="L669" s="6">
        <v>71</v>
      </c>
      <c r="M669" s="7" t="s">
        <v>74</v>
      </c>
      <c r="N669" s="7" t="s">
        <v>75</v>
      </c>
      <c r="O669" s="7" t="s">
        <v>78</v>
      </c>
      <c r="P669" s="5">
        <v>82</v>
      </c>
      <c r="Q669" s="4">
        <v>3.3</v>
      </c>
      <c r="R669" s="7" t="b">
        <v>1</v>
      </c>
      <c r="S669" s="7" t="s">
        <v>30</v>
      </c>
      <c r="T669" s="5">
        <v>2562</v>
      </c>
      <c r="U669" s="7" t="s">
        <v>76</v>
      </c>
      <c r="V669" t="s">
        <v>39</v>
      </c>
      <c r="W669" s="7" t="s">
        <v>93</v>
      </c>
    </row>
    <row r="670" spans="1:23" x14ac:dyDescent="0.3">
      <c r="A670" s="6">
        <v>1390</v>
      </c>
      <c r="B670" s="7" t="s">
        <v>623</v>
      </c>
      <c r="C670" t="s">
        <v>407</v>
      </c>
      <c r="D670" t="s">
        <v>168</v>
      </c>
      <c r="E670" s="8">
        <v>11.99</v>
      </c>
      <c r="F670" s="6">
        <v>326</v>
      </c>
      <c r="G670" s="7" t="s">
        <v>63</v>
      </c>
      <c r="H670" s="6">
        <v>4</v>
      </c>
      <c r="I670" s="6">
        <v>1</v>
      </c>
      <c r="J670" s="7" t="b">
        <v>0</v>
      </c>
      <c r="K670" s="6">
        <v>439</v>
      </c>
      <c r="L670" s="6">
        <v>88</v>
      </c>
      <c r="M670" s="7" t="s">
        <v>92</v>
      </c>
      <c r="N670" s="7" t="s">
        <v>44</v>
      </c>
      <c r="O670" s="7" t="s">
        <v>64</v>
      </c>
      <c r="P670" s="5">
        <v>3</v>
      </c>
      <c r="Q670" s="4">
        <v>3.3</v>
      </c>
      <c r="R670" s="7" t="b">
        <v>1</v>
      </c>
      <c r="S670" s="7" t="s">
        <v>30</v>
      </c>
      <c r="T670" s="5">
        <v>3499</v>
      </c>
      <c r="U670" s="7" t="s">
        <v>58</v>
      </c>
      <c r="V670" t="s">
        <v>39</v>
      </c>
      <c r="W670" s="7" t="s">
        <v>93</v>
      </c>
    </row>
    <row r="671" spans="1:23" x14ac:dyDescent="0.3">
      <c r="A671" s="6">
        <v>9505</v>
      </c>
      <c r="B671" s="7" t="s">
        <v>284</v>
      </c>
      <c r="C671" t="s">
        <v>601</v>
      </c>
      <c r="D671" s="1">
        <v>45394</v>
      </c>
      <c r="E671" s="8">
        <v>15.99</v>
      </c>
      <c r="F671" s="6">
        <v>352</v>
      </c>
      <c r="G671" s="7" t="s">
        <v>73</v>
      </c>
      <c r="H671" s="6">
        <v>4</v>
      </c>
      <c r="I671" s="6">
        <v>6</v>
      </c>
      <c r="J671" s="7" t="b">
        <v>0</v>
      </c>
      <c r="K671" s="6">
        <v>757</v>
      </c>
      <c r="L671" s="6">
        <v>13</v>
      </c>
      <c r="M671" s="7" t="s">
        <v>92</v>
      </c>
      <c r="N671" s="7" t="s">
        <v>44</v>
      </c>
      <c r="O671" s="7" t="s">
        <v>29</v>
      </c>
      <c r="P671" s="5">
        <v>67</v>
      </c>
      <c r="Q671" s="4">
        <v>4.3</v>
      </c>
      <c r="R671" s="7" t="b">
        <v>1</v>
      </c>
      <c r="S671" s="7" t="s">
        <v>30</v>
      </c>
      <c r="T671" s="5">
        <v>3645</v>
      </c>
      <c r="U671" s="7" t="s">
        <v>76</v>
      </c>
      <c r="V671" t="s">
        <v>32</v>
      </c>
      <c r="W671" s="7" t="s">
        <v>93</v>
      </c>
    </row>
    <row r="672" spans="1:23" x14ac:dyDescent="0.3">
      <c r="A672" s="6">
        <v>6741</v>
      </c>
      <c r="B672" s="7" t="s">
        <v>259</v>
      </c>
      <c r="C672" t="s">
        <v>225</v>
      </c>
      <c r="D672" t="s">
        <v>84</v>
      </c>
      <c r="E672" s="8">
        <v>7.99</v>
      </c>
      <c r="F672" s="6">
        <v>180</v>
      </c>
      <c r="G672" s="7" t="s">
        <v>48</v>
      </c>
      <c r="H672" s="6">
        <v>5</v>
      </c>
      <c r="I672" s="6">
        <v>2</v>
      </c>
      <c r="J672" s="7" t="b">
        <v>1</v>
      </c>
      <c r="K672" s="6">
        <v>647</v>
      </c>
      <c r="L672" s="6">
        <v>2</v>
      </c>
      <c r="M672" s="7" t="s">
        <v>43</v>
      </c>
      <c r="N672" s="7" t="s">
        <v>75</v>
      </c>
      <c r="O672" s="7" t="s">
        <v>78</v>
      </c>
      <c r="P672" s="5">
        <v>9</v>
      </c>
      <c r="Q672" s="4">
        <v>3.5</v>
      </c>
      <c r="R672" s="7" t="b">
        <v>0</v>
      </c>
      <c r="S672" s="7" t="s">
        <v>30</v>
      </c>
      <c r="T672" s="5">
        <v>2989</v>
      </c>
      <c r="U672" s="7" t="s">
        <v>31</v>
      </c>
      <c r="V672" t="s">
        <v>79</v>
      </c>
      <c r="W672" s="7" t="s">
        <v>93</v>
      </c>
    </row>
    <row r="673" spans="1:23" x14ac:dyDescent="0.3">
      <c r="A673" s="6">
        <v>1790</v>
      </c>
      <c r="B673" s="7" t="s">
        <v>624</v>
      </c>
      <c r="C673" s="1">
        <v>45599</v>
      </c>
      <c r="D673" s="1">
        <v>45303</v>
      </c>
      <c r="E673" s="8">
        <v>11.99</v>
      </c>
      <c r="F673" s="6">
        <v>362</v>
      </c>
      <c r="G673" s="7" t="s">
        <v>48</v>
      </c>
      <c r="H673" s="6">
        <v>2</v>
      </c>
      <c r="I673" s="6">
        <v>2</v>
      </c>
      <c r="J673" s="7" t="b">
        <v>0</v>
      </c>
      <c r="K673" s="6">
        <v>535</v>
      </c>
      <c r="L673" s="6">
        <v>200</v>
      </c>
      <c r="M673" s="7" t="s">
        <v>74</v>
      </c>
      <c r="N673" s="7" t="s">
        <v>44</v>
      </c>
      <c r="O673" s="7" t="s">
        <v>29</v>
      </c>
      <c r="P673" s="5">
        <v>60</v>
      </c>
      <c r="Q673" s="4">
        <v>4.9000000000000004</v>
      </c>
      <c r="R673" s="7" t="b">
        <v>1</v>
      </c>
      <c r="S673" s="7" t="s">
        <v>30</v>
      </c>
      <c r="T673" s="5">
        <v>55</v>
      </c>
      <c r="U673" s="7" t="s">
        <v>76</v>
      </c>
      <c r="V673" t="s">
        <v>59</v>
      </c>
      <c r="W673" s="7" t="s">
        <v>33</v>
      </c>
    </row>
    <row r="674" spans="1:23" x14ac:dyDescent="0.3">
      <c r="A674" s="6">
        <v>6491</v>
      </c>
      <c r="B674" s="7" t="s">
        <v>625</v>
      </c>
      <c r="C674" t="s">
        <v>519</v>
      </c>
      <c r="D674" t="s">
        <v>105</v>
      </c>
      <c r="E674" s="8">
        <v>7.99</v>
      </c>
      <c r="F674" s="6">
        <v>154</v>
      </c>
      <c r="G674" s="7" t="s">
        <v>26</v>
      </c>
      <c r="H674" s="6">
        <v>5</v>
      </c>
      <c r="I674" s="6">
        <v>4</v>
      </c>
      <c r="J674" s="7" t="b">
        <v>1</v>
      </c>
      <c r="K674" s="6">
        <v>340</v>
      </c>
      <c r="L674" s="6">
        <v>53</v>
      </c>
      <c r="M674" s="7" t="s">
        <v>74</v>
      </c>
      <c r="N674" s="7" t="s">
        <v>56</v>
      </c>
      <c r="O674" s="7" t="s">
        <v>64</v>
      </c>
      <c r="P674" s="5">
        <v>31</v>
      </c>
      <c r="Q674" s="4">
        <v>4.4000000000000004</v>
      </c>
      <c r="R674" s="7" t="b">
        <v>0</v>
      </c>
      <c r="S674" s="7" t="s">
        <v>30</v>
      </c>
      <c r="T674" s="5">
        <v>1850</v>
      </c>
      <c r="U674" s="7" t="s">
        <v>38</v>
      </c>
      <c r="V674" t="s">
        <v>79</v>
      </c>
      <c r="W674" s="7" t="s">
        <v>33</v>
      </c>
    </row>
    <row r="675" spans="1:23" x14ac:dyDescent="0.3">
      <c r="A675" s="6">
        <v>3102</v>
      </c>
      <c r="B675" s="7" t="s">
        <v>260</v>
      </c>
      <c r="C675" s="1">
        <v>45360</v>
      </c>
      <c r="D675" t="s">
        <v>99</v>
      </c>
      <c r="E675" s="8">
        <v>7.99</v>
      </c>
      <c r="F675" s="6">
        <v>287</v>
      </c>
      <c r="G675" s="7" t="s">
        <v>36</v>
      </c>
      <c r="H675" s="6">
        <v>1</v>
      </c>
      <c r="I675" s="6">
        <v>2</v>
      </c>
      <c r="J675" s="7" t="b">
        <v>0</v>
      </c>
      <c r="K675" s="6">
        <v>670</v>
      </c>
      <c r="L675" s="6">
        <v>147</v>
      </c>
      <c r="M675" s="7" t="s">
        <v>27</v>
      </c>
      <c r="N675" s="7" t="s">
        <v>44</v>
      </c>
      <c r="O675" s="7" t="s">
        <v>29</v>
      </c>
      <c r="P675" s="5">
        <v>42</v>
      </c>
      <c r="Q675" s="4">
        <v>4.3</v>
      </c>
      <c r="R675" s="7" t="b">
        <v>1</v>
      </c>
      <c r="S675" s="7" t="s">
        <v>30</v>
      </c>
      <c r="T675" s="5">
        <v>4672</v>
      </c>
      <c r="U675" s="7" t="s">
        <v>31</v>
      </c>
      <c r="V675" t="s">
        <v>59</v>
      </c>
      <c r="W675" s="7" t="s">
        <v>40</v>
      </c>
    </row>
    <row r="676" spans="1:23" x14ac:dyDescent="0.3">
      <c r="A676" s="6">
        <v>1300</v>
      </c>
      <c r="B676" s="7" t="s">
        <v>626</v>
      </c>
      <c r="C676" t="s">
        <v>627</v>
      </c>
      <c r="D676" t="s">
        <v>129</v>
      </c>
      <c r="E676" s="8">
        <v>11.99</v>
      </c>
      <c r="F676" s="6">
        <v>303</v>
      </c>
      <c r="G676" s="7" t="s">
        <v>100</v>
      </c>
      <c r="H676" s="6">
        <v>3</v>
      </c>
      <c r="I676" s="6">
        <v>6</v>
      </c>
      <c r="J676" s="7" t="b">
        <v>1</v>
      </c>
      <c r="K676" s="6">
        <v>780</v>
      </c>
      <c r="L676" s="6">
        <v>128</v>
      </c>
      <c r="M676" s="7" t="s">
        <v>92</v>
      </c>
      <c r="N676" s="7" t="s">
        <v>44</v>
      </c>
      <c r="O676" s="7" t="s">
        <v>64</v>
      </c>
      <c r="P676" s="5">
        <v>12</v>
      </c>
      <c r="Q676" s="4">
        <v>4.5999999999999996</v>
      </c>
      <c r="R676" s="7" t="b">
        <v>1</v>
      </c>
      <c r="S676" s="7" t="s">
        <v>30</v>
      </c>
      <c r="T676" s="5">
        <v>2615</v>
      </c>
      <c r="U676" s="7" t="s">
        <v>38</v>
      </c>
      <c r="V676" t="s">
        <v>32</v>
      </c>
      <c r="W676" s="7" t="s">
        <v>60</v>
      </c>
    </row>
    <row r="677" spans="1:23" x14ac:dyDescent="0.3">
      <c r="A677" s="6">
        <v>5410</v>
      </c>
      <c r="B677" s="7" t="s">
        <v>628</v>
      </c>
      <c r="C677" s="1">
        <v>45084</v>
      </c>
      <c r="D677" s="1">
        <v>45303</v>
      </c>
      <c r="E677" s="8">
        <v>15.99</v>
      </c>
      <c r="F677" s="6">
        <v>447</v>
      </c>
      <c r="G677" s="7" t="s">
        <v>63</v>
      </c>
      <c r="H677" s="6">
        <v>1</v>
      </c>
      <c r="I677" s="6">
        <v>5</v>
      </c>
      <c r="J677" s="7" t="b">
        <v>0</v>
      </c>
      <c r="K677" s="6">
        <v>615</v>
      </c>
      <c r="L677" s="6">
        <v>132</v>
      </c>
      <c r="M677" s="7" t="s">
        <v>68</v>
      </c>
      <c r="N677" s="7" t="s">
        <v>75</v>
      </c>
      <c r="O677" s="7" t="s">
        <v>45</v>
      </c>
      <c r="P677" s="5">
        <v>88</v>
      </c>
      <c r="Q677" s="4">
        <v>3.9</v>
      </c>
      <c r="R677" s="7" t="b">
        <v>0</v>
      </c>
      <c r="S677" s="7" t="s">
        <v>30</v>
      </c>
      <c r="T677" s="5">
        <v>4927</v>
      </c>
      <c r="U677" s="7" t="s">
        <v>65</v>
      </c>
      <c r="V677" t="s">
        <v>69</v>
      </c>
      <c r="W677" s="7" t="s">
        <v>60</v>
      </c>
    </row>
    <row r="678" spans="1:23" x14ac:dyDescent="0.3">
      <c r="A678" s="6">
        <v>2714</v>
      </c>
      <c r="B678" s="7" t="s">
        <v>629</v>
      </c>
      <c r="C678" s="1">
        <v>45547</v>
      </c>
      <c r="D678" t="s">
        <v>105</v>
      </c>
      <c r="E678" s="8">
        <v>11.99</v>
      </c>
      <c r="F678" s="6">
        <v>480</v>
      </c>
      <c r="G678" s="7" t="s">
        <v>48</v>
      </c>
      <c r="H678" s="6">
        <v>4</v>
      </c>
      <c r="I678" s="6">
        <v>6</v>
      </c>
      <c r="J678" s="7" t="b">
        <v>1</v>
      </c>
      <c r="K678" s="6">
        <v>277</v>
      </c>
      <c r="L678" s="6">
        <v>25</v>
      </c>
      <c r="M678" s="7" t="s">
        <v>74</v>
      </c>
      <c r="N678" s="7" t="s">
        <v>56</v>
      </c>
      <c r="O678" s="7" t="s">
        <v>78</v>
      </c>
      <c r="P678" s="5">
        <v>41</v>
      </c>
      <c r="Q678" s="4">
        <v>4.8</v>
      </c>
      <c r="R678" s="7" t="b">
        <v>0</v>
      </c>
      <c r="S678" s="7" t="s">
        <v>30</v>
      </c>
      <c r="T678" s="5">
        <v>3069</v>
      </c>
      <c r="U678" s="7" t="s">
        <v>76</v>
      </c>
      <c r="V678" t="s">
        <v>32</v>
      </c>
      <c r="W678" s="7" t="s">
        <v>93</v>
      </c>
    </row>
    <row r="679" spans="1:23" x14ac:dyDescent="0.3">
      <c r="A679" s="6">
        <v>4700</v>
      </c>
      <c r="B679" s="7" t="s">
        <v>179</v>
      </c>
      <c r="C679" t="s">
        <v>317</v>
      </c>
      <c r="D679" s="1">
        <v>45394</v>
      </c>
      <c r="E679" s="8">
        <v>7.99</v>
      </c>
      <c r="F679" s="6">
        <v>438</v>
      </c>
      <c r="G679" s="7" t="s">
        <v>26</v>
      </c>
      <c r="H679" s="6">
        <v>4</v>
      </c>
      <c r="I679" s="6">
        <v>4</v>
      </c>
      <c r="J679" s="7" t="b">
        <v>1</v>
      </c>
      <c r="K679" s="6">
        <v>546</v>
      </c>
      <c r="L679" s="6">
        <v>88</v>
      </c>
      <c r="M679" s="7" t="s">
        <v>49</v>
      </c>
      <c r="N679" s="7" t="s">
        <v>75</v>
      </c>
      <c r="O679" s="7" t="s">
        <v>78</v>
      </c>
      <c r="P679" s="5">
        <v>36</v>
      </c>
      <c r="Q679" s="4">
        <v>3.5</v>
      </c>
      <c r="R679" s="7" t="b">
        <v>0</v>
      </c>
      <c r="S679" s="7" t="s">
        <v>30</v>
      </c>
      <c r="T679" s="5">
        <v>1906</v>
      </c>
      <c r="U679" s="7" t="s">
        <v>65</v>
      </c>
      <c r="V679" t="s">
        <v>79</v>
      </c>
      <c r="W679" s="7" t="s">
        <v>93</v>
      </c>
    </row>
    <row r="680" spans="1:23" x14ac:dyDescent="0.3">
      <c r="A680" s="6">
        <v>7589</v>
      </c>
      <c r="B680" s="7" t="s">
        <v>280</v>
      </c>
      <c r="C680" s="1">
        <v>45115</v>
      </c>
      <c r="D680" s="1">
        <v>45334</v>
      </c>
      <c r="E680" s="8">
        <v>15.99</v>
      </c>
      <c r="F680" s="6">
        <v>295</v>
      </c>
      <c r="G680" s="7" t="s">
        <v>63</v>
      </c>
      <c r="H680" s="6">
        <v>2</v>
      </c>
      <c r="I680" s="6">
        <v>5</v>
      </c>
      <c r="J680" s="7" t="b">
        <v>0</v>
      </c>
      <c r="K680" s="6">
        <v>514</v>
      </c>
      <c r="L680" s="6">
        <v>102</v>
      </c>
      <c r="M680" s="7" t="s">
        <v>74</v>
      </c>
      <c r="N680" s="7" t="s">
        <v>28</v>
      </c>
      <c r="O680" s="7" t="s">
        <v>37</v>
      </c>
      <c r="P680" s="5">
        <v>3</v>
      </c>
      <c r="Q680" s="4">
        <v>4.8</v>
      </c>
      <c r="R680" s="7" t="b">
        <v>0</v>
      </c>
      <c r="S680" s="7" t="s">
        <v>30</v>
      </c>
      <c r="T680" s="5">
        <v>105</v>
      </c>
      <c r="U680" s="7" t="s">
        <v>31</v>
      </c>
      <c r="V680" t="s">
        <v>69</v>
      </c>
      <c r="W680" s="7" t="s">
        <v>93</v>
      </c>
    </row>
    <row r="681" spans="1:23" x14ac:dyDescent="0.3">
      <c r="A681" s="6">
        <v>6866</v>
      </c>
      <c r="B681" s="7" t="s">
        <v>199</v>
      </c>
      <c r="C681" t="s">
        <v>95</v>
      </c>
      <c r="D681" t="s">
        <v>156</v>
      </c>
      <c r="E681" s="8">
        <v>11.99</v>
      </c>
      <c r="F681" s="6">
        <v>479</v>
      </c>
      <c r="G681" s="7" t="s">
        <v>63</v>
      </c>
      <c r="H681" s="6">
        <v>1</v>
      </c>
      <c r="I681" s="6">
        <v>3</v>
      </c>
      <c r="J681" s="7" t="b">
        <v>1</v>
      </c>
      <c r="K681" s="6">
        <v>952</v>
      </c>
      <c r="L681" s="6">
        <v>48</v>
      </c>
      <c r="M681" s="7" t="s">
        <v>27</v>
      </c>
      <c r="N681" s="7" t="s">
        <v>56</v>
      </c>
      <c r="O681" s="7" t="s">
        <v>64</v>
      </c>
      <c r="P681" s="5">
        <v>54</v>
      </c>
      <c r="Q681" s="4">
        <v>4.5999999999999996</v>
      </c>
      <c r="R681" s="7" t="b">
        <v>1</v>
      </c>
      <c r="S681" s="7" t="s">
        <v>30</v>
      </c>
      <c r="T681" s="5">
        <v>4</v>
      </c>
      <c r="U681" s="7" t="s">
        <v>38</v>
      </c>
      <c r="V681" t="s">
        <v>79</v>
      </c>
      <c r="W681" s="7" t="s">
        <v>40</v>
      </c>
    </row>
    <row r="682" spans="1:23" x14ac:dyDescent="0.3">
      <c r="A682" s="6">
        <v>6960</v>
      </c>
      <c r="B682" s="7" t="s">
        <v>630</v>
      </c>
      <c r="C682" s="1">
        <v>45271</v>
      </c>
      <c r="D682" t="s">
        <v>214</v>
      </c>
      <c r="E682" s="8">
        <v>15.99</v>
      </c>
      <c r="F682" s="6">
        <v>214</v>
      </c>
      <c r="G682" s="7" t="s">
        <v>51</v>
      </c>
      <c r="H682" s="6">
        <v>5</v>
      </c>
      <c r="I682" s="6">
        <v>6</v>
      </c>
      <c r="J682" s="7" t="b">
        <v>1</v>
      </c>
      <c r="K682" s="6">
        <v>780</v>
      </c>
      <c r="L682" s="6">
        <v>16</v>
      </c>
      <c r="M682" s="7" t="s">
        <v>92</v>
      </c>
      <c r="N682" s="7" t="s">
        <v>28</v>
      </c>
      <c r="O682" s="7" t="s">
        <v>78</v>
      </c>
      <c r="P682" s="5">
        <v>1</v>
      </c>
      <c r="Q682" s="4">
        <v>3.3</v>
      </c>
      <c r="R682" s="7" t="b">
        <v>1</v>
      </c>
      <c r="S682" s="7" t="s">
        <v>30</v>
      </c>
      <c r="T682" s="5">
        <v>1651</v>
      </c>
      <c r="U682" s="7" t="s">
        <v>58</v>
      </c>
      <c r="V682" t="s">
        <v>79</v>
      </c>
      <c r="W682" s="7" t="s">
        <v>40</v>
      </c>
    </row>
    <row r="683" spans="1:23" x14ac:dyDescent="0.3">
      <c r="A683" s="6">
        <v>5808</v>
      </c>
      <c r="B683" s="7" t="s">
        <v>491</v>
      </c>
      <c r="C683" t="s">
        <v>543</v>
      </c>
      <c r="D683" t="s">
        <v>54</v>
      </c>
      <c r="E683" s="8">
        <v>15.99</v>
      </c>
      <c r="F683" s="6">
        <v>69</v>
      </c>
      <c r="G683" s="7" t="s">
        <v>26</v>
      </c>
      <c r="H683" s="6">
        <v>4</v>
      </c>
      <c r="I683" s="6">
        <v>5</v>
      </c>
      <c r="J683" s="7" t="b">
        <v>0</v>
      </c>
      <c r="K683" s="6">
        <v>976</v>
      </c>
      <c r="L683" s="6">
        <v>105</v>
      </c>
      <c r="M683" s="7" t="s">
        <v>27</v>
      </c>
      <c r="N683" s="7" t="s">
        <v>75</v>
      </c>
      <c r="O683" s="7" t="s">
        <v>45</v>
      </c>
      <c r="P683" s="5">
        <v>50</v>
      </c>
      <c r="Q683" s="4">
        <v>4.7</v>
      </c>
      <c r="R683" s="7" t="b">
        <v>1</v>
      </c>
      <c r="S683" s="7" t="s">
        <v>30</v>
      </c>
      <c r="T683" s="5">
        <v>1828</v>
      </c>
      <c r="U683" s="7" t="s">
        <v>76</v>
      </c>
      <c r="V683" t="s">
        <v>69</v>
      </c>
      <c r="W683" s="7" t="s">
        <v>40</v>
      </c>
    </row>
    <row r="684" spans="1:23" x14ac:dyDescent="0.3">
      <c r="A684" s="6">
        <v>5525</v>
      </c>
      <c r="B684" s="7" t="s">
        <v>224</v>
      </c>
      <c r="C684" s="1">
        <v>45056</v>
      </c>
      <c r="D684" s="1">
        <v>45455</v>
      </c>
      <c r="E684" s="8">
        <v>15.99</v>
      </c>
      <c r="F684" s="6">
        <v>344</v>
      </c>
      <c r="G684" s="7" t="s">
        <v>26</v>
      </c>
      <c r="H684" s="6">
        <v>5</v>
      </c>
      <c r="I684" s="6">
        <v>2</v>
      </c>
      <c r="J684" s="7" t="b">
        <v>0</v>
      </c>
      <c r="K684" s="6">
        <v>91</v>
      </c>
      <c r="L684" s="6">
        <v>137</v>
      </c>
      <c r="M684" s="7" t="s">
        <v>74</v>
      </c>
      <c r="N684" s="7" t="s">
        <v>75</v>
      </c>
      <c r="O684" s="7" t="s">
        <v>37</v>
      </c>
      <c r="P684" s="5">
        <v>37</v>
      </c>
      <c r="Q684" s="4">
        <v>3.4</v>
      </c>
      <c r="R684" s="7" t="b">
        <v>1</v>
      </c>
      <c r="S684" s="7" t="s">
        <v>30</v>
      </c>
      <c r="T684" s="5">
        <v>396</v>
      </c>
      <c r="U684" s="7" t="s">
        <v>58</v>
      </c>
      <c r="V684" t="s">
        <v>32</v>
      </c>
      <c r="W684" s="7" t="s">
        <v>33</v>
      </c>
    </row>
    <row r="685" spans="1:23" x14ac:dyDescent="0.3">
      <c r="A685" s="6">
        <v>1272</v>
      </c>
      <c r="B685" s="7" t="s">
        <v>272</v>
      </c>
      <c r="C685" t="s">
        <v>324</v>
      </c>
      <c r="D685" t="s">
        <v>84</v>
      </c>
      <c r="E685" s="8">
        <v>15.99</v>
      </c>
      <c r="F685" s="6">
        <v>163</v>
      </c>
      <c r="G685" s="7" t="s">
        <v>73</v>
      </c>
      <c r="H685" s="6">
        <v>5</v>
      </c>
      <c r="I685" s="6">
        <v>1</v>
      </c>
      <c r="J685" s="7" t="b">
        <v>0</v>
      </c>
      <c r="K685" s="6">
        <v>683</v>
      </c>
      <c r="L685" s="6">
        <v>108</v>
      </c>
      <c r="M685" s="7" t="s">
        <v>49</v>
      </c>
      <c r="N685" s="7" t="s">
        <v>75</v>
      </c>
      <c r="O685" s="7" t="s">
        <v>45</v>
      </c>
      <c r="P685" s="5">
        <v>10</v>
      </c>
      <c r="Q685" s="4">
        <v>4.2</v>
      </c>
      <c r="R685" s="7" t="b">
        <v>0</v>
      </c>
      <c r="S685" s="7" t="s">
        <v>30</v>
      </c>
      <c r="T685" s="5">
        <v>809</v>
      </c>
      <c r="U685" s="7" t="s">
        <v>31</v>
      </c>
      <c r="V685" t="s">
        <v>79</v>
      </c>
      <c r="W685" s="7" t="s">
        <v>40</v>
      </c>
    </row>
    <row r="686" spans="1:23" x14ac:dyDescent="0.3">
      <c r="A686" s="6">
        <v>8063</v>
      </c>
      <c r="B686" s="7" t="s">
        <v>304</v>
      </c>
      <c r="C686" t="s">
        <v>627</v>
      </c>
      <c r="D686" s="1">
        <v>45638</v>
      </c>
      <c r="E686" s="8">
        <v>7.99</v>
      </c>
      <c r="F686" s="6">
        <v>217</v>
      </c>
      <c r="G686" s="7" t="s">
        <v>73</v>
      </c>
      <c r="H686" s="6">
        <v>1</v>
      </c>
      <c r="I686" s="6">
        <v>6</v>
      </c>
      <c r="J686" s="7" t="b">
        <v>0</v>
      </c>
      <c r="K686" s="6">
        <v>53</v>
      </c>
      <c r="L686" s="6">
        <v>153</v>
      </c>
      <c r="M686" s="7" t="s">
        <v>43</v>
      </c>
      <c r="N686" s="7" t="s">
        <v>28</v>
      </c>
      <c r="O686" s="7" t="s">
        <v>57</v>
      </c>
      <c r="P686" s="5">
        <v>2</v>
      </c>
      <c r="Q686" s="4">
        <v>3.1</v>
      </c>
      <c r="R686" s="7" t="b">
        <v>1</v>
      </c>
      <c r="S686" s="7" t="s">
        <v>30</v>
      </c>
      <c r="T686" s="5">
        <v>1431</v>
      </c>
      <c r="U686" s="7" t="s">
        <v>65</v>
      </c>
      <c r="V686" t="s">
        <v>79</v>
      </c>
      <c r="W686" s="7" t="s">
        <v>40</v>
      </c>
    </row>
    <row r="687" spans="1:23" x14ac:dyDescent="0.3">
      <c r="A687" s="6">
        <v>1856</v>
      </c>
      <c r="B687" s="7" t="s">
        <v>631</v>
      </c>
      <c r="C687" t="s">
        <v>616</v>
      </c>
      <c r="D687" s="1">
        <v>45608</v>
      </c>
      <c r="E687" s="8">
        <v>15.99</v>
      </c>
      <c r="F687" s="6">
        <v>177</v>
      </c>
      <c r="G687" s="7" t="s">
        <v>63</v>
      </c>
      <c r="H687" s="6">
        <v>3</v>
      </c>
      <c r="I687" s="6">
        <v>2</v>
      </c>
      <c r="J687" s="7" t="b">
        <v>1</v>
      </c>
      <c r="K687" s="6">
        <v>246</v>
      </c>
      <c r="L687" s="6">
        <v>182</v>
      </c>
      <c r="M687" s="7" t="s">
        <v>74</v>
      </c>
      <c r="N687" s="7" t="s">
        <v>44</v>
      </c>
      <c r="O687" s="7" t="s">
        <v>57</v>
      </c>
      <c r="P687" s="5">
        <v>89</v>
      </c>
      <c r="Q687" s="4">
        <v>3.1</v>
      </c>
      <c r="R687" s="7" t="b">
        <v>0</v>
      </c>
      <c r="S687" s="7" t="s">
        <v>30</v>
      </c>
      <c r="T687" s="5">
        <v>2394</v>
      </c>
      <c r="U687" s="7" t="s">
        <v>76</v>
      </c>
      <c r="V687" t="s">
        <v>59</v>
      </c>
      <c r="W687" s="7" t="s">
        <v>93</v>
      </c>
    </row>
    <row r="688" spans="1:23" x14ac:dyDescent="0.3">
      <c r="A688" s="6">
        <v>2830</v>
      </c>
      <c r="B688" s="7" t="s">
        <v>579</v>
      </c>
      <c r="C688" s="1">
        <v>44990</v>
      </c>
      <c r="D688" s="1">
        <v>45516</v>
      </c>
      <c r="E688" s="8">
        <v>11.99</v>
      </c>
      <c r="F688" s="6">
        <v>304</v>
      </c>
      <c r="G688" s="7" t="s">
        <v>73</v>
      </c>
      <c r="H688" s="6">
        <v>1</v>
      </c>
      <c r="I688" s="6">
        <v>1</v>
      </c>
      <c r="J688" s="7" t="b">
        <v>1</v>
      </c>
      <c r="K688" s="6">
        <v>389</v>
      </c>
      <c r="L688" s="6">
        <v>137</v>
      </c>
      <c r="M688" s="7" t="s">
        <v>55</v>
      </c>
      <c r="N688" s="7" t="s">
        <v>75</v>
      </c>
      <c r="O688" s="7" t="s">
        <v>78</v>
      </c>
      <c r="P688" s="5">
        <v>2</v>
      </c>
      <c r="Q688" s="4">
        <v>4.8</v>
      </c>
      <c r="R688" s="7" t="b">
        <v>1</v>
      </c>
      <c r="S688" s="7" t="s">
        <v>30</v>
      </c>
      <c r="T688" s="5">
        <v>4685</v>
      </c>
      <c r="U688" s="7" t="s">
        <v>38</v>
      </c>
      <c r="V688" t="s">
        <v>79</v>
      </c>
      <c r="W688" s="7" t="s">
        <v>60</v>
      </c>
    </row>
    <row r="689" spans="1:23" x14ac:dyDescent="0.3">
      <c r="A689" s="6">
        <v>3287</v>
      </c>
      <c r="B689" s="7" t="s">
        <v>508</v>
      </c>
      <c r="C689" t="s">
        <v>609</v>
      </c>
      <c r="D689" t="s">
        <v>134</v>
      </c>
      <c r="E689" s="8">
        <v>15.99</v>
      </c>
      <c r="F689" s="6">
        <v>90</v>
      </c>
      <c r="G689" s="7" t="s">
        <v>63</v>
      </c>
      <c r="H689" s="6">
        <v>3</v>
      </c>
      <c r="I689" s="6">
        <v>2</v>
      </c>
      <c r="J689" s="7" t="b">
        <v>0</v>
      </c>
      <c r="K689" s="6">
        <v>399</v>
      </c>
      <c r="L689" s="6">
        <v>9</v>
      </c>
      <c r="M689" s="7" t="s">
        <v>92</v>
      </c>
      <c r="N689" s="7" t="s">
        <v>28</v>
      </c>
      <c r="O689" s="7" t="s">
        <v>45</v>
      </c>
      <c r="P689" s="5">
        <v>73</v>
      </c>
      <c r="Q689" s="4">
        <v>4.4000000000000004</v>
      </c>
      <c r="R689" s="7" t="b">
        <v>1</v>
      </c>
      <c r="S689" s="7" t="s">
        <v>30</v>
      </c>
      <c r="T689" s="5">
        <v>4332</v>
      </c>
      <c r="U689" s="7" t="s">
        <v>31</v>
      </c>
      <c r="V689" t="s">
        <v>79</v>
      </c>
      <c r="W689" s="7" t="s">
        <v>93</v>
      </c>
    </row>
    <row r="690" spans="1:23" x14ac:dyDescent="0.3">
      <c r="A690" s="6">
        <v>5679</v>
      </c>
      <c r="B690" s="7" t="s">
        <v>444</v>
      </c>
      <c r="C690" t="s">
        <v>526</v>
      </c>
      <c r="D690" s="1">
        <v>45455</v>
      </c>
      <c r="E690" s="8">
        <v>15.99</v>
      </c>
      <c r="F690" s="6">
        <v>108</v>
      </c>
      <c r="G690" s="7" t="s">
        <v>26</v>
      </c>
      <c r="H690" s="6">
        <v>4</v>
      </c>
      <c r="I690" s="6">
        <v>2</v>
      </c>
      <c r="J690" s="7" t="b">
        <v>0</v>
      </c>
      <c r="K690" s="6">
        <v>694</v>
      </c>
      <c r="L690" s="6">
        <v>199</v>
      </c>
      <c r="M690" s="7" t="s">
        <v>49</v>
      </c>
      <c r="N690" s="7" t="s">
        <v>75</v>
      </c>
      <c r="O690" s="7" t="s">
        <v>45</v>
      </c>
      <c r="P690" s="5">
        <v>81</v>
      </c>
      <c r="Q690" s="4">
        <v>5</v>
      </c>
      <c r="R690" s="7" t="b">
        <v>0</v>
      </c>
      <c r="S690" s="7" t="s">
        <v>30</v>
      </c>
      <c r="T690" s="5">
        <v>851</v>
      </c>
      <c r="U690" s="7" t="s">
        <v>65</v>
      </c>
      <c r="V690" t="s">
        <v>69</v>
      </c>
      <c r="W690" s="7" t="s">
        <v>93</v>
      </c>
    </row>
    <row r="691" spans="1:23" x14ac:dyDescent="0.3">
      <c r="A691" s="6">
        <v>6399</v>
      </c>
      <c r="B691" s="7" t="s">
        <v>157</v>
      </c>
      <c r="C691" s="1">
        <v>44927</v>
      </c>
      <c r="D691" s="1">
        <v>45424</v>
      </c>
      <c r="E691" s="8">
        <v>11.99</v>
      </c>
      <c r="F691" s="6">
        <v>96</v>
      </c>
      <c r="G691" s="7" t="s">
        <v>51</v>
      </c>
      <c r="H691" s="6">
        <v>3</v>
      </c>
      <c r="I691" s="6">
        <v>2</v>
      </c>
      <c r="J691" s="7" t="b">
        <v>0</v>
      </c>
      <c r="K691" s="6">
        <v>434</v>
      </c>
      <c r="L691" s="6">
        <v>11</v>
      </c>
      <c r="M691" s="7" t="s">
        <v>27</v>
      </c>
      <c r="N691" s="7" t="s">
        <v>56</v>
      </c>
      <c r="O691" s="7" t="s">
        <v>78</v>
      </c>
      <c r="P691" s="5">
        <v>80</v>
      </c>
      <c r="Q691" s="4">
        <v>4.5999999999999996</v>
      </c>
      <c r="R691" s="7" t="b">
        <v>0</v>
      </c>
      <c r="S691" s="7" t="s">
        <v>30</v>
      </c>
      <c r="T691" s="5">
        <v>2261</v>
      </c>
      <c r="U691" s="7" t="s">
        <v>65</v>
      </c>
      <c r="V691" t="s">
        <v>59</v>
      </c>
      <c r="W691" s="7" t="s">
        <v>93</v>
      </c>
    </row>
    <row r="692" spans="1:23" x14ac:dyDescent="0.3">
      <c r="A692" s="6">
        <v>8753</v>
      </c>
      <c r="B692" s="7" t="s">
        <v>257</v>
      </c>
      <c r="C692" t="s">
        <v>632</v>
      </c>
      <c r="D692" t="s">
        <v>90</v>
      </c>
      <c r="E692" s="8">
        <v>11.99</v>
      </c>
      <c r="F692" s="6">
        <v>247</v>
      </c>
      <c r="G692" s="7" t="s">
        <v>26</v>
      </c>
      <c r="H692" s="6">
        <v>2</v>
      </c>
      <c r="I692" s="6">
        <v>3</v>
      </c>
      <c r="J692" s="7" t="b">
        <v>0</v>
      </c>
      <c r="K692" s="6">
        <v>696</v>
      </c>
      <c r="L692" s="6">
        <v>28</v>
      </c>
      <c r="M692" s="7" t="s">
        <v>74</v>
      </c>
      <c r="N692" s="7" t="s">
        <v>44</v>
      </c>
      <c r="O692" s="7" t="s">
        <v>78</v>
      </c>
      <c r="P692" s="5">
        <v>79</v>
      </c>
      <c r="Q692" s="4">
        <v>4.8</v>
      </c>
      <c r="R692" s="7" t="b">
        <v>0</v>
      </c>
      <c r="S692" s="7" t="s">
        <v>30</v>
      </c>
      <c r="T692" s="5">
        <v>1500</v>
      </c>
      <c r="U692" s="7" t="s">
        <v>31</v>
      </c>
      <c r="V692" t="s">
        <v>79</v>
      </c>
      <c r="W692" s="7" t="s">
        <v>33</v>
      </c>
    </row>
    <row r="693" spans="1:23" x14ac:dyDescent="0.3">
      <c r="A693" s="6">
        <v>9267</v>
      </c>
      <c r="B693" s="7" t="s">
        <v>284</v>
      </c>
      <c r="C693" s="1">
        <v>45478</v>
      </c>
      <c r="D693" t="s">
        <v>156</v>
      </c>
      <c r="E693" s="8">
        <v>15.99</v>
      </c>
      <c r="F693" s="6">
        <v>245</v>
      </c>
      <c r="G693" s="7" t="s">
        <v>100</v>
      </c>
      <c r="H693" s="6">
        <v>3</v>
      </c>
      <c r="I693" s="6">
        <v>5</v>
      </c>
      <c r="J693" s="7" t="b">
        <v>1</v>
      </c>
      <c r="K693" s="6">
        <v>862</v>
      </c>
      <c r="L693" s="6">
        <v>129</v>
      </c>
      <c r="M693" s="7" t="s">
        <v>55</v>
      </c>
      <c r="N693" s="7" t="s">
        <v>44</v>
      </c>
      <c r="O693" s="7" t="s">
        <v>45</v>
      </c>
      <c r="P693" s="5">
        <v>6</v>
      </c>
      <c r="Q693" s="4">
        <v>3.7</v>
      </c>
      <c r="R693" s="7" t="b">
        <v>1</v>
      </c>
      <c r="S693" s="7" t="s">
        <v>30</v>
      </c>
      <c r="T693" s="5">
        <v>2130</v>
      </c>
      <c r="U693" s="7" t="s">
        <v>76</v>
      </c>
      <c r="V693" t="s">
        <v>39</v>
      </c>
      <c r="W693" s="7" t="s">
        <v>40</v>
      </c>
    </row>
    <row r="694" spans="1:23" x14ac:dyDescent="0.3">
      <c r="A694" s="6">
        <v>9846</v>
      </c>
      <c r="B694" s="7" t="s">
        <v>128</v>
      </c>
      <c r="C694" t="s">
        <v>633</v>
      </c>
      <c r="D694" t="s">
        <v>25</v>
      </c>
      <c r="E694" s="8">
        <v>7.99</v>
      </c>
      <c r="F694" s="6">
        <v>366</v>
      </c>
      <c r="G694" s="7" t="s">
        <v>36</v>
      </c>
      <c r="H694" s="6">
        <v>4</v>
      </c>
      <c r="I694" s="6">
        <v>5</v>
      </c>
      <c r="J694" s="7" t="b">
        <v>0</v>
      </c>
      <c r="K694" s="6">
        <v>631</v>
      </c>
      <c r="L694" s="6">
        <v>56</v>
      </c>
      <c r="M694" s="7" t="s">
        <v>92</v>
      </c>
      <c r="N694" s="7" t="s">
        <v>28</v>
      </c>
      <c r="O694" s="7" t="s">
        <v>57</v>
      </c>
      <c r="P694" s="5">
        <v>35</v>
      </c>
      <c r="Q694" s="4">
        <v>4.0999999999999996</v>
      </c>
      <c r="R694" s="7" t="b">
        <v>0</v>
      </c>
      <c r="S694" s="7" t="s">
        <v>30</v>
      </c>
      <c r="T694" s="5">
        <v>4308</v>
      </c>
      <c r="U694" s="7" t="s">
        <v>38</v>
      </c>
      <c r="V694" t="s">
        <v>32</v>
      </c>
      <c r="W694" s="7" t="s">
        <v>33</v>
      </c>
    </row>
    <row r="695" spans="1:23" x14ac:dyDescent="0.3">
      <c r="A695" s="6">
        <v>2382</v>
      </c>
      <c r="B695" s="7" t="s">
        <v>584</v>
      </c>
      <c r="C695" s="1">
        <v>45571</v>
      </c>
      <c r="D695" s="1">
        <v>45547</v>
      </c>
      <c r="E695" s="8">
        <v>15.99</v>
      </c>
      <c r="F695" s="6">
        <v>170</v>
      </c>
      <c r="G695" s="7" t="s">
        <v>48</v>
      </c>
      <c r="H695" s="6">
        <v>1</v>
      </c>
      <c r="I695" s="6">
        <v>3</v>
      </c>
      <c r="J695" s="7" t="b">
        <v>0</v>
      </c>
      <c r="K695" s="6">
        <v>144</v>
      </c>
      <c r="L695" s="6">
        <v>142</v>
      </c>
      <c r="M695" s="7" t="s">
        <v>55</v>
      </c>
      <c r="N695" s="7" t="s">
        <v>75</v>
      </c>
      <c r="O695" s="7" t="s">
        <v>29</v>
      </c>
      <c r="P695" s="5">
        <v>81</v>
      </c>
      <c r="Q695" s="4">
        <v>4.7</v>
      </c>
      <c r="R695" s="7" t="b">
        <v>1</v>
      </c>
      <c r="S695" s="7" t="s">
        <v>30</v>
      </c>
      <c r="T695" s="5">
        <v>421</v>
      </c>
      <c r="U695" s="7" t="s">
        <v>65</v>
      </c>
      <c r="V695" t="s">
        <v>39</v>
      </c>
      <c r="W695" s="7" t="s">
        <v>93</v>
      </c>
    </row>
    <row r="696" spans="1:23" x14ac:dyDescent="0.3">
      <c r="A696" s="6">
        <v>3593</v>
      </c>
      <c r="B696" s="7" t="s">
        <v>335</v>
      </c>
      <c r="C696" t="s">
        <v>634</v>
      </c>
      <c r="D696" t="s">
        <v>156</v>
      </c>
      <c r="E696" s="8">
        <v>7.99</v>
      </c>
      <c r="F696" s="6">
        <v>447</v>
      </c>
      <c r="G696" s="7" t="s">
        <v>51</v>
      </c>
      <c r="H696" s="6">
        <v>3</v>
      </c>
      <c r="I696" s="6">
        <v>1</v>
      </c>
      <c r="J696" s="7" t="b">
        <v>1</v>
      </c>
      <c r="K696" s="6">
        <v>466</v>
      </c>
      <c r="L696" s="6">
        <v>198</v>
      </c>
      <c r="M696" s="7" t="s">
        <v>55</v>
      </c>
      <c r="N696" s="7" t="s">
        <v>75</v>
      </c>
      <c r="O696" s="7" t="s">
        <v>29</v>
      </c>
      <c r="P696" s="5">
        <v>3</v>
      </c>
      <c r="Q696" s="4">
        <v>4.5</v>
      </c>
      <c r="R696" s="7" t="b">
        <v>0</v>
      </c>
      <c r="S696" s="7" t="s">
        <v>30</v>
      </c>
      <c r="T696" s="5">
        <v>2163</v>
      </c>
      <c r="U696" s="7" t="s">
        <v>65</v>
      </c>
      <c r="V696" t="s">
        <v>32</v>
      </c>
      <c r="W696" s="7" t="s">
        <v>33</v>
      </c>
    </row>
    <row r="697" spans="1:23" x14ac:dyDescent="0.3">
      <c r="A697" s="6">
        <v>4097</v>
      </c>
      <c r="B697" s="7" t="s">
        <v>280</v>
      </c>
      <c r="C697" t="s">
        <v>412</v>
      </c>
      <c r="D697" t="s">
        <v>129</v>
      </c>
      <c r="E697" s="8">
        <v>7.99</v>
      </c>
      <c r="F697" s="6">
        <v>369</v>
      </c>
      <c r="G697" s="7" t="s">
        <v>63</v>
      </c>
      <c r="H697" s="6">
        <v>3</v>
      </c>
      <c r="I697" s="6">
        <v>1</v>
      </c>
      <c r="J697" s="7" t="b">
        <v>0</v>
      </c>
      <c r="K697" s="6">
        <v>759</v>
      </c>
      <c r="L697" s="6">
        <v>56</v>
      </c>
      <c r="M697" s="7" t="s">
        <v>68</v>
      </c>
      <c r="N697" s="7" t="s">
        <v>28</v>
      </c>
      <c r="O697" s="7" t="s">
        <v>29</v>
      </c>
      <c r="P697" s="5">
        <v>30</v>
      </c>
      <c r="Q697" s="4">
        <v>4</v>
      </c>
      <c r="R697" s="7" t="b">
        <v>0</v>
      </c>
      <c r="S697" s="7" t="s">
        <v>30</v>
      </c>
      <c r="T697" s="5">
        <v>3354</v>
      </c>
      <c r="U697" s="7" t="s">
        <v>76</v>
      </c>
      <c r="V697" t="s">
        <v>59</v>
      </c>
      <c r="W697" s="7" t="s">
        <v>33</v>
      </c>
    </row>
    <row r="698" spans="1:23" x14ac:dyDescent="0.3">
      <c r="A698" s="6">
        <v>2886</v>
      </c>
      <c r="B698" s="7" t="s">
        <v>106</v>
      </c>
      <c r="C698" t="s">
        <v>173</v>
      </c>
      <c r="D698" t="s">
        <v>214</v>
      </c>
      <c r="E698" s="8">
        <v>15.99</v>
      </c>
      <c r="F698" s="6">
        <v>62</v>
      </c>
      <c r="G698" s="7" t="s">
        <v>73</v>
      </c>
      <c r="H698" s="6">
        <v>5</v>
      </c>
      <c r="I698" s="6">
        <v>1</v>
      </c>
      <c r="J698" s="7" t="b">
        <v>0</v>
      </c>
      <c r="K698" s="6">
        <v>811</v>
      </c>
      <c r="L698" s="6">
        <v>109</v>
      </c>
      <c r="M698" s="7" t="s">
        <v>74</v>
      </c>
      <c r="N698" s="7" t="s">
        <v>75</v>
      </c>
      <c r="O698" s="7" t="s">
        <v>37</v>
      </c>
      <c r="P698" s="5">
        <v>14</v>
      </c>
      <c r="Q698" s="4">
        <v>3.1</v>
      </c>
      <c r="R698" s="7" t="b">
        <v>0</v>
      </c>
      <c r="S698" s="7" t="s">
        <v>30</v>
      </c>
      <c r="T698" s="5">
        <v>3702</v>
      </c>
      <c r="U698" s="7" t="s">
        <v>65</v>
      </c>
      <c r="V698" t="s">
        <v>79</v>
      </c>
      <c r="W698" s="7" t="s">
        <v>60</v>
      </c>
    </row>
    <row r="699" spans="1:23" x14ac:dyDescent="0.3">
      <c r="A699" s="6">
        <v>3255</v>
      </c>
      <c r="B699" s="7" t="s">
        <v>547</v>
      </c>
      <c r="C699" s="1">
        <v>45444</v>
      </c>
      <c r="D699" t="s">
        <v>99</v>
      </c>
      <c r="E699" s="8">
        <v>7.99</v>
      </c>
      <c r="F699" s="6">
        <v>294</v>
      </c>
      <c r="G699" s="7" t="s">
        <v>63</v>
      </c>
      <c r="H699" s="6">
        <v>1</v>
      </c>
      <c r="I699" s="6">
        <v>3</v>
      </c>
      <c r="J699" s="7" t="b">
        <v>1</v>
      </c>
      <c r="K699" s="6">
        <v>936</v>
      </c>
      <c r="L699" s="6">
        <v>120</v>
      </c>
      <c r="M699" s="7" t="s">
        <v>92</v>
      </c>
      <c r="N699" s="7" t="s">
        <v>44</v>
      </c>
      <c r="O699" s="7" t="s">
        <v>57</v>
      </c>
      <c r="P699" s="5">
        <v>49</v>
      </c>
      <c r="Q699" s="4">
        <v>3.2</v>
      </c>
      <c r="R699" s="7" t="b">
        <v>1</v>
      </c>
      <c r="S699" s="7" t="s">
        <v>30</v>
      </c>
      <c r="T699" s="5">
        <v>3758</v>
      </c>
      <c r="U699" s="7" t="s">
        <v>76</v>
      </c>
      <c r="V699" t="s">
        <v>32</v>
      </c>
      <c r="W699" s="7" t="s">
        <v>93</v>
      </c>
    </row>
    <row r="700" spans="1:23" x14ac:dyDescent="0.3">
      <c r="A700" s="6">
        <v>6752</v>
      </c>
      <c r="B700" s="7" t="s">
        <v>194</v>
      </c>
      <c r="C700" t="s">
        <v>571</v>
      </c>
      <c r="D700" s="1">
        <v>45547</v>
      </c>
      <c r="E700" s="8">
        <v>11.99</v>
      </c>
      <c r="F700" s="6">
        <v>10</v>
      </c>
      <c r="G700" s="7" t="s">
        <v>51</v>
      </c>
      <c r="H700" s="6">
        <v>2</v>
      </c>
      <c r="I700" s="6">
        <v>4</v>
      </c>
      <c r="J700" s="7" t="b">
        <v>0</v>
      </c>
      <c r="K700" s="6">
        <v>146</v>
      </c>
      <c r="L700" s="6">
        <v>95</v>
      </c>
      <c r="M700" s="7" t="s">
        <v>68</v>
      </c>
      <c r="N700" s="7" t="s">
        <v>56</v>
      </c>
      <c r="O700" s="7" t="s">
        <v>57</v>
      </c>
      <c r="P700" s="5">
        <v>99</v>
      </c>
      <c r="Q700" s="4">
        <v>3.8</v>
      </c>
      <c r="R700" s="7" t="b">
        <v>1</v>
      </c>
      <c r="S700" s="7" t="s">
        <v>30</v>
      </c>
      <c r="T700" s="5">
        <v>3942</v>
      </c>
      <c r="U700" s="7" t="s">
        <v>76</v>
      </c>
      <c r="V700" t="s">
        <v>32</v>
      </c>
      <c r="W700" s="7" t="s">
        <v>93</v>
      </c>
    </row>
    <row r="701" spans="1:23" x14ac:dyDescent="0.3">
      <c r="A701" s="6">
        <v>7945</v>
      </c>
      <c r="B701" s="7" t="s">
        <v>631</v>
      </c>
      <c r="C701" t="s">
        <v>227</v>
      </c>
      <c r="D701" t="s">
        <v>168</v>
      </c>
      <c r="E701" s="8">
        <v>11.99</v>
      </c>
      <c r="F701" s="6">
        <v>389</v>
      </c>
      <c r="G701" s="7" t="s">
        <v>63</v>
      </c>
      <c r="H701" s="6">
        <v>2</v>
      </c>
      <c r="I701" s="6">
        <v>2</v>
      </c>
      <c r="J701" s="7" t="b">
        <v>1</v>
      </c>
      <c r="K701" s="6">
        <v>631</v>
      </c>
      <c r="L701" s="6">
        <v>85</v>
      </c>
      <c r="M701" s="7" t="s">
        <v>68</v>
      </c>
      <c r="N701" s="7" t="s">
        <v>44</v>
      </c>
      <c r="O701" s="7" t="s">
        <v>57</v>
      </c>
      <c r="P701" s="5">
        <v>53</v>
      </c>
      <c r="Q701" s="4">
        <v>3.3</v>
      </c>
      <c r="R701" s="7" t="b">
        <v>1</v>
      </c>
      <c r="S701" s="7" t="s">
        <v>30</v>
      </c>
      <c r="T701" s="5">
        <v>2242</v>
      </c>
      <c r="U701" s="7" t="s">
        <v>38</v>
      </c>
      <c r="V701" t="s">
        <v>79</v>
      </c>
      <c r="W701" s="7" t="s">
        <v>93</v>
      </c>
    </row>
    <row r="702" spans="1:23" x14ac:dyDescent="0.3">
      <c r="A702" s="6">
        <v>6658</v>
      </c>
      <c r="B702" s="7" t="s">
        <v>157</v>
      </c>
      <c r="C702" s="1">
        <v>45295</v>
      </c>
      <c r="D702" s="1">
        <v>45424</v>
      </c>
      <c r="E702" s="8">
        <v>7.99</v>
      </c>
      <c r="F702" s="6">
        <v>55</v>
      </c>
      <c r="G702" s="7" t="s">
        <v>48</v>
      </c>
      <c r="H702" s="6">
        <v>5</v>
      </c>
      <c r="I702" s="6">
        <v>6</v>
      </c>
      <c r="J702" s="7" t="b">
        <v>0</v>
      </c>
      <c r="K702" s="6">
        <v>682</v>
      </c>
      <c r="L702" s="6">
        <v>141</v>
      </c>
      <c r="M702" s="7" t="s">
        <v>27</v>
      </c>
      <c r="N702" s="7" t="s">
        <v>44</v>
      </c>
      <c r="O702" s="7" t="s">
        <v>29</v>
      </c>
      <c r="P702" s="5">
        <v>42</v>
      </c>
      <c r="Q702" s="4">
        <v>3.6</v>
      </c>
      <c r="R702" s="7" t="b">
        <v>1</v>
      </c>
      <c r="S702" s="7" t="s">
        <v>30</v>
      </c>
      <c r="T702" s="5">
        <v>2561</v>
      </c>
      <c r="U702" s="7" t="s">
        <v>38</v>
      </c>
      <c r="V702" t="s">
        <v>69</v>
      </c>
      <c r="W702" s="7" t="s">
        <v>33</v>
      </c>
    </row>
    <row r="703" spans="1:23" x14ac:dyDescent="0.3">
      <c r="A703" s="6">
        <v>5468</v>
      </c>
      <c r="B703" s="7" t="s">
        <v>635</v>
      </c>
      <c r="C703" s="1">
        <v>45326</v>
      </c>
      <c r="D703" t="s">
        <v>84</v>
      </c>
      <c r="E703" s="8">
        <v>11.99</v>
      </c>
      <c r="F703" s="6">
        <v>208</v>
      </c>
      <c r="G703" s="7" t="s">
        <v>100</v>
      </c>
      <c r="H703" s="6">
        <v>4</v>
      </c>
      <c r="I703" s="6">
        <v>6</v>
      </c>
      <c r="J703" s="7" t="b">
        <v>1</v>
      </c>
      <c r="K703" s="6">
        <v>135</v>
      </c>
      <c r="L703" s="6">
        <v>9</v>
      </c>
      <c r="M703" s="7" t="s">
        <v>27</v>
      </c>
      <c r="N703" s="7" t="s">
        <v>28</v>
      </c>
      <c r="O703" s="7" t="s">
        <v>29</v>
      </c>
      <c r="P703" s="5">
        <v>41</v>
      </c>
      <c r="Q703" s="4">
        <v>3</v>
      </c>
      <c r="R703" s="7" t="b">
        <v>1</v>
      </c>
      <c r="S703" s="7" t="s">
        <v>30</v>
      </c>
      <c r="T703" s="5">
        <v>2465</v>
      </c>
      <c r="U703" s="7" t="s">
        <v>76</v>
      </c>
      <c r="V703" t="s">
        <v>32</v>
      </c>
      <c r="W703" s="7" t="s">
        <v>33</v>
      </c>
    </row>
    <row r="704" spans="1:23" x14ac:dyDescent="0.3">
      <c r="A704" s="6">
        <v>7451</v>
      </c>
      <c r="B704" s="7" t="s">
        <v>244</v>
      </c>
      <c r="C704" t="s">
        <v>636</v>
      </c>
      <c r="D704" s="1">
        <v>45547</v>
      </c>
      <c r="E704" s="8">
        <v>15.99</v>
      </c>
      <c r="F704" s="6">
        <v>198</v>
      </c>
      <c r="G704" s="7" t="s">
        <v>48</v>
      </c>
      <c r="H704" s="6">
        <v>5</v>
      </c>
      <c r="I704" s="6">
        <v>5</v>
      </c>
      <c r="J704" s="7" t="b">
        <v>1</v>
      </c>
      <c r="K704" s="6">
        <v>255</v>
      </c>
      <c r="L704" s="6">
        <v>183</v>
      </c>
      <c r="M704" s="7" t="s">
        <v>43</v>
      </c>
      <c r="N704" s="7" t="s">
        <v>44</v>
      </c>
      <c r="O704" s="7" t="s">
        <v>78</v>
      </c>
      <c r="P704" s="5">
        <v>92</v>
      </c>
      <c r="Q704" s="4">
        <v>4.9000000000000004</v>
      </c>
      <c r="R704" s="7" t="b">
        <v>0</v>
      </c>
      <c r="S704" s="7" t="s">
        <v>30</v>
      </c>
      <c r="T704" s="5">
        <v>4435</v>
      </c>
      <c r="U704" s="7" t="s">
        <v>76</v>
      </c>
      <c r="V704" t="s">
        <v>59</v>
      </c>
      <c r="W704" s="7" t="s">
        <v>60</v>
      </c>
    </row>
    <row r="705" spans="1:23" x14ac:dyDescent="0.3">
      <c r="A705" s="6">
        <v>1253</v>
      </c>
      <c r="B705" s="7" t="s">
        <v>157</v>
      </c>
      <c r="C705" s="1">
        <v>45542</v>
      </c>
      <c r="D705" s="1">
        <v>45424</v>
      </c>
      <c r="E705" s="8">
        <v>11.99</v>
      </c>
      <c r="F705" s="6">
        <v>280</v>
      </c>
      <c r="G705" s="7" t="s">
        <v>63</v>
      </c>
      <c r="H705" s="6">
        <v>1</v>
      </c>
      <c r="I705" s="6">
        <v>1</v>
      </c>
      <c r="J705" s="7" t="b">
        <v>1</v>
      </c>
      <c r="K705" s="6">
        <v>702</v>
      </c>
      <c r="L705" s="6">
        <v>58</v>
      </c>
      <c r="M705" s="7" t="s">
        <v>92</v>
      </c>
      <c r="N705" s="7" t="s">
        <v>28</v>
      </c>
      <c r="O705" s="7" t="s">
        <v>78</v>
      </c>
      <c r="P705" s="5">
        <v>13</v>
      </c>
      <c r="Q705" s="4">
        <v>3.2</v>
      </c>
      <c r="R705" s="7" t="b">
        <v>0</v>
      </c>
      <c r="S705" s="7" t="s">
        <v>30</v>
      </c>
      <c r="T705" s="5">
        <v>4116</v>
      </c>
      <c r="U705" s="7" t="s">
        <v>31</v>
      </c>
      <c r="V705" t="s">
        <v>69</v>
      </c>
      <c r="W705" s="7" t="s">
        <v>93</v>
      </c>
    </row>
    <row r="706" spans="1:23" x14ac:dyDescent="0.3">
      <c r="A706" s="6">
        <v>6746</v>
      </c>
      <c r="B706" s="7" t="s">
        <v>558</v>
      </c>
      <c r="C706" s="1">
        <v>45333</v>
      </c>
      <c r="D706" t="s">
        <v>105</v>
      </c>
      <c r="E706" s="8">
        <v>7.99</v>
      </c>
      <c r="F706" s="6">
        <v>161</v>
      </c>
      <c r="G706" s="7" t="s">
        <v>73</v>
      </c>
      <c r="H706" s="6">
        <v>2</v>
      </c>
      <c r="I706" s="6">
        <v>5</v>
      </c>
      <c r="J706" s="7" t="b">
        <v>0</v>
      </c>
      <c r="K706" s="6">
        <v>151</v>
      </c>
      <c r="L706" s="6">
        <v>109</v>
      </c>
      <c r="M706" s="7" t="s">
        <v>49</v>
      </c>
      <c r="N706" s="7" t="s">
        <v>75</v>
      </c>
      <c r="O706" s="7" t="s">
        <v>64</v>
      </c>
      <c r="P706" s="5">
        <v>27</v>
      </c>
      <c r="Q706" s="4">
        <v>3.3</v>
      </c>
      <c r="R706" s="7" t="b">
        <v>0</v>
      </c>
      <c r="S706" s="7" t="s">
        <v>30</v>
      </c>
      <c r="T706" s="5">
        <v>944</v>
      </c>
      <c r="U706" s="7" t="s">
        <v>58</v>
      </c>
      <c r="V706" t="s">
        <v>32</v>
      </c>
      <c r="W706" s="7" t="s">
        <v>93</v>
      </c>
    </row>
    <row r="707" spans="1:23" x14ac:dyDescent="0.3">
      <c r="A707" s="6">
        <v>8089</v>
      </c>
      <c r="B707" s="7" t="s">
        <v>232</v>
      </c>
      <c r="C707" s="1">
        <v>45510</v>
      </c>
      <c r="D707" t="s">
        <v>99</v>
      </c>
      <c r="E707" s="8">
        <v>7.99</v>
      </c>
      <c r="F707" s="6">
        <v>439</v>
      </c>
      <c r="G707" s="7" t="s">
        <v>26</v>
      </c>
      <c r="H707" s="6">
        <v>2</v>
      </c>
      <c r="I707" s="6">
        <v>2</v>
      </c>
      <c r="J707" s="7" t="b">
        <v>1</v>
      </c>
      <c r="K707" s="6">
        <v>421</v>
      </c>
      <c r="L707" s="6">
        <v>138</v>
      </c>
      <c r="M707" s="7" t="s">
        <v>55</v>
      </c>
      <c r="N707" s="7" t="s">
        <v>44</v>
      </c>
      <c r="O707" s="7" t="s">
        <v>57</v>
      </c>
      <c r="P707" s="5">
        <v>14</v>
      </c>
      <c r="Q707" s="4">
        <v>4.0999999999999996</v>
      </c>
      <c r="R707" s="7" t="b">
        <v>0</v>
      </c>
      <c r="S707" s="7" t="s">
        <v>30</v>
      </c>
      <c r="T707" s="5">
        <v>4219</v>
      </c>
      <c r="U707" s="7" t="s">
        <v>58</v>
      </c>
      <c r="V707" t="s">
        <v>32</v>
      </c>
      <c r="W707" s="7" t="s">
        <v>60</v>
      </c>
    </row>
    <row r="708" spans="1:23" x14ac:dyDescent="0.3">
      <c r="A708" s="6">
        <v>8045</v>
      </c>
      <c r="B708" s="7" t="s">
        <v>304</v>
      </c>
      <c r="C708" s="1">
        <v>44996</v>
      </c>
      <c r="D708" s="1">
        <v>45334</v>
      </c>
      <c r="E708" s="8">
        <v>7.99</v>
      </c>
      <c r="F708" s="6">
        <v>339</v>
      </c>
      <c r="G708" s="7" t="s">
        <v>100</v>
      </c>
      <c r="H708" s="6">
        <v>5</v>
      </c>
      <c r="I708" s="6">
        <v>5</v>
      </c>
      <c r="J708" s="7" t="b">
        <v>1</v>
      </c>
      <c r="K708" s="6">
        <v>354</v>
      </c>
      <c r="L708" s="6">
        <v>129</v>
      </c>
      <c r="M708" s="7" t="s">
        <v>92</v>
      </c>
      <c r="N708" s="7" t="s">
        <v>75</v>
      </c>
      <c r="O708" s="7" t="s">
        <v>78</v>
      </c>
      <c r="P708" s="5">
        <v>14</v>
      </c>
      <c r="Q708" s="4">
        <v>3.9</v>
      </c>
      <c r="R708" s="7" t="b">
        <v>0</v>
      </c>
      <c r="S708" s="7" t="s">
        <v>30</v>
      </c>
      <c r="T708" s="5">
        <v>4311</v>
      </c>
      <c r="U708" s="7" t="s">
        <v>38</v>
      </c>
      <c r="V708" t="s">
        <v>69</v>
      </c>
      <c r="W708" s="7" t="s">
        <v>33</v>
      </c>
    </row>
    <row r="709" spans="1:23" x14ac:dyDescent="0.3">
      <c r="A709" s="6">
        <v>9417</v>
      </c>
      <c r="B709" s="7" t="s">
        <v>126</v>
      </c>
      <c r="C709" t="s">
        <v>264</v>
      </c>
      <c r="D709" t="s">
        <v>105</v>
      </c>
      <c r="E709" s="8">
        <v>11.99</v>
      </c>
      <c r="F709" s="6">
        <v>52</v>
      </c>
      <c r="G709" s="7" t="s">
        <v>26</v>
      </c>
      <c r="H709" s="6">
        <v>4</v>
      </c>
      <c r="I709" s="6">
        <v>4</v>
      </c>
      <c r="J709" s="7" t="b">
        <v>0</v>
      </c>
      <c r="K709" s="6">
        <v>377</v>
      </c>
      <c r="L709" s="6">
        <v>135</v>
      </c>
      <c r="M709" s="7" t="s">
        <v>49</v>
      </c>
      <c r="N709" s="7" t="s">
        <v>56</v>
      </c>
      <c r="O709" s="7" t="s">
        <v>57</v>
      </c>
      <c r="P709" s="5">
        <v>90</v>
      </c>
      <c r="Q709" s="4">
        <v>4.0999999999999996</v>
      </c>
      <c r="R709" s="7" t="b">
        <v>1</v>
      </c>
      <c r="S709" s="7" t="s">
        <v>30</v>
      </c>
      <c r="T709" s="5">
        <v>1972</v>
      </c>
      <c r="U709" s="7" t="s">
        <v>58</v>
      </c>
      <c r="V709" t="s">
        <v>39</v>
      </c>
      <c r="W709" s="7" t="s">
        <v>40</v>
      </c>
    </row>
    <row r="710" spans="1:23" x14ac:dyDescent="0.3">
      <c r="A710" s="6">
        <v>3217</v>
      </c>
      <c r="B710" s="7" t="s">
        <v>140</v>
      </c>
      <c r="C710" s="1">
        <v>45509</v>
      </c>
      <c r="D710" t="s">
        <v>129</v>
      </c>
      <c r="E710" s="8">
        <v>15.99</v>
      </c>
      <c r="F710" s="6">
        <v>297</v>
      </c>
      <c r="G710" s="7" t="s">
        <v>73</v>
      </c>
      <c r="H710" s="6">
        <v>5</v>
      </c>
      <c r="I710" s="6">
        <v>3</v>
      </c>
      <c r="J710" s="7" t="b">
        <v>0</v>
      </c>
      <c r="K710" s="6">
        <v>796</v>
      </c>
      <c r="L710" s="6">
        <v>200</v>
      </c>
      <c r="M710" s="7" t="s">
        <v>92</v>
      </c>
      <c r="N710" s="7" t="s">
        <v>75</v>
      </c>
      <c r="O710" s="7" t="s">
        <v>78</v>
      </c>
      <c r="P710" s="5">
        <v>36</v>
      </c>
      <c r="Q710" s="4">
        <v>3.1</v>
      </c>
      <c r="R710" s="7" t="b">
        <v>1</v>
      </c>
      <c r="S710" s="7" t="s">
        <v>30</v>
      </c>
      <c r="T710" s="5">
        <v>2132</v>
      </c>
      <c r="U710" s="7" t="s">
        <v>31</v>
      </c>
      <c r="V710" t="s">
        <v>79</v>
      </c>
      <c r="W710" s="7" t="s">
        <v>40</v>
      </c>
    </row>
    <row r="711" spans="1:23" x14ac:dyDescent="0.3">
      <c r="A711" s="6">
        <v>4234</v>
      </c>
      <c r="B711" s="7" t="s">
        <v>157</v>
      </c>
      <c r="C711" s="1">
        <v>45139</v>
      </c>
      <c r="D711" t="s">
        <v>54</v>
      </c>
      <c r="E711" s="8">
        <v>15.99</v>
      </c>
      <c r="F711" s="6">
        <v>40</v>
      </c>
      <c r="G711" s="7" t="s">
        <v>51</v>
      </c>
      <c r="H711" s="6">
        <v>5</v>
      </c>
      <c r="I711" s="6">
        <v>1</v>
      </c>
      <c r="J711" s="7" t="b">
        <v>1</v>
      </c>
      <c r="K711" s="6">
        <v>841</v>
      </c>
      <c r="L711" s="6">
        <v>179</v>
      </c>
      <c r="M711" s="7" t="s">
        <v>68</v>
      </c>
      <c r="N711" s="7" t="s">
        <v>28</v>
      </c>
      <c r="O711" s="7" t="s">
        <v>37</v>
      </c>
      <c r="P711" s="5">
        <v>59</v>
      </c>
      <c r="Q711" s="4">
        <v>3.5</v>
      </c>
      <c r="R711" s="7" t="b">
        <v>1</v>
      </c>
      <c r="S711" s="7" t="s">
        <v>30</v>
      </c>
      <c r="T711" s="5">
        <v>2370</v>
      </c>
      <c r="U711" s="7" t="s">
        <v>58</v>
      </c>
      <c r="V711" t="s">
        <v>79</v>
      </c>
      <c r="W711" s="7" t="s">
        <v>93</v>
      </c>
    </row>
    <row r="712" spans="1:23" x14ac:dyDescent="0.3">
      <c r="A712" s="6">
        <v>1118</v>
      </c>
      <c r="B712" s="7" t="s">
        <v>240</v>
      </c>
      <c r="C712" s="1">
        <v>45475</v>
      </c>
      <c r="D712" s="1">
        <v>45608</v>
      </c>
      <c r="E712" s="8">
        <v>15.99</v>
      </c>
      <c r="F712" s="6">
        <v>379</v>
      </c>
      <c r="G712" s="7" t="s">
        <v>26</v>
      </c>
      <c r="H712" s="6">
        <v>2</v>
      </c>
      <c r="I712" s="6">
        <v>1</v>
      </c>
      <c r="J712" s="7" t="b">
        <v>1</v>
      </c>
      <c r="K712" s="6">
        <v>885</v>
      </c>
      <c r="L712" s="6">
        <v>110</v>
      </c>
      <c r="M712" s="7" t="s">
        <v>49</v>
      </c>
      <c r="N712" s="7" t="s">
        <v>44</v>
      </c>
      <c r="O712" s="7" t="s">
        <v>57</v>
      </c>
      <c r="P712" s="5">
        <v>43</v>
      </c>
      <c r="Q712" s="4">
        <v>4.2</v>
      </c>
      <c r="R712" s="7" t="b">
        <v>1</v>
      </c>
      <c r="S712" s="7" t="s">
        <v>30</v>
      </c>
      <c r="T712" s="5">
        <v>1312</v>
      </c>
      <c r="U712" s="7" t="s">
        <v>58</v>
      </c>
      <c r="V712" t="s">
        <v>79</v>
      </c>
      <c r="W712" s="7" t="s">
        <v>40</v>
      </c>
    </row>
    <row r="713" spans="1:23" x14ac:dyDescent="0.3">
      <c r="A713" s="6">
        <v>4027</v>
      </c>
      <c r="B713" s="7" t="s">
        <v>631</v>
      </c>
      <c r="C713" t="s">
        <v>447</v>
      </c>
      <c r="D713" t="s">
        <v>156</v>
      </c>
      <c r="E713" s="8">
        <v>15.99</v>
      </c>
      <c r="F713" s="6">
        <v>82</v>
      </c>
      <c r="G713" s="7" t="s">
        <v>63</v>
      </c>
      <c r="H713" s="6">
        <v>2</v>
      </c>
      <c r="I713" s="6">
        <v>3</v>
      </c>
      <c r="J713" s="7" t="b">
        <v>0</v>
      </c>
      <c r="K713" s="6">
        <v>999</v>
      </c>
      <c r="L713" s="6">
        <v>190</v>
      </c>
      <c r="M713" s="7" t="s">
        <v>92</v>
      </c>
      <c r="N713" s="7" t="s">
        <v>28</v>
      </c>
      <c r="O713" s="7" t="s">
        <v>57</v>
      </c>
      <c r="P713" s="5">
        <v>57</v>
      </c>
      <c r="Q713" s="4">
        <v>3.1</v>
      </c>
      <c r="R713" s="7" t="b">
        <v>1</v>
      </c>
      <c r="S713" s="7" t="s">
        <v>30</v>
      </c>
      <c r="T713" s="5">
        <v>4920</v>
      </c>
      <c r="U713" s="7" t="s">
        <v>76</v>
      </c>
      <c r="V713" t="s">
        <v>32</v>
      </c>
      <c r="W713" s="7" t="s">
        <v>93</v>
      </c>
    </row>
    <row r="714" spans="1:23" x14ac:dyDescent="0.3">
      <c r="A714" s="6">
        <v>8451</v>
      </c>
      <c r="B714" s="7" t="s">
        <v>637</v>
      </c>
      <c r="C714" s="1">
        <v>44960</v>
      </c>
      <c r="D714" t="s">
        <v>109</v>
      </c>
      <c r="E714" s="8">
        <v>11.99</v>
      </c>
      <c r="F714" s="6">
        <v>192</v>
      </c>
      <c r="G714" s="7" t="s">
        <v>26</v>
      </c>
      <c r="H714" s="6">
        <v>3</v>
      </c>
      <c r="I714" s="6">
        <v>3</v>
      </c>
      <c r="J714" s="7" t="b">
        <v>0</v>
      </c>
      <c r="K714" s="6">
        <v>585</v>
      </c>
      <c r="L714" s="6">
        <v>82</v>
      </c>
      <c r="M714" s="7" t="s">
        <v>74</v>
      </c>
      <c r="N714" s="7" t="s">
        <v>75</v>
      </c>
      <c r="O714" s="7" t="s">
        <v>29</v>
      </c>
      <c r="P714" s="5">
        <v>59</v>
      </c>
      <c r="Q714" s="4">
        <v>4.0999999999999996</v>
      </c>
      <c r="R714" s="7" t="b">
        <v>1</v>
      </c>
      <c r="S714" s="7" t="s">
        <v>30</v>
      </c>
      <c r="T714" s="5">
        <v>2897</v>
      </c>
      <c r="U714" s="7" t="s">
        <v>58</v>
      </c>
      <c r="V714" t="s">
        <v>69</v>
      </c>
      <c r="W714" s="7" t="s">
        <v>60</v>
      </c>
    </row>
    <row r="715" spans="1:23" x14ac:dyDescent="0.3">
      <c r="A715" s="6">
        <v>6647</v>
      </c>
      <c r="B715" s="7" t="s">
        <v>88</v>
      </c>
      <c r="C715" t="s">
        <v>638</v>
      </c>
      <c r="D715" t="s">
        <v>168</v>
      </c>
      <c r="E715" s="8">
        <v>15.99</v>
      </c>
      <c r="F715" s="6">
        <v>286</v>
      </c>
      <c r="G715" s="7" t="s">
        <v>36</v>
      </c>
      <c r="H715" s="6">
        <v>5</v>
      </c>
      <c r="I715" s="6">
        <v>2</v>
      </c>
      <c r="J715" s="7" t="b">
        <v>0</v>
      </c>
      <c r="K715" s="6">
        <v>617</v>
      </c>
      <c r="L715" s="6">
        <v>89</v>
      </c>
      <c r="M715" s="7" t="s">
        <v>43</v>
      </c>
      <c r="N715" s="7" t="s">
        <v>28</v>
      </c>
      <c r="O715" s="7" t="s">
        <v>37</v>
      </c>
      <c r="P715" s="5">
        <v>64</v>
      </c>
      <c r="Q715" s="4">
        <v>3.2</v>
      </c>
      <c r="R715" s="7" t="b">
        <v>1</v>
      </c>
      <c r="S715" s="7" t="s">
        <v>30</v>
      </c>
      <c r="T715" s="5">
        <v>1275</v>
      </c>
      <c r="U715" s="7" t="s">
        <v>31</v>
      </c>
      <c r="V715" t="s">
        <v>69</v>
      </c>
      <c r="W715" s="7" t="s">
        <v>93</v>
      </c>
    </row>
    <row r="716" spans="1:23" x14ac:dyDescent="0.3">
      <c r="A716" s="6">
        <v>4002</v>
      </c>
      <c r="B716" s="7" t="s">
        <v>441</v>
      </c>
      <c r="C716" s="1">
        <v>45477</v>
      </c>
      <c r="D716" s="1">
        <v>45608</v>
      </c>
      <c r="E716" s="8">
        <v>11.99</v>
      </c>
      <c r="F716" s="6">
        <v>452</v>
      </c>
      <c r="G716" s="7" t="s">
        <v>63</v>
      </c>
      <c r="H716" s="6">
        <v>2</v>
      </c>
      <c r="I716" s="6">
        <v>6</v>
      </c>
      <c r="J716" s="7" t="b">
        <v>0</v>
      </c>
      <c r="K716" s="6">
        <v>196</v>
      </c>
      <c r="L716" s="6">
        <v>132</v>
      </c>
      <c r="M716" s="7" t="s">
        <v>92</v>
      </c>
      <c r="N716" s="7" t="s">
        <v>75</v>
      </c>
      <c r="O716" s="7" t="s">
        <v>57</v>
      </c>
      <c r="P716" s="5">
        <v>84</v>
      </c>
      <c r="Q716" s="4">
        <v>3.7</v>
      </c>
      <c r="R716" s="7" t="b">
        <v>1</v>
      </c>
      <c r="S716" s="7" t="s">
        <v>30</v>
      </c>
      <c r="T716" s="5">
        <v>340</v>
      </c>
      <c r="U716" s="7" t="s">
        <v>76</v>
      </c>
      <c r="V716" t="s">
        <v>59</v>
      </c>
      <c r="W716" s="7" t="s">
        <v>40</v>
      </c>
    </row>
    <row r="717" spans="1:23" x14ac:dyDescent="0.3">
      <c r="A717" s="6">
        <v>6910</v>
      </c>
      <c r="B717" s="7" t="s">
        <v>347</v>
      </c>
      <c r="C717" s="1">
        <v>44988</v>
      </c>
      <c r="D717" t="s">
        <v>99</v>
      </c>
      <c r="E717" s="8">
        <v>7.99</v>
      </c>
      <c r="F717" s="6">
        <v>417</v>
      </c>
      <c r="G717" s="7" t="s">
        <v>63</v>
      </c>
      <c r="H717" s="6">
        <v>4</v>
      </c>
      <c r="I717" s="6">
        <v>5</v>
      </c>
      <c r="J717" s="7" t="b">
        <v>0</v>
      </c>
      <c r="K717" s="6">
        <v>792</v>
      </c>
      <c r="L717" s="6">
        <v>187</v>
      </c>
      <c r="M717" s="7" t="s">
        <v>92</v>
      </c>
      <c r="N717" s="7" t="s">
        <v>75</v>
      </c>
      <c r="O717" s="7" t="s">
        <v>64</v>
      </c>
      <c r="P717" s="5">
        <v>5</v>
      </c>
      <c r="Q717" s="4">
        <v>4.5999999999999996</v>
      </c>
      <c r="R717" s="7" t="b">
        <v>1</v>
      </c>
      <c r="S717" s="7" t="s">
        <v>30</v>
      </c>
      <c r="T717" s="5">
        <v>444</v>
      </c>
      <c r="U717" s="7" t="s">
        <v>58</v>
      </c>
      <c r="V717" t="s">
        <v>39</v>
      </c>
      <c r="W717" s="7" t="s">
        <v>93</v>
      </c>
    </row>
    <row r="718" spans="1:23" x14ac:dyDescent="0.3">
      <c r="A718" s="6">
        <v>3164</v>
      </c>
      <c r="B718" s="7" t="s">
        <v>325</v>
      </c>
      <c r="C718" t="s">
        <v>113</v>
      </c>
      <c r="D718" t="s">
        <v>25</v>
      </c>
      <c r="E718" s="8">
        <v>15.99</v>
      </c>
      <c r="F718" s="6">
        <v>371</v>
      </c>
      <c r="G718" s="7" t="s">
        <v>73</v>
      </c>
      <c r="H718" s="6">
        <v>1</v>
      </c>
      <c r="I718" s="6">
        <v>5</v>
      </c>
      <c r="J718" s="7" t="b">
        <v>1</v>
      </c>
      <c r="K718" s="6">
        <v>466</v>
      </c>
      <c r="L718" s="6">
        <v>176</v>
      </c>
      <c r="M718" s="7" t="s">
        <v>43</v>
      </c>
      <c r="N718" s="7" t="s">
        <v>75</v>
      </c>
      <c r="O718" s="7" t="s">
        <v>29</v>
      </c>
      <c r="P718" s="5">
        <v>73</v>
      </c>
      <c r="Q718" s="4">
        <v>4.9000000000000004</v>
      </c>
      <c r="R718" s="7" t="b">
        <v>0</v>
      </c>
      <c r="S718" s="7" t="s">
        <v>30</v>
      </c>
      <c r="T718" s="5">
        <v>292</v>
      </c>
      <c r="U718" s="7" t="s">
        <v>38</v>
      </c>
      <c r="V718" t="s">
        <v>39</v>
      </c>
      <c r="W718" s="7" t="s">
        <v>60</v>
      </c>
    </row>
    <row r="719" spans="1:23" x14ac:dyDescent="0.3">
      <c r="A719" s="6">
        <v>2400</v>
      </c>
      <c r="B719" s="7" t="s">
        <v>138</v>
      </c>
      <c r="C719" s="1">
        <v>45180</v>
      </c>
      <c r="D719" s="1">
        <v>45638</v>
      </c>
      <c r="E719" s="8">
        <v>15.99</v>
      </c>
      <c r="F719" s="6">
        <v>110</v>
      </c>
      <c r="G719" s="7" t="s">
        <v>63</v>
      </c>
      <c r="H719" s="6">
        <v>2</v>
      </c>
      <c r="I719" s="6">
        <v>5</v>
      </c>
      <c r="J719" s="7" t="b">
        <v>1</v>
      </c>
      <c r="K719" s="6">
        <v>684</v>
      </c>
      <c r="L719" s="6">
        <v>32</v>
      </c>
      <c r="M719" s="7" t="s">
        <v>49</v>
      </c>
      <c r="N719" s="7" t="s">
        <v>28</v>
      </c>
      <c r="O719" s="7" t="s">
        <v>78</v>
      </c>
      <c r="P719" s="5">
        <v>68</v>
      </c>
      <c r="Q719" s="4">
        <v>4</v>
      </c>
      <c r="R719" s="7" t="b">
        <v>0</v>
      </c>
      <c r="S719" s="7" t="s">
        <v>30</v>
      </c>
      <c r="T719" s="5">
        <v>53</v>
      </c>
      <c r="U719" s="7" t="s">
        <v>65</v>
      </c>
      <c r="V719" t="s">
        <v>39</v>
      </c>
      <c r="W719" s="7" t="s">
        <v>33</v>
      </c>
    </row>
    <row r="720" spans="1:23" x14ac:dyDescent="0.3">
      <c r="A720" s="6">
        <v>5499</v>
      </c>
      <c r="B720" s="7" t="s">
        <v>404</v>
      </c>
      <c r="C720" t="s">
        <v>173</v>
      </c>
      <c r="D720" s="1">
        <v>45334</v>
      </c>
      <c r="E720" s="8">
        <v>15.99</v>
      </c>
      <c r="F720" s="6">
        <v>274</v>
      </c>
      <c r="G720" s="7" t="s">
        <v>63</v>
      </c>
      <c r="H720" s="6">
        <v>2</v>
      </c>
      <c r="I720" s="6">
        <v>1</v>
      </c>
      <c r="J720" s="7" t="b">
        <v>1</v>
      </c>
      <c r="K720" s="6">
        <v>155</v>
      </c>
      <c r="L720" s="6">
        <v>94</v>
      </c>
      <c r="M720" s="7" t="s">
        <v>49</v>
      </c>
      <c r="N720" s="7" t="s">
        <v>44</v>
      </c>
      <c r="O720" s="7" t="s">
        <v>37</v>
      </c>
      <c r="P720" s="5">
        <v>96</v>
      </c>
      <c r="Q720" s="4">
        <v>3.5</v>
      </c>
      <c r="R720" s="7" t="b">
        <v>0</v>
      </c>
      <c r="S720" s="7" t="s">
        <v>30</v>
      </c>
      <c r="T720" s="5">
        <v>1638</v>
      </c>
      <c r="U720" s="7" t="s">
        <v>38</v>
      </c>
      <c r="V720" t="s">
        <v>32</v>
      </c>
      <c r="W720" s="7" t="s">
        <v>40</v>
      </c>
    </row>
    <row r="721" spans="1:23" x14ac:dyDescent="0.3">
      <c r="A721" s="6">
        <v>7221</v>
      </c>
      <c r="B721" s="7" t="s">
        <v>367</v>
      </c>
      <c r="C721" t="s">
        <v>178</v>
      </c>
      <c r="D721" t="s">
        <v>87</v>
      </c>
      <c r="E721" s="8">
        <v>15.99</v>
      </c>
      <c r="F721" s="6">
        <v>412</v>
      </c>
      <c r="G721" s="7" t="s">
        <v>48</v>
      </c>
      <c r="H721" s="6">
        <v>2</v>
      </c>
      <c r="I721" s="6">
        <v>5</v>
      </c>
      <c r="J721" s="7" t="b">
        <v>1</v>
      </c>
      <c r="K721" s="6">
        <v>450</v>
      </c>
      <c r="L721" s="6">
        <v>147</v>
      </c>
      <c r="M721" s="7" t="s">
        <v>68</v>
      </c>
      <c r="N721" s="7" t="s">
        <v>44</v>
      </c>
      <c r="O721" s="7" t="s">
        <v>29</v>
      </c>
      <c r="P721" s="5">
        <v>11</v>
      </c>
      <c r="Q721" s="4">
        <v>4.4000000000000004</v>
      </c>
      <c r="R721" s="7" t="b">
        <v>1</v>
      </c>
      <c r="S721" s="7" t="s">
        <v>30</v>
      </c>
      <c r="T721" s="5">
        <v>3542</v>
      </c>
      <c r="U721" s="7" t="s">
        <v>76</v>
      </c>
      <c r="V721" t="s">
        <v>39</v>
      </c>
      <c r="W721" s="7" t="s">
        <v>33</v>
      </c>
    </row>
    <row r="722" spans="1:23" x14ac:dyDescent="0.3">
      <c r="A722" s="6">
        <v>4556</v>
      </c>
      <c r="B722" s="7" t="s">
        <v>120</v>
      </c>
      <c r="C722" s="1">
        <v>45201</v>
      </c>
      <c r="D722" t="s">
        <v>168</v>
      </c>
      <c r="E722" s="8">
        <v>11.99</v>
      </c>
      <c r="F722" s="6">
        <v>341</v>
      </c>
      <c r="G722" s="7" t="s">
        <v>100</v>
      </c>
      <c r="H722" s="6">
        <v>4</v>
      </c>
      <c r="I722" s="6">
        <v>1</v>
      </c>
      <c r="J722" s="7" t="b">
        <v>1</v>
      </c>
      <c r="K722" s="6">
        <v>744</v>
      </c>
      <c r="L722" s="6">
        <v>146</v>
      </c>
      <c r="M722" s="7" t="s">
        <v>68</v>
      </c>
      <c r="N722" s="7" t="s">
        <v>28</v>
      </c>
      <c r="O722" s="7" t="s">
        <v>64</v>
      </c>
      <c r="P722" s="5">
        <v>75</v>
      </c>
      <c r="Q722" s="4">
        <v>4.4000000000000004</v>
      </c>
      <c r="R722" s="7" t="b">
        <v>0</v>
      </c>
      <c r="S722" s="7" t="s">
        <v>30</v>
      </c>
      <c r="T722" s="5">
        <v>4935</v>
      </c>
      <c r="U722" s="7" t="s">
        <v>58</v>
      </c>
      <c r="V722" t="s">
        <v>32</v>
      </c>
      <c r="W722" s="7" t="s">
        <v>60</v>
      </c>
    </row>
    <row r="723" spans="1:23" x14ac:dyDescent="0.3">
      <c r="A723" s="6">
        <v>7175</v>
      </c>
      <c r="B723" s="7" t="s">
        <v>517</v>
      </c>
      <c r="C723" t="s">
        <v>639</v>
      </c>
      <c r="D723" t="s">
        <v>35</v>
      </c>
      <c r="E723" s="8">
        <v>11.99</v>
      </c>
      <c r="F723" s="6">
        <v>388</v>
      </c>
      <c r="G723" s="7" t="s">
        <v>100</v>
      </c>
      <c r="H723" s="6">
        <v>3</v>
      </c>
      <c r="I723" s="6">
        <v>6</v>
      </c>
      <c r="J723" s="7" t="b">
        <v>0</v>
      </c>
      <c r="K723" s="6">
        <v>51</v>
      </c>
      <c r="L723" s="6">
        <v>27</v>
      </c>
      <c r="M723" s="7" t="s">
        <v>43</v>
      </c>
      <c r="N723" s="7" t="s">
        <v>44</v>
      </c>
      <c r="O723" s="7" t="s">
        <v>37</v>
      </c>
      <c r="P723" s="5">
        <v>66</v>
      </c>
      <c r="Q723" s="4">
        <v>3.2</v>
      </c>
      <c r="R723" s="7" t="b">
        <v>1</v>
      </c>
      <c r="S723" s="7" t="s">
        <v>30</v>
      </c>
      <c r="T723" s="5">
        <v>1216</v>
      </c>
      <c r="U723" s="7" t="s">
        <v>65</v>
      </c>
      <c r="V723" t="s">
        <v>79</v>
      </c>
      <c r="W723" s="7" t="s">
        <v>93</v>
      </c>
    </row>
    <row r="724" spans="1:23" x14ac:dyDescent="0.3">
      <c r="A724" s="6">
        <v>7072</v>
      </c>
      <c r="B724" s="7" t="s">
        <v>592</v>
      </c>
      <c r="C724" s="1">
        <v>45109</v>
      </c>
      <c r="D724" t="s">
        <v>54</v>
      </c>
      <c r="E724" s="8">
        <v>15.99</v>
      </c>
      <c r="F724" s="6">
        <v>446</v>
      </c>
      <c r="G724" s="7" t="s">
        <v>48</v>
      </c>
      <c r="H724" s="6">
        <v>1</v>
      </c>
      <c r="I724" s="6">
        <v>4</v>
      </c>
      <c r="J724" s="7" t="b">
        <v>1</v>
      </c>
      <c r="K724" s="6">
        <v>897</v>
      </c>
      <c r="L724" s="6">
        <v>19</v>
      </c>
      <c r="M724" s="7" t="s">
        <v>74</v>
      </c>
      <c r="N724" s="7" t="s">
        <v>28</v>
      </c>
      <c r="O724" s="7" t="s">
        <v>64</v>
      </c>
      <c r="P724" s="5">
        <v>14</v>
      </c>
      <c r="Q724" s="4">
        <v>3.5</v>
      </c>
      <c r="R724" s="7" t="b">
        <v>1</v>
      </c>
      <c r="S724" s="7" t="s">
        <v>30</v>
      </c>
      <c r="T724" s="5">
        <v>4409</v>
      </c>
      <c r="U724" s="7" t="s">
        <v>38</v>
      </c>
      <c r="V724" t="s">
        <v>39</v>
      </c>
      <c r="W724" s="7" t="s">
        <v>33</v>
      </c>
    </row>
    <row r="725" spans="1:23" x14ac:dyDescent="0.3">
      <c r="A725" s="6">
        <v>4320</v>
      </c>
      <c r="B725" s="7" t="s">
        <v>307</v>
      </c>
      <c r="C725" s="1">
        <v>45292</v>
      </c>
      <c r="D725" t="s">
        <v>72</v>
      </c>
      <c r="E725" s="8">
        <v>15.99</v>
      </c>
      <c r="F725" s="6">
        <v>223</v>
      </c>
      <c r="G725" s="7" t="s">
        <v>26</v>
      </c>
      <c r="H725" s="6">
        <v>5</v>
      </c>
      <c r="I725" s="6">
        <v>3</v>
      </c>
      <c r="J725" s="7" t="b">
        <v>1</v>
      </c>
      <c r="K725" s="6">
        <v>499</v>
      </c>
      <c r="L725" s="6">
        <v>124</v>
      </c>
      <c r="M725" s="7" t="s">
        <v>43</v>
      </c>
      <c r="N725" s="7" t="s">
        <v>28</v>
      </c>
      <c r="O725" s="7" t="s">
        <v>37</v>
      </c>
      <c r="P725" s="5">
        <v>78</v>
      </c>
      <c r="Q725" s="4">
        <v>4.7</v>
      </c>
      <c r="R725" s="7" t="b">
        <v>1</v>
      </c>
      <c r="S725" s="7" t="s">
        <v>30</v>
      </c>
      <c r="T725" s="5">
        <v>2853</v>
      </c>
      <c r="U725" s="7" t="s">
        <v>65</v>
      </c>
      <c r="V725" t="s">
        <v>69</v>
      </c>
      <c r="W725" s="7" t="s">
        <v>60</v>
      </c>
    </row>
    <row r="726" spans="1:23" x14ac:dyDescent="0.3">
      <c r="A726" s="6">
        <v>3558</v>
      </c>
      <c r="B726" s="7" t="s">
        <v>640</v>
      </c>
      <c r="C726" s="1">
        <v>45292</v>
      </c>
      <c r="D726" t="s">
        <v>129</v>
      </c>
      <c r="E726" s="8">
        <v>15.99</v>
      </c>
      <c r="F726" s="6">
        <v>417</v>
      </c>
      <c r="G726" s="7" t="s">
        <v>48</v>
      </c>
      <c r="H726" s="6">
        <v>5</v>
      </c>
      <c r="I726" s="6">
        <v>4</v>
      </c>
      <c r="J726" s="7" t="b">
        <v>0</v>
      </c>
      <c r="K726" s="6">
        <v>179</v>
      </c>
      <c r="L726" s="6">
        <v>29</v>
      </c>
      <c r="M726" s="7" t="s">
        <v>43</v>
      </c>
      <c r="N726" s="7" t="s">
        <v>56</v>
      </c>
      <c r="O726" s="7" t="s">
        <v>45</v>
      </c>
      <c r="P726" s="5">
        <v>84</v>
      </c>
      <c r="Q726" s="4">
        <v>4.5</v>
      </c>
      <c r="R726" s="7" t="b">
        <v>0</v>
      </c>
      <c r="S726" s="7" t="s">
        <v>30</v>
      </c>
      <c r="T726" s="5">
        <v>1252</v>
      </c>
      <c r="U726" s="7" t="s">
        <v>58</v>
      </c>
      <c r="V726" t="s">
        <v>32</v>
      </c>
      <c r="W726" s="7" t="s">
        <v>40</v>
      </c>
    </row>
    <row r="727" spans="1:23" x14ac:dyDescent="0.3">
      <c r="A727" s="6">
        <v>8581</v>
      </c>
      <c r="B727" s="7" t="s">
        <v>196</v>
      </c>
      <c r="C727" t="s">
        <v>641</v>
      </c>
      <c r="D727" t="s">
        <v>84</v>
      </c>
      <c r="E727" s="8">
        <v>11.99</v>
      </c>
      <c r="F727" s="6">
        <v>390</v>
      </c>
      <c r="G727" s="7" t="s">
        <v>100</v>
      </c>
      <c r="H727" s="6">
        <v>5</v>
      </c>
      <c r="I727" s="6">
        <v>1</v>
      </c>
      <c r="J727" s="7" t="b">
        <v>1</v>
      </c>
      <c r="K727" s="6">
        <v>889</v>
      </c>
      <c r="L727" s="6">
        <v>145</v>
      </c>
      <c r="M727" s="7" t="s">
        <v>27</v>
      </c>
      <c r="N727" s="7" t="s">
        <v>28</v>
      </c>
      <c r="O727" s="7" t="s">
        <v>29</v>
      </c>
      <c r="P727" s="5">
        <v>60</v>
      </c>
      <c r="Q727" s="4">
        <v>4.5</v>
      </c>
      <c r="R727" s="7" t="b">
        <v>1</v>
      </c>
      <c r="S727" s="7" t="s">
        <v>30</v>
      </c>
      <c r="T727" s="5">
        <v>3027</v>
      </c>
      <c r="U727" s="7" t="s">
        <v>58</v>
      </c>
      <c r="V727" t="s">
        <v>79</v>
      </c>
      <c r="W727" s="7" t="s">
        <v>33</v>
      </c>
    </row>
    <row r="728" spans="1:23" x14ac:dyDescent="0.3">
      <c r="A728" s="6">
        <v>5827</v>
      </c>
      <c r="B728" s="7" t="s">
        <v>224</v>
      </c>
      <c r="C728" t="s">
        <v>642</v>
      </c>
      <c r="D728" s="1">
        <v>45334</v>
      </c>
      <c r="E728" s="8">
        <v>15.99</v>
      </c>
      <c r="F728" s="6">
        <v>33</v>
      </c>
      <c r="G728" s="7" t="s">
        <v>73</v>
      </c>
      <c r="H728" s="6">
        <v>4</v>
      </c>
      <c r="I728" s="6">
        <v>2</v>
      </c>
      <c r="J728" s="7" t="b">
        <v>0</v>
      </c>
      <c r="K728" s="6">
        <v>191</v>
      </c>
      <c r="L728" s="6">
        <v>25</v>
      </c>
      <c r="M728" s="7" t="s">
        <v>49</v>
      </c>
      <c r="N728" s="7" t="s">
        <v>56</v>
      </c>
      <c r="O728" s="7" t="s">
        <v>37</v>
      </c>
      <c r="P728" s="5">
        <v>44</v>
      </c>
      <c r="Q728" s="4">
        <v>4.5</v>
      </c>
      <c r="R728" s="7" t="b">
        <v>1</v>
      </c>
      <c r="S728" s="7" t="s">
        <v>30</v>
      </c>
      <c r="T728" s="5">
        <v>1228</v>
      </c>
      <c r="U728" s="7" t="s">
        <v>65</v>
      </c>
      <c r="V728" t="s">
        <v>69</v>
      </c>
      <c r="W728" s="7" t="s">
        <v>40</v>
      </c>
    </row>
    <row r="729" spans="1:23" x14ac:dyDescent="0.3">
      <c r="A729" s="6">
        <v>6929</v>
      </c>
      <c r="B729" s="7" t="s">
        <v>114</v>
      </c>
      <c r="C729" t="s">
        <v>418</v>
      </c>
      <c r="D729" s="1">
        <v>45424</v>
      </c>
      <c r="E729" s="8">
        <v>11.99</v>
      </c>
      <c r="F729" s="6">
        <v>302</v>
      </c>
      <c r="G729" s="7" t="s">
        <v>26</v>
      </c>
      <c r="H729" s="6">
        <v>5</v>
      </c>
      <c r="I729" s="6">
        <v>5</v>
      </c>
      <c r="J729" s="7" t="b">
        <v>1</v>
      </c>
      <c r="K729" s="6">
        <v>42</v>
      </c>
      <c r="L729" s="6">
        <v>196</v>
      </c>
      <c r="M729" s="7" t="s">
        <v>55</v>
      </c>
      <c r="N729" s="7" t="s">
        <v>56</v>
      </c>
      <c r="O729" s="7" t="s">
        <v>29</v>
      </c>
      <c r="P729" s="5">
        <v>74</v>
      </c>
      <c r="Q729" s="4">
        <v>4.5999999999999996</v>
      </c>
      <c r="R729" s="7" t="b">
        <v>0</v>
      </c>
      <c r="S729" s="7" t="s">
        <v>30</v>
      </c>
      <c r="T729" s="5">
        <v>3616</v>
      </c>
      <c r="U729" s="7" t="s">
        <v>38</v>
      </c>
      <c r="V729" t="s">
        <v>59</v>
      </c>
      <c r="W729" s="7" t="s">
        <v>40</v>
      </c>
    </row>
    <row r="730" spans="1:23" x14ac:dyDescent="0.3">
      <c r="A730" s="6">
        <v>9179</v>
      </c>
      <c r="B730" s="7" t="s">
        <v>643</v>
      </c>
      <c r="C730" s="1">
        <v>45608</v>
      </c>
      <c r="D730" t="s">
        <v>99</v>
      </c>
      <c r="E730" s="8">
        <v>15.99</v>
      </c>
      <c r="F730" s="6">
        <v>121</v>
      </c>
      <c r="G730" s="7" t="s">
        <v>63</v>
      </c>
      <c r="H730" s="6">
        <v>4</v>
      </c>
      <c r="I730" s="6">
        <v>5</v>
      </c>
      <c r="J730" s="7" t="b">
        <v>1</v>
      </c>
      <c r="K730" s="6">
        <v>53</v>
      </c>
      <c r="L730" s="6">
        <v>77</v>
      </c>
      <c r="M730" s="7" t="s">
        <v>68</v>
      </c>
      <c r="N730" s="7" t="s">
        <v>28</v>
      </c>
      <c r="O730" s="7" t="s">
        <v>29</v>
      </c>
      <c r="P730" s="5">
        <v>54</v>
      </c>
      <c r="Q730" s="4">
        <v>3.1</v>
      </c>
      <c r="R730" s="7" t="b">
        <v>1</v>
      </c>
      <c r="S730" s="7" t="s">
        <v>30</v>
      </c>
      <c r="T730" s="5">
        <v>3913</v>
      </c>
      <c r="U730" s="7" t="s">
        <v>65</v>
      </c>
      <c r="V730" t="s">
        <v>32</v>
      </c>
      <c r="W730" s="7" t="s">
        <v>60</v>
      </c>
    </row>
    <row r="731" spans="1:23" x14ac:dyDescent="0.3">
      <c r="A731" s="6">
        <v>7580</v>
      </c>
      <c r="B731" s="7" t="s">
        <v>52</v>
      </c>
      <c r="C731" s="1">
        <v>45140</v>
      </c>
      <c r="D731" t="s">
        <v>134</v>
      </c>
      <c r="E731" s="8">
        <v>7.99</v>
      </c>
      <c r="F731" s="6">
        <v>112</v>
      </c>
      <c r="G731" s="7" t="s">
        <v>63</v>
      </c>
      <c r="H731" s="6">
        <v>5</v>
      </c>
      <c r="I731" s="6">
        <v>6</v>
      </c>
      <c r="J731" s="7" t="b">
        <v>0</v>
      </c>
      <c r="K731" s="6">
        <v>535</v>
      </c>
      <c r="L731" s="6">
        <v>43</v>
      </c>
      <c r="M731" s="7" t="s">
        <v>49</v>
      </c>
      <c r="N731" s="7" t="s">
        <v>75</v>
      </c>
      <c r="O731" s="7" t="s">
        <v>64</v>
      </c>
      <c r="P731" s="5">
        <v>89</v>
      </c>
      <c r="Q731" s="4">
        <v>3.1</v>
      </c>
      <c r="R731" s="7" t="b">
        <v>1</v>
      </c>
      <c r="S731" s="7" t="s">
        <v>30</v>
      </c>
      <c r="T731" s="5">
        <v>775</v>
      </c>
      <c r="U731" s="7" t="s">
        <v>38</v>
      </c>
      <c r="V731" t="s">
        <v>59</v>
      </c>
      <c r="W731" s="7" t="s">
        <v>40</v>
      </c>
    </row>
    <row r="732" spans="1:23" x14ac:dyDescent="0.3">
      <c r="A732" s="6">
        <v>3858</v>
      </c>
      <c r="B732" s="7" t="s">
        <v>179</v>
      </c>
      <c r="C732" t="s">
        <v>644</v>
      </c>
      <c r="D732" s="1">
        <v>45424</v>
      </c>
      <c r="E732" s="8">
        <v>15.99</v>
      </c>
      <c r="F732" s="6">
        <v>375</v>
      </c>
      <c r="G732" s="7" t="s">
        <v>100</v>
      </c>
      <c r="H732" s="6">
        <v>3</v>
      </c>
      <c r="I732" s="6">
        <v>6</v>
      </c>
      <c r="J732" s="7" t="b">
        <v>0</v>
      </c>
      <c r="K732" s="6">
        <v>416</v>
      </c>
      <c r="L732" s="6">
        <v>79</v>
      </c>
      <c r="M732" s="7" t="s">
        <v>92</v>
      </c>
      <c r="N732" s="7" t="s">
        <v>28</v>
      </c>
      <c r="O732" s="7" t="s">
        <v>29</v>
      </c>
      <c r="P732" s="5">
        <v>33</v>
      </c>
      <c r="Q732" s="4">
        <v>3.2</v>
      </c>
      <c r="R732" s="7" t="b">
        <v>1</v>
      </c>
      <c r="S732" s="7" t="s">
        <v>30</v>
      </c>
      <c r="T732" s="5">
        <v>2536</v>
      </c>
      <c r="U732" s="7" t="s">
        <v>38</v>
      </c>
      <c r="V732" t="s">
        <v>79</v>
      </c>
      <c r="W732" s="7" t="s">
        <v>40</v>
      </c>
    </row>
    <row r="733" spans="1:23" x14ac:dyDescent="0.3">
      <c r="A733" s="6">
        <v>8627</v>
      </c>
      <c r="B733" s="7" t="s">
        <v>238</v>
      </c>
      <c r="C733" t="s">
        <v>144</v>
      </c>
      <c r="D733" s="1">
        <v>45303</v>
      </c>
      <c r="E733" s="8">
        <v>11.99</v>
      </c>
      <c r="F733" s="6">
        <v>97</v>
      </c>
      <c r="G733" s="7" t="s">
        <v>73</v>
      </c>
      <c r="H733" s="6">
        <v>3</v>
      </c>
      <c r="I733" s="6">
        <v>2</v>
      </c>
      <c r="J733" s="7" t="b">
        <v>0</v>
      </c>
      <c r="K733" s="6">
        <v>287</v>
      </c>
      <c r="L733" s="6">
        <v>39</v>
      </c>
      <c r="M733" s="7" t="s">
        <v>92</v>
      </c>
      <c r="N733" s="7" t="s">
        <v>28</v>
      </c>
      <c r="O733" s="7" t="s">
        <v>64</v>
      </c>
      <c r="P733" s="5">
        <v>9</v>
      </c>
      <c r="Q733" s="4">
        <v>4.9000000000000004</v>
      </c>
      <c r="R733" s="7" t="b">
        <v>0</v>
      </c>
      <c r="S733" s="7" t="s">
        <v>30</v>
      </c>
      <c r="T733" s="5">
        <v>2331</v>
      </c>
      <c r="U733" s="7" t="s">
        <v>65</v>
      </c>
      <c r="V733" t="s">
        <v>39</v>
      </c>
      <c r="W733" s="7" t="s">
        <v>40</v>
      </c>
    </row>
    <row r="734" spans="1:23" x14ac:dyDescent="0.3">
      <c r="A734" s="6">
        <v>7552</v>
      </c>
      <c r="B734" s="7" t="s">
        <v>645</v>
      </c>
      <c r="C734" s="1">
        <v>45510</v>
      </c>
      <c r="D734" s="1">
        <v>45394</v>
      </c>
      <c r="E734" s="8">
        <v>15.99</v>
      </c>
      <c r="F734" s="6">
        <v>306</v>
      </c>
      <c r="G734" s="7" t="s">
        <v>51</v>
      </c>
      <c r="H734" s="6">
        <v>4</v>
      </c>
      <c r="I734" s="6">
        <v>5</v>
      </c>
      <c r="J734" s="7" t="b">
        <v>0</v>
      </c>
      <c r="K734" s="6">
        <v>651</v>
      </c>
      <c r="L734" s="6">
        <v>60</v>
      </c>
      <c r="M734" s="7" t="s">
        <v>74</v>
      </c>
      <c r="N734" s="7" t="s">
        <v>75</v>
      </c>
      <c r="O734" s="7" t="s">
        <v>45</v>
      </c>
      <c r="P734" s="5">
        <v>86</v>
      </c>
      <c r="Q734" s="4">
        <v>3.1</v>
      </c>
      <c r="R734" s="7" t="b">
        <v>0</v>
      </c>
      <c r="S734" s="7" t="s">
        <v>30</v>
      </c>
      <c r="T734" s="5">
        <v>2953</v>
      </c>
      <c r="U734" s="7" t="s">
        <v>38</v>
      </c>
      <c r="V734" t="s">
        <v>79</v>
      </c>
      <c r="W734" s="7" t="s">
        <v>93</v>
      </c>
    </row>
    <row r="735" spans="1:23" x14ac:dyDescent="0.3">
      <c r="A735" s="6">
        <v>6020</v>
      </c>
      <c r="B735" s="7" t="s">
        <v>640</v>
      </c>
      <c r="C735" t="s">
        <v>646</v>
      </c>
      <c r="D735" t="s">
        <v>134</v>
      </c>
      <c r="E735" s="8">
        <v>11.99</v>
      </c>
      <c r="F735" s="6">
        <v>136</v>
      </c>
      <c r="G735" s="7" t="s">
        <v>63</v>
      </c>
      <c r="H735" s="6">
        <v>5</v>
      </c>
      <c r="I735" s="6">
        <v>2</v>
      </c>
      <c r="J735" s="7" t="b">
        <v>1</v>
      </c>
      <c r="K735" s="6">
        <v>821</v>
      </c>
      <c r="L735" s="6">
        <v>174</v>
      </c>
      <c r="M735" s="7" t="s">
        <v>92</v>
      </c>
      <c r="N735" s="7" t="s">
        <v>56</v>
      </c>
      <c r="O735" s="7" t="s">
        <v>37</v>
      </c>
      <c r="P735" s="5">
        <v>92</v>
      </c>
      <c r="Q735" s="4">
        <v>3.6</v>
      </c>
      <c r="R735" s="7" t="b">
        <v>1</v>
      </c>
      <c r="S735" s="7" t="s">
        <v>30</v>
      </c>
      <c r="T735" s="5">
        <v>868</v>
      </c>
      <c r="U735" s="7" t="s">
        <v>38</v>
      </c>
      <c r="V735" t="s">
        <v>69</v>
      </c>
      <c r="W735" s="7" t="s">
        <v>93</v>
      </c>
    </row>
    <row r="736" spans="1:23" x14ac:dyDescent="0.3">
      <c r="A736" s="6">
        <v>9408</v>
      </c>
      <c r="B736" s="7" t="s">
        <v>291</v>
      </c>
      <c r="C736" s="1">
        <v>45265</v>
      </c>
      <c r="D736" t="s">
        <v>214</v>
      </c>
      <c r="E736" s="8">
        <v>7.99</v>
      </c>
      <c r="F736" s="6">
        <v>12</v>
      </c>
      <c r="G736" s="7" t="s">
        <v>73</v>
      </c>
      <c r="H736" s="6">
        <v>2</v>
      </c>
      <c r="I736" s="6">
        <v>3</v>
      </c>
      <c r="J736" s="7" t="b">
        <v>1</v>
      </c>
      <c r="K736" s="6">
        <v>396</v>
      </c>
      <c r="L736" s="6">
        <v>22</v>
      </c>
      <c r="M736" s="7" t="s">
        <v>68</v>
      </c>
      <c r="N736" s="7" t="s">
        <v>75</v>
      </c>
      <c r="O736" s="7" t="s">
        <v>29</v>
      </c>
      <c r="P736" s="5">
        <v>70</v>
      </c>
      <c r="Q736" s="4">
        <v>3.5</v>
      </c>
      <c r="R736" s="7" t="b">
        <v>1</v>
      </c>
      <c r="S736" s="7" t="s">
        <v>30</v>
      </c>
      <c r="T736" s="5">
        <v>4808</v>
      </c>
      <c r="U736" s="7" t="s">
        <v>76</v>
      </c>
      <c r="V736" t="s">
        <v>69</v>
      </c>
      <c r="W736" s="7" t="s">
        <v>33</v>
      </c>
    </row>
    <row r="737" spans="1:23" x14ac:dyDescent="0.3">
      <c r="A737" s="6">
        <v>9990</v>
      </c>
      <c r="B737" s="7" t="s">
        <v>647</v>
      </c>
      <c r="C737" t="s">
        <v>479</v>
      </c>
      <c r="D737" s="1">
        <v>45424</v>
      </c>
      <c r="E737" s="8">
        <v>15.99</v>
      </c>
      <c r="F737" s="6">
        <v>379</v>
      </c>
      <c r="G737" s="7" t="s">
        <v>51</v>
      </c>
      <c r="H737" s="6">
        <v>4</v>
      </c>
      <c r="I737" s="6">
        <v>5</v>
      </c>
      <c r="J737" s="7" t="b">
        <v>1</v>
      </c>
      <c r="K737" s="6">
        <v>726</v>
      </c>
      <c r="L737" s="6">
        <v>103</v>
      </c>
      <c r="M737" s="7" t="s">
        <v>74</v>
      </c>
      <c r="N737" s="7" t="s">
        <v>28</v>
      </c>
      <c r="O737" s="7" t="s">
        <v>45</v>
      </c>
      <c r="P737" s="5">
        <v>39</v>
      </c>
      <c r="Q737" s="4">
        <v>3.5</v>
      </c>
      <c r="R737" s="7" t="b">
        <v>1</v>
      </c>
      <c r="S737" s="7" t="s">
        <v>30</v>
      </c>
      <c r="T737" s="5">
        <v>4177</v>
      </c>
      <c r="U737" s="7" t="s">
        <v>38</v>
      </c>
      <c r="V737" t="s">
        <v>59</v>
      </c>
      <c r="W737" s="7" t="s">
        <v>33</v>
      </c>
    </row>
    <row r="738" spans="1:23" x14ac:dyDescent="0.3">
      <c r="A738" s="6">
        <v>3687</v>
      </c>
      <c r="B738" s="7" t="s">
        <v>307</v>
      </c>
      <c r="C738" s="1">
        <v>45027</v>
      </c>
      <c r="D738" t="s">
        <v>103</v>
      </c>
      <c r="E738" s="8">
        <v>15.99</v>
      </c>
      <c r="F738" s="6">
        <v>205</v>
      </c>
      <c r="G738" s="7" t="s">
        <v>63</v>
      </c>
      <c r="H738" s="6">
        <v>3</v>
      </c>
      <c r="I738" s="6">
        <v>2</v>
      </c>
      <c r="J738" s="7" t="b">
        <v>1</v>
      </c>
      <c r="K738" s="6">
        <v>420</v>
      </c>
      <c r="L738" s="6">
        <v>24</v>
      </c>
      <c r="M738" s="7" t="s">
        <v>92</v>
      </c>
      <c r="N738" s="7" t="s">
        <v>44</v>
      </c>
      <c r="O738" s="7" t="s">
        <v>57</v>
      </c>
      <c r="P738" s="5">
        <v>61</v>
      </c>
      <c r="Q738" s="4">
        <v>4.8</v>
      </c>
      <c r="R738" s="7" t="b">
        <v>0</v>
      </c>
      <c r="S738" s="7" t="s">
        <v>30</v>
      </c>
      <c r="T738" s="5">
        <v>564</v>
      </c>
      <c r="U738" s="7" t="s">
        <v>38</v>
      </c>
      <c r="V738" t="s">
        <v>69</v>
      </c>
      <c r="W738" s="7" t="s">
        <v>93</v>
      </c>
    </row>
    <row r="739" spans="1:23" x14ac:dyDescent="0.3">
      <c r="A739" s="6">
        <v>4540</v>
      </c>
      <c r="B739" s="7" t="s">
        <v>648</v>
      </c>
      <c r="C739" s="1">
        <v>45116</v>
      </c>
      <c r="D739" t="s">
        <v>87</v>
      </c>
      <c r="E739" s="8">
        <v>15.99</v>
      </c>
      <c r="F739" s="6">
        <v>335</v>
      </c>
      <c r="G739" s="7" t="s">
        <v>26</v>
      </c>
      <c r="H739" s="6">
        <v>3</v>
      </c>
      <c r="I739" s="6">
        <v>6</v>
      </c>
      <c r="J739" s="7" t="b">
        <v>1</v>
      </c>
      <c r="K739" s="6">
        <v>75</v>
      </c>
      <c r="L739" s="6">
        <v>177</v>
      </c>
      <c r="M739" s="7" t="s">
        <v>49</v>
      </c>
      <c r="N739" s="7" t="s">
        <v>28</v>
      </c>
      <c r="O739" s="7" t="s">
        <v>29</v>
      </c>
      <c r="P739" s="5">
        <v>73</v>
      </c>
      <c r="Q739" s="4">
        <v>3.9</v>
      </c>
      <c r="R739" s="7" t="b">
        <v>1</v>
      </c>
      <c r="S739" s="7" t="s">
        <v>30</v>
      </c>
      <c r="T739" s="5">
        <v>1702</v>
      </c>
      <c r="U739" s="7" t="s">
        <v>38</v>
      </c>
      <c r="V739" t="s">
        <v>59</v>
      </c>
      <c r="W739" s="7" t="s">
        <v>40</v>
      </c>
    </row>
    <row r="740" spans="1:23" x14ac:dyDescent="0.3">
      <c r="A740" s="6">
        <v>8264</v>
      </c>
      <c r="B740" s="7" t="s">
        <v>349</v>
      </c>
      <c r="C740" t="s">
        <v>649</v>
      </c>
      <c r="D740" t="s">
        <v>82</v>
      </c>
      <c r="E740" s="8">
        <v>15.99</v>
      </c>
      <c r="F740" s="6">
        <v>449</v>
      </c>
      <c r="G740" s="7" t="s">
        <v>63</v>
      </c>
      <c r="H740" s="6">
        <v>5</v>
      </c>
      <c r="I740" s="6">
        <v>6</v>
      </c>
      <c r="J740" s="7" t="b">
        <v>0</v>
      </c>
      <c r="K740" s="6">
        <v>683</v>
      </c>
      <c r="L740" s="6">
        <v>85</v>
      </c>
      <c r="M740" s="7" t="s">
        <v>74</v>
      </c>
      <c r="N740" s="7" t="s">
        <v>44</v>
      </c>
      <c r="O740" s="7" t="s">
        <v>45</v>
      </c>
      <c r="P740" s="5">
        <v>25</v>
      </c>
      <c r="Q740" s="4">
        <v>4.2</v>
      </c>
      <c r="R740" s="7" t="b">
        <v>1</v>
      </c>
      <c r="S740" s="7" t="s">
        <v>30</v>
      </c>
      <c r="T740" s="5">
        <v>249</v>
      </c>
      <c r="U740" s="7" t="s">
        <v>65</v>
      </c>
      <c r="V740" t="s">
        <v>39</v>
      </c>
      <c r="W740" s="7" t="s">
        <v>93</v>
      </c>
    </row>
    <row r="741" spans="1:23" x14ac:dyDescent="0.3">
      <c r="A741" s="6">
        <v>7448</v>
      </c>
      <c r="B741" s="7" t="s">
        <v>88</v>
      </c>
      <c r="C741" s="1">
        <v>45203</v>
      </c>
      <c r="D741" s="1">
        <v>45485</v>
      </c>
      <c r="E741" s="8">
        <v>7.99</v>
      </c>
      <c r="F741" s="6">
        <v>453</v>
      </c>
      <c r="G741" s="7" t="s">
        <v>51</v>
      </c>
      <c r="H741" s="6">
        <v>1</v>
      </c>
      <c r="I741" s="6">
        <v>5</v>
      </c>
      <c r="J741" s="7" t="b">
        <v>1</v>
      </c>
      <c r="K741" s="6">
        <v>487</v>
      </c>
      <c r="L741" s="6">
        <v>128</v>
      </c>
      <c r="M741" s="7" t="s">
        <v>55</v>
      </c>
      <c r="N741" s="7" t="s">
        <v>75</v>
      </c>
      <c r="O741" s="7" t="s">
        <v>45</v>
      </c>
      <c r="P741" s="5">
        <v>41</v>
      </c>
      <c r="Q741" s="4">
        <v>4.5</v>
      </c>
      <c r="R741" s="7" t="b">
        <v>1</v>
      </c>
      <c r="S741" s="7" t="s">
        <v>30</v>
      </c>
      <c r="T741" s="5">
        <v>30</v>
      </c>
      <c r="U741" s="7" t="s">
        <v>31</v>
      </c>
      <c r="V741" t="s">
        <v>59</v>
      </c>
      <c r="W741" s="7" t="s">
        <v>40</v>
      </c>
    </row>
    <row r="742" spans="1:23" x14ac:dyDescent="0.3">
      <c r="A742" s="6">
        <v>1123</v>
      </c>
      <c r="B742" s="7" t="s">
        <v>650</v>
      </c>
      <c r="C742" t="s">
        <v>651</v>
      </c>
      <c r="D742" t="s">
        <v>134</v>
      </c>
      <c r="E742" s="8">
        <v>7.99</v>
      </c>
      <c r="F742" s="6">
        <v>252</v>
      </c>
      <c r="G742" s="7" t="s">
        <v>26</v>
      </c>
      <c r="H742" s="6">
        <v>1</v>
      </c>
      <c r="I742" s="6">
        <v>1</v>
      </c>
      <c r="J742" s="7" t="b">
        <v>1</v>
      </c>
      <c r="K742" s="6">
        <v>968</v>
      </c>
      <c r="L742" s="6">
        <v>197</v>
      </c>
      <c r="M742" s="7" t="s">
        <v>55</v>
      </c>
      <c r="N742" s="7" t="s">
        <v>44</v>
      </c>
      <c r="O742" s="7" t="s">
        <v>29</v>
      </c>
      <c r="P742" s="5">
        <v>46</v>
      </c>
      <c r="Q742" s="4">
        <v>4</v>
      </c>
      <c r="R742" s="7" t="b">
        <v>0</v>
      </c>
      <c r="S742" s="7" t="s">
        <v>30</v>
      </c>
      <c r="T742" s="5">
        <v>3842</v>
      </c>
      <c r="U742" s="7" t="s">
        <v>76</v>
      </c>
      <c r="V742" t="s">
        <v>59</v>
      </c>
      <c r="W742" s="7" t="s">
        <v>93</v>
      </c>
    </row>
    <row r="743" spans="1:23" x14ac:dyDescent="0.3">
      <c r="A743" s="6">
        <v>4103</v>
      </c>
      <c r="B743" s="7" t="s">
        <v>257</v>
      </c>
      <c r="C743" t="s">
        <v>235</v>
      </c>
      <c r="D743" t="s">
        <v>87</v>
      </c>
      <c r="E743" s="8">
        <v>11.99</v>
      </c>
      <c r="F743" s="6">
        <v>379</v>
      </c>
      <c r="G743" s="7" t="s">
        <v>63</v>
      </c>
      <c r="H743" s="6">
        <v>2</v>
      </c>
      <c r="I743" s="6">
        <v>1</v>
      </c>
      <c r="J743" s="7" t="b">
        <v>1</v>
      </c>
      <c r="K743" s="6">
        <v>632</v>
      </c>
      <c r="L743" s="6">
        <v>82</v>
      </c>
      <c r="M743" s="7" t="s">
        <v>27</v>
      </c>
      <c r="N743" s="7" t="s">
        <v>56</v>
      </c>
      <c r="O743" s="7" t="s">
        <v>57</v>
      </c>
      <c r="P743" s="5">
        <v>29</v>
      </c>
      <c r="Q743" s="4">
        <v>3.2</v>
      </c>
      <c r="R743" s="7" t="b">
        <v>1</v>
      </c>
      <c r="S743" s="7" t="s">
        <v>30</v>
      </c>
      <c r="T743" s="5">
        <v>1299</v>
      </c>
      <c r="U743" s="7" t="s">
        <v>38</v>
      </c>
      <c r="V743" t="s">
        <v>39</v>
      </c>
      <c r="W743" s="7" t="s">
        <v>93</v>
      </c>
    </row>
    <row r="744" spans="1:23" x14ac:dyDescent="0.3">
      <c r="A744" s="6">
        <v>2904</v>
      </c>
      <c r="B744" s="7" t="s">
        <v>458</v>
      </c>
      <c r="C744" t="s">
        <v>632</v>
      </c>
      <c r="D744" s="1">
        <v>45303</v>
      </c>
      <c r="E744" s="8">
        <v>7.99</v>
      </c>
      <c r="F744" s="6">
        <v>280</v>
      </c>
      <c r="G744" s="7" t="s">
        <v>100</v>
      </c>
      <c r="H744" s="6">
        <v>3</v>
      </c>
      <c r="I744" s="6">
        <v>1</v>
      </c>
      <c r="J744" s="7" t="b">
        <v>0</v>
      </c>
      <c r="K744" s="6">
        <v>188</v>
      </c>
      <c r="L744" s="6">
        <v>103</v>
      </c>
      <c r="M744" s="7" t="s">
        <v>74</v>
      </c>
      <c r="N744" s="7" t="s">
        <v>75</v>
      </c>
      <c r="O744" s="7" t="s">
        <v>64</v>
      </c>
      <c r="P744" s="5">
        <v>80</v>
      </c>
      <c r="Q744" s="4">
        <v>4.8</v>
      </c>
      <c r="R744" s="7" t="b">
        <v>0</v>
      </c>
      <c r="S744" s="7" t="s">
        <v>30</v>
      </c>
      <c r="T744" s="5">
        <v>2346</v>
      </c>
      <c r="U744" s="7" t="s">
        <v>58</v>
      </c>
      <c r="V744" t="s">
        <v>79</v>
      </c>
      <c r="W744" s="7" t="s">
        <v>60</v>
      </c>
    </row>
    <row r="745" spans="1:23" x14ac:dyDescent="0.3">
      <c r="A745" s="6">
        <v>5634</v>
      </c>
      <c r="B745" s="7" t="s">
        <v>176</v>
      </c>
      <c r="C745" s="1">
        <v>45447</v>
      </c>
      <c r="D745" t="s">
        <v>156</v>
      </c>
      <c r="E745" s="8">
        <v>7.99</v>
      </c>
      <c r="F745" s="6">
        <v>187</v>
      </c>
      <c r="G745" s="7" t="s">
        <v>63</v>
      </c>
      <c r="H745" s="6">
        <v>3</v>
      </c>
      <c r="I745" s="6">
        <v>3</v>
      </c>
      <c r="J745" s="7" t="b">
        <v>0</v>
      </c>
      <c r="K745" s="6">
        <v>987</v>
      </c>
      <c r="L745" s="6">
        <v>166</v>
      </c>
      <c r="M745" s="7" t="s">
        <v>68</v>
      </c>
      <c r="N745" s="7" t="s">
        <v>28</v>
      </c>
      <c r="O745" s="7" t="s">
        <v>57</v>
      </c>
      <c r="P745" s="5">
        <v>24</v>
      </c>
      <c r="Q745" s="4">
        <v>4.7</v>
      </c>
      <c r="R745" s="7" t="b">
        <v>0</v>
      </c>
      <c r="S745" s="7" t="s">
        <v>30</v>
      </c>
      <c r="T745" s="5">
        <v>215</v>
      </c>
      <c r="U745" s="7" t="s">
        <v>38</v>
      </c>
      <c r="V745" t="s">
        <v>79</v>
      </c>
      <c r="W745" s="7" t="s">
        <v>40</v>
      </c>
    </row>
    <row r="746" spans="1:23" x14ac:dyDescent="0.3">
      <c r="A746" s="6">
        <v>5360</v>
      </c>
      <c r="B746" s="7" t="s">
        <v>147</v>
      </c>
      <c r="C746" t="s">
        <v>616</v>
      </c>
      <c r="D746" s="1">
        <v>45334</v>
      </c>
      <c r="E746" s="8">
        <v>7.99</v>
      </c>
      <c r="F746" s="6">
        <v>373</v>
      </c>
      <c r="G746" s="7" t="s">
        <v>26</v>
      </c>
      <c r="H746" s="6">
        <v>2</v>
      </c>
      <c r="I746" s="6">
        <v>1</v>
      </c>
      <c r="J746" s="7" t="b">
        <v>1</v>
      </c>
      <c r="K746" s="6">
        <v>925</v>
      </c>
      <c r="L746" s="6">
        <v>12</v>
      </c>
      <c r="M746" s="7" t="s">
        <v>49</v>
      </c>
      <c r="N746" s="7" t="s">
        <v>28</v>
      </c>
      <c r="O746" s="7" t="s">
        <v>29</v>
      </c>
      <c r="P746" s="5">
        <v>22</v>
      </c>
      <c r="Q746" s="4">
        <v>4.2</v>
      </c>
      <c r="R746" s="7" t="b">
        <v>1</v>
      </c>
      <c r="S746" s="7" t="s">
        <v>30</v>
      </c>
      <c r="T746" s="5">
        <v>3062</v>
      </c>
      <c r="U746" s="7" t="s">
        <v>65</v>
      </c>
      <c r="V746" t="s">
        <v>32</v>
      </c>
      <c r="W746" s="7" t="s">
        <v>60</v>
      </c>
    </row>
    <row r="747" spans="1:23" x14ac:dyDescent="0.3">
      <c r="A747" s="6">
        <v>8571</v>
      </c>
      <c r="B747" s="7" t="s">
        <v>345</v>
      </c>
      <c r="C747" t="s">
        <v>652</v>
      </c>
      <c r="D747" t="s">
        <v>35</v>
      </c>
      <c r="E747" s="8">
        <v>15.99</v>
      </c>
      <c r="F747" s="6">
        <v>482</v>
      </c>
      <c r="G747" s="7" t="s">
        <v>26</v>
      </c>
      <c r="H747" s="6">
        <v>2</v>
      </c>
      <c r="I747" s="6">
        <v>5</v>
      </c>
      <c r="J747" s="7" t="b">
        <v>1</v>
      </c>
      <c r="K747" s="6">
        <v>838</v>
      </c>
      <c r="L747" s="6">
        <v>159</v>
      </c>
      <c r="M747" s="7" t="s">
        <v>43</v>
      </c>
      <c r="N747" s="7" t="s">
        <v>44</v>
      </c>
      <c r="O747" s="7" t="s">
        <v>78</v>
      </c>
      <c r="P747" s="5">
        <v>39</v>
      </c>
      <c r="Q747" s="4">
        <v>4.8</v>
      </c>
      <c r="R747" s="7" t="b">
        <v>0</v>
      </c>
      <c r="S747" s="7" t="s">
        <v>30</v>
      </c>
      <c r="T747" s="5">
        <v>2978</v>
      </c>
      <c r="U747" s="7" t="s">
        <v>76</v>
      </c>
      <c r="V747" t="s">
        <v>69</v>
      </c>
      <c r="W747" s="7" t="s">
        <v>60</v>
      </c>
    </row>
    <row r="748" spans="1:23" x14ac:dyDescent="0.3">
      <c r="A748" s="6">
        <v>9439</v>
      </c>
      <c r="B748" s="7" t="s">
        <v>653</v>
      </c>
      <c r="C748" t="s">
        <v>654</v>
      </c>
      <c r="D748" s="1">
        <v>45608</v>
      </c>
      <c r="E748" s="8">
        <v>11.99</v>
      </c>
      <c r="F748" s="6">
        <v>360</v>
      </c>
      <c r="G748" s="7" t="s">
        <v>48</v>
      </c>
      <c r="H748" s="6">
        <v>3</v>
      </c>
      <c r="I748" s="6">
        <v>4</v>
      </c>
      <c r="J748" s="7" t="b">
        <v>0</v>
      </c>
      <c r="K748" s="6">
        <v>295</v>
      </c>
      <c r="L748" s="6">
        <v>55</v>
      </c>
      <c r="M748" s="7" t="s">
        <v>43</v>
      </c>
      <c r="N748" s="7" t="s">
        <v>56</v>
      </c>
      <c r="O748" s="7" t="s">
        <v>45</v>
      </c>
      <c r="P748" s="5">
        <v>31</v>
      </c>
      <c r="Q748" s="4">
        <v>3.7</v>
      </c>
      <c r="R748" s="7" t="b">
        <v>0</v>
      </c>
      <c r="S748" s="7" t="s">
        <v>30</v>
      </c>
      <c r="T748" s="5">
        <v>1984</v>
      </c>
      <c r="U748" s="7" t="s">
        <v>76</v>
      </c>
      <c r="V748" t="s">
        <v>39</v>
      </c>
      <c r="W748" s="7" t="s">
        <v>40</v>
      </c>
    </row>
    <row r="749" spans="1:23" x14ac:dyDescent="0.3">
      <c r="A749" s="6">
        <v>8356</v>
      </c>
      <c r="B749" s="7" t="s">
        <v>546</v>
      </c>
      <c r="C749" t="s">
        <v>655</v>
      </c>
      <c r="D749" t="s">
        <v>42</v>
      </c>
      <c r="E749" s="8">
        <v>15.99</v>
      </c>
      <c r="F749" s="6">
        <v>463</v>
      </c>
      <c r="G749" s="7" t="s">
        <v>73</v>
      </c>
      <c r="H749" s="6">
        <v>2</v>
      </c>
      <c r="I749" s="6">
        <v>1</v>
      </c>
      <c r="J749" s="7" t="b">
        <v>0</v>
      </c>
      <c r="K749" s="6">
        <v>844</v>
      </c>
      <c r="L749" s="6">
        <v>98</v>
      </c>
      <c r="M749" s="7" t="s">
        <v>49</v>
      </c>
      <c r="N749" s="7" t="s">
        <v>75</v>
      </c>
      <c r="O749" s="7" t="s">
        <v>64</v>
      </c>
      <c r="P749" s="5">
        <v>15</v>
      </c>
      <c r="Q749" s="4">
        <v>3.6</v>
      </c>
      <c r="R749" s="7" t="b">
        <v>1</v>
      </c>
      <c r="S749" s="7" t="s">
        <v>30</v>
      </c>
      <c r="T749" s="5">
        <v>945</v>
      </c>
      <c r="U749" s="7" t="s">
        <v>31</v>
      </c>
      <c r="V749" t="s">
        <v>79</v>
      </c>
      <c r="W749" s="7" t="s">
        <v>93</v>
      </c>
    </row>
    <row r="750" spans="1:23" x14ac:dyDescent="0.3">
      <c r="A750" s="6">
        <v>2039</v>
      </c>
      <c r="B750" s="7" t="s">
        <v>656</v>
      </c>
      <c r="C750" s="1">
        <v>44958</v>
      </c>
      <c r="D750" s="1">
        <v>45334</v>
      </c>
      <c r="E750" s="8">
        <v>15.99</v>
      </c>
      <c r="F750" s="6">
        <v>13</v>
      </c>
      <c r="G750" s="7" t="s">
        <v>100</v>
      </c>
      <c r="H750" s="6">
        <v>3</v>
      </c>
      <c r="I750" s="6">
        <v>5</v>
      </c>
      <c r="J750" s="7" t="b">
        <v>0</v>
      </c>
      <c r="K750" s="6">
        <v>378</v>
      </c>
      <c r="L750" s="6">
        <v>123</v>
      </c>
      <c r="M750" s="7" t="s">
        <v>55</v>
      </c>
      <c r="N750" s="7" t="s">
        <v>56</v>
      </c>
      <c r="O750" s="7" t="s">
        <v>37</v>
      </c>
      <c r="P750" s="5">
        <v>3</v>
      </c>
      <c r="Q750" s="4">
        <v>4.2</v>
      </c>
      <c r="R750" s="7" t="b">
        <v>0</v>
      </c>
      <c r="S750" s="7" t="s">
        <v>30</v>
      </c>
      <c r="T750" s="5">
        <v>4134</v>
      </c>
      <c r="U750" s="7" t="s">
        <v>38</v>
      </c>
      <c r="V750" t="s">
        <v>39</v>
      </c>
      <c r="W750" s="7" t="s">
        <v>33</v>
      </c>
    </row>
    <row r="751" spans="1:23" x14ac:dyDescent="0.3">
      <c r="A751" s="6">
        <v>2613</v>
      </c>
      <c r="B751" s="7" t="s">
        <v>657</v>
      </c>
      <c r="C751" s="1">
        <v>45109</v>
      </c>
      <c r="D751" t="s">
        <v>129</v>
      </c>
      <c r="E751" s="8">
        <v>7.99</v>
      </c>
      <c r="F751" s="6">
        <v>129</v>
      </c>
      <c r="G751" s="7" t="s">
        <v>51</v>
      </c>
      <c r="H751" s="6">
        <v>4</v>
      </c>
      <c r="I751" s="6">
        <v>5</v>
      </c>
      <c r="J751" s="7" t="b">
        <v>0</v>
      </c>
      <c r="K751" s="6">
        <v>439</v>
      </c>
      <c r="L751" s="6">
        <v>10</v>
      </c>
      <c r="M751" s="7" t="s">
        <v>49</v>
      </c>
      <c r="N751" s="7" t="s">
        <v>56</v>
      </c>
      <c r="O751" s="7" t="s">
        <v>78</v>
      </c>
      <c r="P751" s="5">
        <v>11</v>
      </c>
      <c r="Q751" s="4">
        <v>3.7</v>
      </c>
      <c r="R751" s="7" t="b">
        <v>0</v>
      </c>
      <c r="S751" s="7" t="s">
        <v>30</v>
      </c>
      <c r="T751" s="5">
        <v>3741</v>
      </c>
      <c r="U751" s="7" t="s">
        <v>76</v>
      </c>
      <c r="V751" t="s">
        <v>32</v>
      </c>
      <c r="W751" s="7" t="s">
        <v>60</v>
      </c>
    </row>
    <row r="752" spans="1:23" x14ac:dyDescent="0.3">
      <c r="A752" s="6">
        <v>8226</v>
      </c>
      <c r="B752" s="7" t="s">
        <v>138</v>
      </c>
      <c r="C752" s="1">
        <v>45327</v>
      </c>
      <c r="D752" t="s">
        <v>109</v>
      </c>
      <c r="E752" s="8">
        <v>7.99</v>
      </c>
      <c r="F752" s="6">
        <v>290</v>
      </c>
      <c r="G752" s="7" t="s">
        <v>36</v>
      </c>
      <c r="H752" s="6">
        <v>5</v>
      </c>
      <c r="I752" s="6">
        <v>5</v>
      </c>
      <c r="J752" s="7" t="b">
        <v>0</v>
      </c>
      <c r="K752" s="6">
        <v>84</v>
      </c>
      <c r="L752" s="6">
        <v>52</v>
      </c>
      <c r="M752" s="7" t="s">
        <v>43</v>
      </c>
      <c r="N752" s="7" t="s">
        <v>44</v>
      </c>
      <c r="O752" s="7" t="s">
        <v>29</v>
      </c>
      <c r="P752" s="5">
        <v>91</v>
      </c>
      <c r="Q752" s="4">
        <v>3.1</v>
      </c>
      <c r="R752" s="7" t="b">
        <v>1</v>
      </c>
      <c r="S752" s="7" t="s">
        <v>30</v>
      </c>
      <c r="T752" s="5">
        <v>1408</v>
      </c>
      <c r="U752" s="7" t="s">
        <v>38</v>
      </c>
      <c r="V752" t="s">
        <v>69</v>
      </c>
      <c r="W752" s="7" t="s">
        <v>93</v>
      </c>
    </row>
    <row r="753" spans="1:23" x14ac:dyDescent="0.3">
      <c r="A753" s="6">
        <v>1425</v>
      </c>
      <c r="B753" s="7" t="s">
        <v>658</v>
      </c>
      <c r="C753" s="1">
        <v>45331</v>
      </c>
      <c r="D753" t="s">
        <v>87</v>
      </c>
      <c r="E753" s="8">
        <v>7.99</v>
      </c>
      <c r="F753" s="6">
        <v>50</v>
      </c>
      <c r="G753" s="7" t="s">
        <v>26</v>
      </c>
      <c r="H753" s="6">
        <v>2</v>
      </c>
      <c r="I753" s="6">
        <v>3</v>
      </c>
      <c r="J753" s="7" t="b">
        <v>1</v>
      </c>
      <c r="K753" s="6">
        <v>502</v>
      </c>
      <c r="L753" s="6">
        <v>5</v>
      </c>
      <c r="M753" s="7" t="s">
        <v>55</v>
      </c>
      <c r="N753" s="7" t="s">
        <v>44</v>
      </c>
      <c r="O753" s="7" t="s">
        <v>29</v>
      </c>
      <c r="P753" s="5">
        <v>96</v>
      </c>
      <c r="Q753" s="4">
        <v>4.4000000000000004</v>
      </c>
      <c r="R753" s="7" t="b">
        <v>1</v>
      </c>
      <c r="S753" s="7" t="s">
        <v>30</v>
      </c>
      <c r="T753" s="5">
        <v>1917</v>
      </c>
      <c r="U753" s="7" t="s">
        <v>76</v>
      </c>
      <c r="V753" t="s">
        <v>79</v>
      </c>
      <c r="W753" s="7" t="s">
        <v>93</v>
      </c>
    </row>
    <row r="754" spans="1:23" x14ac:dyDescent="0.3">
      <c r="A754" s="6">
        <v>4479</v>
      </c>
      <c r="B754" s="7" t="s">
        <v>23</v>
      </c>
      <c r="C754" s="1">
        <v>45454</v>
      </c>
      <c r="D754" s="1">
        <v>45455</v>
      </c>
      <c r="E754" s="8">
        <v>15.99</v>
      </c>
      <c r="F754" s="6">
        <v>241</v>
      </c>
      <c r="G754" s="7" t="s">
        <v>100</v>
      </c>
      <c r="H754" s="6">
        <v>3</v>
      </c>
      <c r="I754" s="6">
        <v>2</v>
      </c>
      <c r="J754" s="7" t="b">
        <v>1</v>
      </c>
      <c r="K754" s="6">
        <v>549</v>
      </c>
      <c r="L754" s="6">
        <v>158</v>
      </c>
      <c r="M754" s="7" t="s">
        <v>55</v>
      </c>
      <c r="N754" s="7" t="s">
        <v>44</v>
      </c>
      <c r="O754" s="7" t="s">
        <v>45</v>
      </c>
      <c r="P754" s="5">
        <v>96</v>
      </c>
      <c r="Q754" s="4">
        <v>3.1</v>
      </c>
      <c r="R754" s="7" t="b">
        <v>1</v>
      </c>
      <c r="S754" s="7" t="s">
        <v>30</v>
      </c>
      <c r="T754" s="5">
        <v>1986</v>
      </c>
      <c r="U754" s="7" t="s">
        <v>31</v>
      </c>
      <c r="V754" t="s">
        <v>39</v>
      </c>
      <c r="W754" s="7" t="s">
        <v>60</v>
      </c>
    </row>
    <row r="755" spans="1:23" x14ac:dyDescent="0.3">
      <c r="A755" s="6">
        <v>3393</v>
      </c>
      <c r="B755" s="7" t="s">
        <v>101</v>
      </c>
      <c r="C755" t="s">
        <v>320</v>
      </c>
      <c r="D755" t="s">
        <v>105</v>
      </c>
      <c r="E755" s="8">
        <v>7.99</v>
      </c>
      <c r="F755" s="6">
        <v>383</v>
      </c>
      <c r="G755" s="7" t="s">
        <v>63</v>
      </c>
      <c r="H755" s="6">
        <v>3</v>
      </c>
      <c r="I755" s="6">
        <v>2</v>
      </c>
      <c r="J755" s="7" t="b">
        <v>1</v>
      </c>
      <c r="K755" s="6">
        <v>699</v>
      </c>
      <c r="L755" s="6">
        <v>174</v>
      </c>
      <c r="M755" s="7" t="s">
        <v>92</v>
      </c>
      <c r="N755" s="7" t="s">
        <v>56</v>
      </c>
      <c r="O755" s="7" t="s">
        <v>78</v>
      </c>
      <c r="P755" s="5">
        <v>13</v>
      </c>
      <c r="Q755" s="4">
        <v>3.8</v>
      </c>
      <c r="R755" s="7" t="b">
        <v>1</v>
      </c>
      <c r="S755" s="7" t="s">
        <v>30</v>
      </c>
      <c r="T755" s="5">
        <v>3254</v>
      </c>
      <c r="U755" s="7" t="s">
        <v>31</v>
      </c>
      <c r="V755" t="s">
        <v>59</v>
      </c>
      <c r="W755" s="7" t="s">
        <v>93</v>
      </c>
    </row>
    <row r="756" spans="1:23" x14ac:dyDescent="0.3">
      <c r="A756" s="6">
        <v>8528</v>
      </c>
      <c r="B756" s="7" t="s">
        <v>283</v>
      </c>
      <c r="C756" t="s">
        <v>317</v>
      </c>
      <c r="D756" t="s">
        <v>168</v>
      </c>
      <c r="E756" s="8">
        <v>7.99</v>
      </c>
      <c r="F756" s="6">
        <v>384</v>
      </c>
      <c r="G756" s="7" t="s">
        <v>48</v>
      </c>
      <c r="H756" s="6">
        <v>5</v>
      </c>
      <c r="I756" s="6">
        <v>1</v>
      </c>
      <c r="J756" s="7" t="b">
        <v>0</v>
      </c>
      <c r="K756" s="6">
        <v>423</v>
      </c>
      <c r="L756" s="6">
        <v>110</v>
      </c>
      <c r="M756" s="7" t="s">
        <v>92</v>
      </c>
      <c r="N756" s="7" t="s">
        <v>56</v>
      </c>
      <c r="O756" s="7" t="s">
        <v>45</v>
      </c>
      <c r="P756" s="5">
        <v>61</v>
      </c>
      <c r="Q756" s="4">
        <v>4.7</v>
      </c>
      <c r="R756" s="7" t="b">
        <v>1</v>
      </c>
      <c r="S756" s="7" t="s">
        <v>30</v>
      </c>
      <c r="T756" s="5">
        <v>3648</v>
      </c>
      <c r="U756" s="7" t="s">
        <v>31</v>
      </c>
      <c r="V756" t="s">
        <v>69</v>
      </c>
      <c r="W756" s="7" t="s">
        <v>60</v>
      </c>
    </row>
    <row r="757" spans="1:23" x14ac:dyDescent="0.3">
      <c r="A757" s="6">
        <v>9372</v>
      </c>
      <c r="B757" s="7" t="s">
        <v>138</v>
      </c>
      <c r="C757" t="s">
        <v>243</v>
      </c>
      <c r="D757" s="1">
        <v>45394</v>
      </c>
      <c r="E757" s="8">
        <v>7.99</v>
      </c>
      <c r="F757" s="6">
        <v>302</v>
      </c>
      <c r="G757" s="7" t="s">
        <v>63</v>
      </c>
      <c r="H757" s="6">
        <v>1</v>
      </c>
      <c r="I757" s="6">
        <v>1</v>
      </c>
      <c r="J757" s="7" t="b">
        <v>1</v>
      </c>
      <c r="K757" s="6">
        <v>964</v>
      </c>
      <c r="L757" s="6">
        <v>165</v>
      </c>
      <c r="M757" s="7" t="s">
        <v>92</v>
      </c>
      <c r="N757" s="7" t="s">
        <v>75</v>
      </c>
      <c r="O757" s="7" t="s">
        <v>64</v>
      </c>
      <c r="P757" s="5">
        <v>47</v>
      </c>
      <c r="Q757" s="4">
        <v>4.4000000000000004</v>
      </c>
      <c r="R757" s="7" t="b">
        <v>0</v>
      </c>
      <c r="S757" s="7" t="s">
        <v>30</v>
      </c>
      <c r="T757" s="5">
        <v>3552</v>
      </c>
      <c r="U757" s="7" t="s">
        <v>58</v>
      </c>
      <c r="V757" t="s">
        <v>79</v>
      </c>
      <c r="W757" s="7" t="s">
        <v>40</v>
      </c>
    </row>
    <row r="758" spans="1:23" x14ac:dyDescent="0.3">
      <c r="A758" s="6">
        <v>5469</v>
      </c>
      <c r="B758" s="7" t="s">
        <v>196</v>
      </c>
      <c r="C758" t="s">
        <v>487</v>
      </c>
      <c r="D758" s="1">
        <v>45424</v>
      </c>
      <c r="E758" s="8">
        <v>15.99</v>
      </c>
      <c r="F758" s="6">
        <v>24</v>
      </c>
      <c r="G758" s="7" t="s">
        <v>48</v>
      </c>
      <c r="H758" s="6">
        <v>2</v>
      </c>
      <c r="I758" s="6">
        <v>1</v>
      </c>
      <c r="J758" s="7" t="b">
        <v>0</v>
      </c>
      <c r="K758" s="6">
        <v>742</v>
      </c>
      <c r="L758" s="6">
        <v>150</v>
      </c>
      <c r="M758" s="7" t="s">
        <v>27</v>
      </c>
      <c r="N758" s="7" t="s">
        <v>56</v>
      </c>
      <c r="O758" s="7" t="s">
        <v>78</v>
      </c>
      <c r="P758" s="5">
        <v>57</v>
      </c>
      <c r="Q758" s="4">
        <v>3</v>
      </c>
      <c r="R758" s="7" t="b">
        <v>0</v>
      </c>
      <c r="S758" s="7" t="s">
        <v>30</v>
      </c>
      <c r="T758" s="5">
        <v>150</v>
      </c>
      <c r="U758" s="7" t="s">
        <v>58</v>
      </c>
      <c r="V758" t="s">
        <v>59</v>
      </c>
      <c r="W758" s="7" t="s">
        <v>60</v>
      </c>
    </row>
    <row r="759" spans="1:23" x14ac:dyDescent="0.3">
      <c r="A759" s="6">
        <v>2603</v>
      </c>
      <c r="B759" s="7" t="s">
        <v>659</v>
      </c>
      <c r="C759" t="s">
        <v>95</v>
      </c>
      <c r="D759" t="s">
        <v>84</v>
      </c>
      <c r="E759" s="8">
        <v>11.99</v>
      </c>
      <c r="F759" s="6">
        <v>416</v>
      </c>
      <c r="G759" s="7" t="s">
        <v>100</v>
      </c>
      <c r="H759" s="6">
        <v>3</v>
      </c>
      <c r="I759" s="6">
        <v>5</v>
      </c>
      <c r="J759" s="7" t="b">
        <v>0</v>
      </c>
      <c r="K759" s="6">
        <v>97</v>
      </c>
      <c r="L759" s="6">
        <v>172</v>
      </c>
      <c r="M759" s="7" t="s">
        <v>27</v>
      </c>
      <c r="N759" s="7" t="s">
        <v>56</v>
      </c>
      <c r="O759" s="7" t="s">
        <v>57</v>
      </c>
      <c r="P759" s="5">
        <v>89</v>
      </c>
      <c r="Q759" s="4">
        <v>4.3</v>
      </c>
      <c r="R759" s="7" t="b">
        <v>1</v>
      </c>
      <c r="S759" s="7" t="s">
        <v>30</v>
      </c>
      <c r="T759" s="5">
        <v>786</v>
      </c>
      <c r="U759" s="7" t="s">
        <v>58</v>
      </c>
      <c r="V759" t="s">
        <v>59</v>
      </c>
      <c r="W759" s="7" t="s">
        <v>93</v>
      </c>
    </row>
    <row r="760" spans="1:23" x14ac:dyDescent="0.3">
      <c r="A760" s="6">
        <v>5306</v>
      </c>
      <c r="B760" s="7" t="s">
        <v>369</v>
      </c>
      <c r="C760" s="1">
        <v>45208</v>
      </c>
      <c r="D760" s="1">
        <v>45547</v>
      </c>
      <c r="E760" s="8">
        <v>15.99</v>
      </c>
      <c r="F760" s="6">
        <v>272</v>
      </c>
      <c r="G760" s="7" t="s">
        <v>73</v>
      </c>
      <c r="H760" s="6">
        <v>5</v>
      </c>
      <c r="I760" s="6">
        <v>1</v>
      </c>
      <c r="J760" s="7" t="b">
        <v>1</v>
      </c>
      <c r="K760" s="6">
        <v>735</v>
      </c>
      <c r="L760" s="6">
        <v>74</v>
      </c>
      <c r="M760" s="7" t="s">
        <v>74</v>
      </c>
      <c r="N760" s="7" t="s">
        <v>56</v>
      </c>
      <c r="O760" s="7" t="s">
        <v>64</v>
      </c>
      <c r="P760" s="5">
        <v>90</v>
      </c>
      <c r="Q760" s="4">
        <v>3.8</v>
      </c>
      <c r="R760" s="7" t="b">
        <v>1</v>
      </c>
      <c r="S760" s="7" t="s">
        <v>30</v>
      </c>
      <c r="T760" s="5">
        <v>1808</v>
      </c>
      <c r="U760" s="7" t="s">
        <v>76</v>
      </c>
      <c r="V760" t="s">
        <v>39</v>
      </c>
      <c r="W760" s="7" t="s">
        <v>33</v>
      </c>
    </row>
    <row r="761" spans="1:23" x14ac:dyDescent="0.3">
      <c r="A761" s="6">
        <v>7869</v>
      </c>
      <c r="B761" s="7" t="s">
        <v>283</v>
      </c>
      <c r="C761" t="s">
        <v>660</v>
      </c>
      <c r="D761" s="1">
        <v>45303</v>
      </c>
      <c r="E761" s="8">
        <v>15.99</v>
      </c>
      <c r="F761" s="6">
        <v>294</v>
      </c>
      <c r="G761" s="7" t="s">
        <v>36</v>
      </c>
      <c r="H761" s="6">
        <v>3</v>
      </c>
      <c r="I761" s="6">
        <v>6</v>
      </c>
      <c r="J761" s="7" t="b">
        <v>0</v>
      </c>
      <c r="K761" s="6">
        <v>709</v>
      </c>
      <c r="L761" s="6">
        <v>181</v>
      </c>
      <c r="M761" s="7" t="s">
        <v>74</v>
      </c>
      <c r="N761" s="7" t="s">
        <v>75</v>
      </c>
      <c r="O761" s="7" t="s">
        <v>57</v>
      </c>
      <c r="P761" s="5">
        <v>39</v>
      </c>
      <c r="Q761" s="4">
        <v>3.2</v>
      </c>
      <c r="R761" s="7" t="b">
        <v>1</v>
      </c>
      <c r="S761" s="7" t="s">
        <v>30</v>
      </c>
      <c r="T761" s="5">
        <v>3091</v>
      </c>
      <c r="U761" s="7" t="s">
        <v>65</v>
      </c>
      <c r="V761" t="s">
        <v>69</v>
      </c>
      <c r="W761" s="7" t="s">
        <v>40</v>
      </c>
    </row>
    <row r="762" spans="1:23" x14ac:dyDescent="0.3">
      <c r="A762" s="6">
        <v>1699</v>
      </c>
      <c r="B762" s="7" t="s">
        <v>224</v>
      </c>
      <c r="C762" t="s">
        <v>570</v>
      </c>
      <c r="D762" s="1">
        <v>45608</v>
      </c>
      <c r="E762" s="8">
        <v>15.99</v>
      </c>
      <c r="F762" s="6">
        <v>18</v>
      </c>
      <c r="G762" s="7" t="s">
        <v>51</v>
      </c>
      <c r="H762" s="6">
        <v>4</v>
      </c>
      <c r="I762" s="6">
        <v>2</v>
      </c>
      <c r="J762" s="7" t="b">
        <v>0</v>
      </c>
      <c r="K762" s="6">
        <v>882</v>
      </c>
      <c r="L762" s="6">
        <v>1</v>
      </c>
      <c r="M762" s="7" t="s">
        <v>92</v>
      </c>
      <c r="N762" s="7" t="s">
        <v>56</v>
      </c>
      <c r="O762" s="7" t="s">
        <v>57</v>
      </c>
      <c r="P762" s="5">
        <v>100</v>
      </c>
      <c r="Q762" s="4">
        <v>4.7</v>
      </c>
      <c r="R762" s="7" t="b">
        <v>1</v>
      </c>
      <c r="S762" s="7" t="s">
        <v>30</v>
      </c>
      <c r="T762" s="5">
        <v>3697</v>
      </c>
      <c r="U762" s="7" t="s">
        <v>38</v>
      </c>
      <c r="V762" t="s">
        <v>39</v>
      </c>
      <c r="W762" s="7" t="s">
        <v>40</v>
      </c>
    </row>
    <row r="763" spans="1:23" x14ac:dyDescent="0.3">
      <c r="A763" s="6">
        <v>3214</v>
      </c>
      <c r="B763" s="7" t="s">
        <v>114</v>
      </c>
      <c r="C763" t="s">
        <v>661</v>
      </c>
      <c r="D763" s="1">
        <v>45638</v>
      </c>
      <c r="E763" s="8">
        <v>15.99</v>
      </c>
      <c r="F763" s="6">
        <v>409</v>
      </c>
      <c r="G763" s="7" t="s">
        <v>26</v>
      </c>
      <c r="H763" s="6">
        <v>1</v>
      </c>
      <c r="I763" s="6">
        <v>2</v>
      </c>
      <c r="J763" s="7" t="b">
        <v>1</v>
      </c>
      <c r="K763" s="6">
        <v>131</v>
      </c>
      <c r="L763" s="6">
        <v>85</v>
      </c>
      <c r="M763" s="7" t="s">
        <v>74</v>
      </c>
      <c r="N763" s="7" t="s">
        <v>75</v>
      </c>
      <c r="O763" s="7" t="s">
        <v>78</v>
      </c>
      <c r="P763" s="5">
        <v>95</v>
      </c>
      <c r="Q763" s="4">
        <v>4.3</v>
      </c>
      <c r="R763" s="7" t="b">
        <v>1</v>
      </c>
      <c r="S763" s="7" t="s">
        <v>30</v>
      </c>
      <c r="T763" s="5">
        <v>4835</v>
      </c>
      <c r="U763" s="7" t="s">
        <v>65</v>
      </c>
      <c r="V763" t="s">
        <v>59</v>
      </c>
      <c r="W763" s="7" t="s">
        <v>93</v>
      </c>
    </row>
    <row r="764" spans="1:23" x14ac:dyDescent="0.3">
      <c r="A764" s="6">
        <v>1050</v>
      </c>
      <c r="B764" s="7" t="s">
        <v>52</v>
      </c>
      <c r="C764" t="s">
        <v>447</v>
      </c>
      <c r="D764" t="s">
        <v>168</v>
      </c>
      <c r="E764" s="8">
        <v>11.99</v>
      </c>
      <c r="F764" s="6">
        <v>290</v>
      </c>
      <c r="G764" s="7" t="s">
        <v>100</v>
      </c>
      <c r="H764" s="6">
        <v>4</v>
      </c>
      <c r="I764" s="6">
        <v>4</v>
      </c>
      <c r="J764" s="7" t="b">
        <v>0</v>
      </c>
      <c r="K764" s="6">
        <v>305</v>
      </c>
      <c r="L764" s="6">
        <v>112</v>
      </c>
      <c r="M764" s="7" t="s">
        <v>27</v>
      </c>
      <c r="N764" s="7" t="s">
        <v>28</v>
      </c>
      <c r="O764" s="7" t="s">
        <v>57</v>
      </c>
      <c r="P764" s="5">
        <v>57</v>
      </c>
      <c r="Q764" s="4">
        <v>4.5</v>
      </c>
      <c r="R764" s="7" t="b">
        <v>0</v>
      </c>
      <c r="S764" s="7" t="s">
        <v>30</v>
      </c>
      <c r="T764" s="5">
        <v>2023</v>
      </c>
      <c r="U764" s="7" t="s">
        <v>38</v>
      </c>
      <c r="V764" t="s">
        <v>69</v>
      </c>
      <c r="W764" s="7" t="s">
        <v>60</v>
      </c>
    </row>
    <row r="765" spans="1:23" x14ac:dyDescent="0.3">
      <c r="A765" s="6">
        <v>3325</v>
      </c>
      <c r="B765" s="7" t="s">
        <v>104</v>
      </c>
      <c r="C765" s="1">
        <v>45575</v>
      </c>
      <c r="D765" t="s">
        <v>90</v>
      </c>
      <c r="E765" s="8">
        <v>15.99</v>
      </c>
      <c r="F765" s="6">
        <v>102</v>
      </c>
      <c r="G765" s="7" t="s">
        <v>36</v>
      </c>
      <c r="H765" s="6">
        <v>5</v>
      </c>
      <c r="I765" s="6">
        <v>3</v>
      </c>
      <c r="J765" s="7" t="b">
        <v>0</v>
      </c>
      <c r="K765" s="6">
        <v>456</v>
      </c>
      <c r="L765" s="6">
        <v>52</v>
      </c>
      <c r="M765" s="7" t="s">
        <v>74</v>
      </c>
      <c r="N765" s="7" t="s">
        <v>44</v>
      </c>
      <c r="O765" s="7" t="s">
        <v>78</v>
      </c>
      <c r="P765" s="5">
        <v>32</v>
      </c>
      <c r="Q765" s="4">
        <v>4.9000000000000004</v>
      </c>
      <c r="R765" s="7" t="b">
        <v>1</v>
      </c>
      <c r="S765" s="7" t="s">
        <v>30</v>
      </c>
      <c r="T765" s="5">
        <v>1005</v>
      </c>
      <c r="U765" s="7" t="s">
        <v>76</v>
      </c>
      <c r="V765" t="s">
        <v>39</v>
      </c>
      <c r="W765" s="7" t="s">
        <v>40</v>
      </c>
    </row>
    <row r="766" spans="1:23" x14ac:dyDescent="0.3">
      <c r="A766" s="6">
        <v>1970</v>
      </c>
      <c r="B766" s="7" t="s">
        <v>157</v>
      </c>
      <c r="C766" t="s">
        <v>662</v>
      </c>
      <c r="D766" s="1">
        <v>45334</v>
      </c>
      <c r="E766" s="8">
        <v>15.99</v>
      </c>
      <c r="F766" s="6">
        <v>119</v>
      </c>
      <c r="G766" s="7" t="s">
        <v>48</v>
      </c>
      <c r="H766" s="6">
        <v>2</v>
      </c>
      <c r="I766" s="6">
        <v>1</v>
      </c>
      <c r="J766" s="7" t="b">
        <v>1</v>
      </c>
      <c r="K766" s="6">
        <v>385</v>
      </c>
      <c r="L766" s="6">
        <v>82</v>
      </c>
      <c r="M766" s="7" t="s">
        <v>68</v>
      </c>
      <c r="N766" s="7" t="s">
        <v>75</v>
      </c>
      <c r="O766" s="7" t="s">
        <v>64</v>
      </c>
      <c r="P766" s="5">
        <v>87</v>
      </c>
      <c r="Q766" s="4">
        <v>3.3</v>
      </c>
      <c r="R766" s="7" t="b">
        <v>0</v>
      </c>
      <c r="S766" s="7" t="s">
        <v>30</v>
      </c>
      <c r="T766" s="5">
        <v>876</v>
      </c>
      <c r="U766" s="7" t="s">
        <v>76</v>
      </c>
      <c r="V766" t="s">
        <v>32</v>
      </c>
      <c r="W766" s="7" t="s">
        <v>93</v>
      </c>
    </row>
    <row r="767" spans="1:23" x14ac:dyDescent="0.3">
      <c r="A767" s="6">
        <v>6272</v>
      </c>
      <c r="B767" s="7" t="s">
        <v>558</v>
      </c>
      <c r="C767" t="s">
        <v>663</v>
      </c>
      <c r="D767" t="s">
        <v>103</v>
      </c>
      <c r="E767" s="8">
        <v>11.99</v>
      </c>
      <c r="F767" s="6">
        <v>87</v>
      </c>
      <c r="G767" s="7" t="s">
        <v>26</v>
      </c>
      <c r="H767" s="6">
        <v>3</v>
      </c>
      <c r="I767" s="6">
        <v>6</v>
      </c>
      <c r="J767" s="7" t="b">
        <v>1</v>
      </c>
      <c r="K767" s="6">
        <v>213</v>
      </c>
      <c r="L767" s="6">
        <v>98</v>
      </c>
      <c r="M767" s="7" t="s">
        <v>43</v>
      </c>
      <c r="N767" s="7" t="s">
        <v>44</v>
      </c>
      <c r="O767" s="7" t="s">
        <v>45</v>
      </c>
      <c r="P767" s="5">
        <v>84</v>
      </c>
      <c r="Q767" s="4">
        <v>4.7</v>
      </c>
      <c r="R767" s="7" t="b">
        <v>0</v>
      </c>
      <c r="S767" s="7" t="s">
        <v>30</v>
      </c>
      <c r="T767" s="5">
        <v>2089</v>
      </c>
      <c r="U767" s="7" t="s">
        <v>76</v>
      </c>
      <c r="V767" t="s">
        <v>39</v>
      </c>
      <c r="W767" s="7" t="s">
        <v>93</v>
      </c>
    </row>
    <row r="768" spans="1:23" x14ac:dyDescent="0.3">
      <c r="A768" s="6">
        <v>4745</v>
      </c>
      <c r="B768" s="7" t="s">
        <v>98</v>
      </c>
      <c r="C768" s="1">
        <v>44992</v>
      </c>
      <c r="D768" t="s">
        <v>90</v>
      </c>
      <c r="E768" s="8">
        <v>7.99</v>
      </c>
      <c r="F768" s="6">
        <v>273</v>
      </c>
      <c r="G768" s="7" t="s">
        <v>36</v>
      </c>
      <c r="H768" s="6">
        <v>5</v>
      </c>
      <c r="I768" s="6">
        <v>1</v>
      </c>
      <c r="J768" s="7" t="b">
        <v>1</v>
      </c>
      <c r="K768" s="6">
        <v>830</v>
      </c>
      <c r="L768" s="6">
        <v>178</v>
      </c>
      <c r="M768" s="7" t="s">
        <v>27</v>
      </c>
      <c r="N768" s="7" t="s">
        <v>75</v>
      </c>
      <c r="O768" s="7" t="s">
        <v>78</v>
      </c>
      <c r="P768" s="5">
        <v>37</v>
      </c>
      <c r="Q768" s="4">
        <v>3.7</v>
      </c>
      <c r="R768" s="7" t="b">
        <v>1</v>
      </c>
      <c r="S768" s="7" t="s">
        <v>30</v>
      </c>
      <c r="T768" s="5">
        <v>772</v>
      </c>
      <c r="U768" s="7" t="s">
        <v>31</v>
      </c>
      <c r="V768" t="s">
        <v>79</v>
      </c>
      <c r="W768" s="7" t="s">
        <v>40</v>
      </c>
    </row>
    <row r="769" spans="1:23" x14ac:dyDescent="0.3">
      <c r="A769" s="6">
        <v>8867</v>
      </c>
      <c r="B769" s="7" t="s">
        <v>223</v>
      </c>
      <c r="C769" s="1">
        <v>44991</v>
      </c>
      <c r="D769" t="s">
        <v>134</v>
      </c>
      <c r="E769" s="8">
        <v>15.99</v>
      </c>
      <c r="F769" s="6">
        <v>281</v>
      </c>
      <c r="G769" s="7" t="s">
        <v>73</v>
      </c>
      <c r="H769" s="6">
        <v>1</v>
      </c>
      <c r="I769" s="6">
        <v>2</v>
      </c>
      <c r="J769" s="7" t="b">
        <v>1</v>
      </c>
      <c r="K769" s="6">
        <v>601</v>
      </c>
      <c r="L769" s="6">
        <v>75</v>
      </c>
      <c r="M769" s="7" t="s">
        <v>92</v>
      </c>
      <c r="N769" s="7" t="s">
        <v>56</v>
      </c>
      <c r="O769" s="7" t="s">
        <v>37</v>
      </c>
      <c r="P769" s="5">
        <v>92</v>
      </c>
      <c r="Q769" s="4">
        <v>4.5</v>
      </c>
      <c r="R769" s="7" t="b">
        <v>0</v>
      </c>
      <c r="S769" s="7" t="s">
        <v>30</v>
      </c>
      <c r="T769" s="5">
        <v>373</v>
      </c>
      <c r="U769" s="7" t="s">
        <v>58</v>
      </c>
      <c r="V769" t="s">
        <v>69</v>
      </c>
      <c r="W769" s="7" t="s">
        <v>60</v>
      </c>
    </row>
    <row r="770" spans="1:23" x14ac:dyDescent="0.3">
      <c r="A770" s="6">
        <v>4901</v>
      </c>
      <c r="B770" s="7" t="s">
        <v>226</v>
      </c>
      <c r="C770" s="1">
        <v>45261</v>
      </c>
      <c r="D770" t="s">
        <v>103</v>
      </c>
      <c r="E770" s="8">
        <v>7.99</v>
      </c>
      <c r="F770" s="6">
        <v>115</v>
      </c>
      <c r="G770" s="7" t="s">
        <v>51</v>
      </c>
      <c r="H770" s="6">
        <v>2</v>
      </c>
      <c r="I770" s="6">
        <v>3</v>
      </c>
      <c r="J770" s="7" t="b">
        <v>0</v>
      </c>
      <c r="K770" s="6">
        <v>843</v>
      </c>
      <c r="L770" s="6">
        <v>153</v>
      </c>
      <c r="M770" s="7" t="s">
        <v>92</v>
      </c>
      <c r="N770" s="7" t="s">
        <v>28</v>
      </c>
      <c r="O770" s="7" t="s">
        <v>45</v>
      </c>
      <c r="P770" s="5">
        <v>6</v>
      </c>
      <c r="Q770" s="4">
        <v>3.3</v>
      </c>
      <c r="R770" s="7" t="b">
        <v>1</v>
      </c>
      <c r="S770" s="7" t="s">
        <v>30</v>
      </c>
      <c r="T770" s="5">
        <v>3425</v>
      </c>
      <c r="U770" s="7" t="s">
        <v>76</v>
      </c>
      <c r="V770" t="s">
        <v>39</v>
      </c>
      <c r="W770" s="7" t="s">
        <v>60</v>
      </c>
    </row>
    <row r="771" spans="1:23" x14ac:dyDescent="0.3">
      <c r="A771" s="6">
        <v>9575</v>
      </c>
      <c r="B771" s="7" t="s">
        <v>224</v>
      </c>
      <c r="C771" t="s">
        <v>308</v>
      </c>
      <c r="D771" t="s">
        <v>25</v>
      </c>
      <c r="E771" s="8">
        <v>11.99</v>
      </c>
      <c r="F771" s="6">
        <v>483</v>
      </c>
      <c r="G771" s="7" t="s">
        <v>63</v>
      </c>
      <c r="H771" s="6">
        <v>2</v>
      </c>
      <c r="I771" s="6">
        <v>6</v>
      </c>
      <c r="J771" s="7" t="b">
        <v>0</v>
      </c>
      <c r="K771" s="6">
        <v>386</v>
      </c>
      <c r="L771" s="6">
        <v>192</v>
      </c>
      <c r="M771" s="7" t="s">
        <v>68</v>
      </c>
      <c r="N771" s="7" t="s">
        <v>28</v>
      </c>
      <c r="O771" s="7" t="s">
        <v>78</v>
      </c>
      <c r="P771" s="5">
        <v>95</v>
      </c>
      <c r="Q771" s="4">
        <v>4.5999999999999996</v>
      </c>
      <c r="R771" s="7" t="b">
        <v>1</v>
      </c>
      <c r="S771" s="7" t="s">
        <v>30</v>
      </c>
      <c r="T771" s="5">
        <v>4422</v>
      </c>
      <c r="U771" s="7" t="s">
        <v>38</v>
      </c>
      <c r="V771" t="s">
        <v>79</v>
      </c>
      <c r="W771" s="7" t="s">
        <v>33</v>
      </c>
    </row>
    <row r="772" spans="1:23" x14ac:dyDescent="0.3">
      <c r="A772" s="6">
        <v>4471</v>
      </c>
      <c r="B772" s="7" t="s">
        <v>399</v>
      </c>
      <c r="C772" t="s">
        <v>568</v>
      </c>
      <c r="D772" s="1">
        <v>45608</v>
      </c>
      <c r="E772" s="8">
        <v>11.99</v>
      </c>
      <c r="F772" s="6">
        <v>129</v>
      </c>
      <c r="G772" s="7" t="s">
        <v>36</v>
      </c>
      <c r="H772" s="6">
        <v>5</v>
      </c>
      <c r="I772" s="6">
        <v>3</v>
      </c>
      <c r="J772" s="7" t="b">
        <v>0</v>
      </c>
      <c r="K772" s="6">
        <v>291</v>
      </c>
      <c r="L772" s="6">
        <v>37</v>
      </c>
      <c r="M772" s="7" t="s">
        <v>55</v>
      </c>
      <c r="N772" s="7" t="s">
        <v>56</v>
      </c>
      <c r="O772" s="7" t="s">
        <v>45</v>
      </c>
      <c r="P772" s="5">
        <v>51</v>
      </c>
      <c r="Q772" s="4">
        <v>3.8</v>
      </c>
      <c r="R772" s="7" t="b">
        <v>0</v>
      </c>
      <c r="S772" s="7" t="s">
        <v>30</v>
      </c>
      <c r="T772" s="5">
        <v>4980</v>
      </c>
      <c r="U772" s="7" t="s">
        <v>76</v>
      </c>
      <c r="V772" t="s">
        <v>39</v>
      </c>
      <c r="W772" s="7" t="s">
        <v>60</v>
      </c>
    </row>
    <row r="773" spans="1:23" x14ac:dyDescent="0.3">
      <c r="A773" s="6">
        <v>1385</v>
      </c>
      <c r="B773" s="7" t="s">
        <v>664</v>
      </c>
      <c r="C773" s="1">
        <v>45361</v>
      </c>
      <c r="D773" s="1">
        <v>45577</v>
      </c>
      <c r="E773" s="8">
        <v>11.99</v>
      </c>
      <c r="F773" s="6">
        <v>292</v>
      </c>
      <c r="G773" s="7" t="s">
        <v>36</v>
      </c>
      <c r="H773" s="6">
        <v>4</v>
      </c>
      <c r="I773" s="6">
        <v>3</v>
      </c>
      <c r="J773" s="7" t="b">
        <v>0</v>
      </c>
      <c r="K773" s="6">
        <v>198</v>
      </c>
      <c r="L773" s="6">
        <v>195</v>
      </c>
      <c r="M773" s="7" t="s">
        <v>43</v>
      </c>
      <c r="N773" s="7" t="s">
        <v>56</v>
      </c>
      <c r="O773" s="7" t="s">
        <v>64</v>
      </c>
      <c r="P773" s="5">
        <v>55</v>
      </c>
      <c r="Q773" s="4">
        <v>4.9000000000000004</v>
      </c>
      <c r="R773" s="7" t="b">
        <v>1</v>
      </c>
      <c r="S773" s="7" t="s">
        <v>30</v>
      </c>
      <c r="T773" s="5">
        <v>1367</v>
      </c>
      <c r="U773" s="7" t="s">
        <v>76</v>
      </c>
      <c r="V773" t="s">
        <v>32</v>
      </c>
      <c r="W773" s="7" t="s">
        <v>33</v>
      </c>
    </row>
    <row r="774" spans="1:23" x14ac:dyDescent="0.3">
      <c r="A774" s="6">
        <v>4302</v>
      </c>
      <c r="B774" s="7" t="s">
        <v>164</v>
      </c>
      <c r="C774" t="s">
        <v>665</v>
      </c>
      <c r="D774" s="1">
        <v>45577</v>
      </c>
      <c r="E774" s="8">
        <v>11.99</v>
      </c>
      <c r="F774" s="6">
        <v>307</v>
      </c>
      <c r="G774" s="7" t="s">
        <v>63</v>
      </c>
      <c r="H774" s="6">
        <v>3</v>
      </c>
      <c r="I774" s="6">
        <v>1</v>
      </c>
      <c r="J774" s="7" t="b">
        <v>0</v>
      </c>
      <c r="K774" s="6">
        <v>919</v>
      </c>
      <c r="L774" s="6">
        <v>175</v>
      </c>
      <c r="M774" s="7" t="s">
        <v>55</v>
      </c>
      <c r="N774" s="7" t="s">
        <v>44</v>
      </c>
      <c r="O774" s="7" t="s">
        <v>64</v>
      </c>
      <c r="P774" s="5">
        <v>22</v>
      </c>
      <c r="Q774" s="4">
        <v>4</v>
      </c>
      <c r="R774" s="7" t="b">
        <v>1</v>
      </c>
      <c r="S774" s="7" t="s">
        <v>30</v>
      </c>
      <c r="T774" s="5">
        <v>2728</v>
      </c>
      <c r="U774" s="7" t="s">
        <v>38</v>
      </c>
      <c r="V774" t="s">
        <v>32</v>
      </c>
      <c r="W774" s="7" t="s">
        <v>33</v>
      </c>
    </row>
    <row r="775" spans="1:23" x14ac:dyDescent="0.3">
      <c r="A775" s="6">
        <v>4738</v>
      </c>
      <c r="B775" s="7" t="s">
        <v>666</v>
      </c>
      <c r="C775" s="1">
        <v>45057</v>
      </c>
      <c r="D775" s="1">
        <v>45394</v>
      </c>
      <c r="E775" s="8">
        <v>15.99</v>
      </c>
      <c r="F775" s="6">
        <v>306</v>
      </c>
      <c r="G775" s="7" t="s">
        <v>36</v>
      </c>
      <c r="H775" s="6">
        <v>5</v>
      </c>
      <c r="I775" s="6">
        <v>6</v>
      </c>
      <c r="J775" s="7" t="b">
        <v>1</v>
      </c>
      <c r="K775" s="6">
        <v>483</v>
      </c>
      <c r="L775" s="6">
        <v>5</v>
      </c>
      <c r="M775" s="7" t="s">
        <v>49</v>
      </c>
      <c r="N775" s="7" t="s">
        <v>44</v>
      </c>
      <c r="O775" s="7" t="s">
        <v>29</v>
      </c>
      <c r="P775" s="5">
        <v>56</v>
      </c>
      <c r="Q775" s="4">
        <v>4.7</v>
      </c>
      <c r="R775" s="7" t="b">
        <v>0</v>
      </c>
      <c r="S775" s="7" t="s">
        <v>30</v>
      </c>
      <c r="T775" s="5">
        <v>1556</v>
      </c>
      <c r="U775" s="7" t="s">
        <v>76</v>
      </c>
      <c r="V775" t="s">
        <v>32</v>
      </c>
      <c r="W775" s="7" t="s">
        <v>40</v>
      </c>
    </row>
    <row r="776" spans="1:23" x14ac:dyDescent="0.3">
      <c r="A776" s="6">
        <v>2441</v>
      </c>
      <c r="B776" s="7" t="s">
        <v>283</v>
      </c>
      <c r="C776" t="s">
        <v>652</v>
      </c>
      <c r="D776" t="s">
        <v>42</v>
      </c>
      <c r="E776" s="8">
        <v>11.99</v>
      </c>
      <c r="F776" s="6">
        <v>71</v>
      </c>
      <c r="G776" s="7" t="s">
        <v>48</v>
      </c>
      <c r="H776" s="6">
        <v>3</v>
      </c>
      <c r="I776" s="6">
        <v>2</v>
      </c>
      <c r="J776" s="7" t="b">
        <v>1</v>
      </c>
      <c r="K776" s="6">
        <v>645</v>
      </c>
      <c r="L776" s="6">
        <v>5</v>
      </c>
      <c r="M776" s="7" t="s">
        <v>68</v>
      </c>
      <c r="N776" s="7" t="s">
        <v>28</v>
      </c>
      <c r="O776" s="7" t="s">
        <v>45</v>
      </c>
      <c r="P776" s="5">
        <v>66</v>
      </c>
      <c r="Q776" s="4">
        <v>3.9</v>
      </c>
      <c r="R776" s="7" t="b">
        <v>0</v>
      </c>
      <c r="S776" s="7" t="s">
        <v>30</v>
      </c>
      <c r="T776" s="5">
        <v>4566</v>
      </c>
      <c r="U776" s="7" t="s">
        <v>76</v>
      </c>
      <c r="V776" t="s">
        <v>39</v>
      </c>
      <c r="W776" s="7" t="s">
        <v>33</v>
      </c>
    </row>
    <row r="777" spans="1:23" x14ac:dyDescent="0.3">
      <c r="A777" s="6">
        <v>6546</v>
      </c>
      <c r="B777" s="7" t="s">
        <v>667</v>
      </c>
      <c r="C777" t="s">
        <v>370</v>
      </c>
      <c r="D777" s="1">
        <v>45516</v>
      </c>
      <c r="E777" s="8">
        <v>15.99</v>
      </c>
      <c r="F777" s="6">
        <v>253</v>
      </c>
      <c r="G777" s="7" t="s">
        <v>48</v>
      </c>
      <c r="H777" s="6">
        <v>1</v>
      </c>
      <c r="I777" s="6">
        <v>2</v>
      </c>
      <c r="J777" s="7" t="b">
        <v>1</v>
      </c>
      <c r="K777" s="6">
        <v>653</v>
      </c>
      <c r="L777" s="6">
        <v>53</v>
      </c>
      <c r="M777" s="7" t="s">
        <v>27</v>
      </c>
      <c r="N777" s="7" t="s">
        <v>28</v>
      </c>
      <c r="O777" s="7" t="s">
        <v>29</v>
      </c>
      <c r="P777" s="5">
        <v>43</v>
      </c>
      <c r="Q777" s="4">
        <v>4.0999999999999996</v>
      </c>
      <c r="R777" s="7" t="b">
        <v>1</v>
      </c>
      <c r="S777" s="7" t="s">
        <v>30</v>
      </c>
      <c r="T777" s="5">
        <v>2969</v>
      </c>
      <c r="U777" s="7" t="s">
        <v>65</v>
      </c>
      <c r="V777" t="s">
        <v>32</v>
      </c>
      <c r="W777" s="7" t="s">
        <v>40</v>
      </c>
    </row>
    <row r="778" spans="1:23" x14ac:dyDescent="0.3">
      <c r="A778" s="6">
        <v>5459</v>
      </c>
      <c r="B778" s="7" t="s">
        <v>344</v>
      </c>
      <c r="C778" t="s">
        <v>447</v>
      </c>
      <c r="D778" t="s">
        <v>25</v>
      </c>
      <c r="E778" s="8">
        <v>15.99</v>
      </c>
      <c r="F778" s="6">
        <v>68</v>
      </c>
      <c r="G778" s="7" t="s">
        <v>63</v>
      </c>
      <c r="H778" s="6">
        <v>5</v>
      </c>
      <c r="I778" s="6">
        <v>2</v>
      </c>
      <c r="J778" s="7" t="b">
        <v>0</v>
      </c>
      <c r="K778" s="6">
        <v>727</v>
      </c>
      <c r="L778" s="6">
        <v>5</v>
      </c>
      <c r="M778" s="7" t="s">
        <v>74</v>
      </c>
      <c r="N778" s="7" t="s">
        <v>75</v>
      </c>
      <c r="O778" s="7" t="s">
        <v>78</v>
      </c>
      <c r="P778" s="5">
        <v>8</v>
      </c>
      <c r="Q778" s="4">
        <v>4.5999999999999996</v>
      </c>
      <c r="R778" s="7" t="b">
        <v>0</v>
      </c>
      <c r="S778" s="7" t="s">
        <v>30</v>
      </c>
      <c r="T778" s="5">
        <v>3421</v>
      </c>
      <c r="U778" s="7" t="s">
        <v>58</v>
      </c>
      <c r="V778" t="s">
        <v>69</v>
      </c>
      <c r="W778" s="7" t="s">
        <v>33</v>
      </c>
    </row>
    <row r="779" spans="1:23" x14ac:dyDescent="0.3">
      <c r="A779" s="6">
        <v>7051</v>
      </c>
      <c r="B779" s="7" t="s">
        <v>23</v>
      </c>
      <c r="C779" t="s">
        <v>333</v>
      </c>
      <c r="D779" t="s">
        <v>129</v>
      </c>
      <c r="E779" s="8">
        <v>7.99</v>
      </c>
      <c r="F779" s="6">
        <v>366</v>
      </c>
      <c r="G779" s="7" t="s">
        <v>36</v>
      </c>
      <c r="H779" s="6">
        <v>1</v>
      </c>
      <c r="I779" s="6">
        <v>1</v>
      </c>
      <c r="J779" s="7" t="b">
        <v>1</v>
      </c>
      <c r="K779" s="6">
        <v>257</v>
      </c>
      <c r="L779" s="6">
        <v>46</v>
      </c>
      <c r="M779" s="7" t="s">
        <v>74</v>
      </c>
      <c r="N779" s="7" t="s">
        <v>44</v>
      </c>
      <c r="O779" s="7" t="s">
        <v>78</v>
      </c>
      <c r="P779" s="5">
        <v>7</v>
      </c>
      <c r="Q779" s="4">
        <v>4.5</v>
      </c>
      <c r="R779" s="7" t="b">
        <v>1</v>
      </c>
      <c r="S779" s="7" t="s">
        <v>30</v>
      </c>
      <c r="T779" s="5">
        <v>2535</v>
      </c>
      <c r="U779" s="7" t="s">
        <v>76</v>
      </c>
      <c r="V779" t="s">
        <v>39</v>
      </c>
      <c r="W779" s="7" t="s">
        <v>40</v>
      </c>
    </row>
    <row r="780" spans="1:23" x14ac:dyDescent="0.3">
      <c r="A780" s="6">
        <v>6671</v>
      </c>
      <c r="B780" s="7" t="s">
        <v>41</v>
      </c>
      <c r="C780" t="s">
        <v>668</v>
      </c>
      <c r="D780" s="1">
        <v>45608</v>
      </c>
      <c r="E780" s="8">
        <v>15.99</v>
      </c>
      <c r="F780" s="6">
        <v>166</v>
      </c>
      <c r="G780" s="7" t="s">
        <v>100</v>
      </c>
      <c r="H780" s="6">
        <v>4</v>
      </c>
      <c r="I780" s="6">
        <v>1</v>
      </c>
      <c r="J780" s="7" t="b">
        <v>0</v>
      </c>
      <c r="K780" s="6">
        <v>208</v>
      </c>
      <c r="L780" s="6">
        <v>39</v>
      </c>
      <c r="M780" s="7" t="s">
        <v>74</v>
      </c>
      <c r="N780" s="7" t="s">
        <v>28</v>
      </c>
      <c r="O780" s="7" t="s">
        <v>57</v>
      </c>
      <c r="P780" s="5">
        <v>53</v>
      </c>
      <c r="Q780" s="4">
        <v>5</v>
      </c>
      <c r="R780" s="7" t="b">
        <v>1</v>
      </c>
      <c r="S780" s="7" t="s">
        <v>30</v>
      </c>
      <c r="T780" s="5">
        <v>290</v>
      </c>
      <c r="U780" s="7" t="s">
        <v>31</v>
      </c>
      <c r="V780" t="s">
        <v>32</v>
      </c>
      <c r="W780" s="7" t="s">
        <v>40</v>
      </c>
    </row>
    <row r="781" spans="1:23" x14ac:dyDescent="0.3">
      <c r="A781" s="6">
        <v>6013</v>
      </c>
      <c r="B781" s="7" t="s">
        <v>116</v>
      </c>
      <c r="C781" t="s">
        <v>669</v>
      </c>
      <c r="D781" s="1">
        <v>45363</v>
      </c>
      <c r="E781" s="8">
        <v>15.99</v>
      </c>
      <c r="F781" s="6">
        <v>136</v>
      </c>
      <c r="G781" s="7" t="s">
        <v>73</v>
      </c>
      <c r="H781" s="6">
        <v>2</v>
      </c>
      <c r="I781" s="6">
        <v>4</v>
      </c>
      <c r="J781" s="7" t="b">
        <v>1</v>
      </c>
      <c r="K781" s="6">
        <v>471</v>
      </c>
      <c r="L781" s="6">
        <v>91</v>
      </c>
      <c r="M781" s="7" t="s">
        <v>43</v>
      </c>
      <c r="N781" s="7" t="s">
        <v>44</v>
      </c>
      <c r="O781" s="7" t="s">
        <v>45</v>
      </c>
      <c r="P781" s="5">
        <v>70</v>
      </c>
      <c r="Q781" s="4">
        <v>4.4000000000000004</v>
      </c>
      <c r="R781" s="7" t="b">
        <v>0</v>
      </c>
      <c r="S781" s="7" t="s">
        <v>30</v>
      </c>
      <c r="T781" s="5">
        <v>756</v>
      </c>
      <c r="U781" s="7" t="s">
        <v>76</v>
      </c>
      <c r="V781" t="s">
        <v>39</v>
      </c>
      <c r="W781" s="7" t="s">
        <v>93</v>
      </c>
    </row>
    <row r="782" spans="1:23" x14ac:dyDescent="0.3">
      <c r="A782" s="6">
        <v>9996</v>
      </c>
      <c r="B782" s="7" t="s">
        <v>521</v>
      </c>
      <c r="C782" t="s">
        <v>451</v>
      </c>
      <c r="D782" s="1">
        <v>45547</v>
      </c>
      <c r="E782" s="8">
        <v>7.99</v>
      </c>
      <c r="F782" s="6">
        <v>358</v>
      </c>
      <c r="G782" s="7" t="s">
        <v>73</v>
      </c>
      <c r="H782" s="6">
        <v>3</v>
      </c>
      <c r="I782" s="6">
        <v>2</v>
      </c>
      <c r="J782" s="7" t="b">
        <v>1</v>
      </c>
      <c r="K782" s="6">
        <v>512</v>
      </c>
      <c r="L782" s="6">
        <v>153</v>
      </c>
      <c r="M782" s="7" t="s">
        <v>49</v>
      </c>
      <c r="N782" s="7" t="s">
        <v>56</v>
      </c>
      <c r="O782" s="7" t="s">
        <v>29</v>
      </c>
      <c r="P782" s="5">
        <v>70</v>
      </c>
      <c r="Q782" s="4">
        <v>3.3</v>
      </c>
      <c r="R782" s="7" t="b">
        <v>1</v>
      </c>
      <c r="S782" s="7" t="s">
        <v>30</v>
      </c>
      <c r="T782" s="5">
        <v>947</v>
      </c>
      <c r="U782" s="7" t="s">
        <v>58</v>
      </c>
      <c r="V782" t="s">
        <v>59</v>
      </c>
      <c r="W782" s="7" t="s">
        <v>33</v>
      </c>
    </row>
    <row r="783" spans="1:23" x14ac:dyDescent="0.3">
      <c r="A783" s="6">
        <v>4851</v>
      </c>
      <c r="B783" s="7" t="s">
        <v>186</v>
      </c>
      <c r="C783" s="1">
        <v>45202</v>
      </c>
      <c r="D783" t="s">
        <v>129</v>
      </c>
      <c r="E783" s="8">
        <v>15.99</v>
      </c>
      <c r="F783" s="6">
        <v>399</v>
      </c>
      <c r="G783" s="7" t="s">
        <v>36</v>
      </c>
      <c r="H783" s="6">
        <v>1</v>
      </c>
      <c r="I783" s="6">
        <v>2</v>
      </c>
      <c r="J783" s="7" t="b">
        <v>0</v>
      </c>
      <c r="K783" s="6">
        <v>355</v>
      </c>
      <c r="L783" s="6">
        <v>181</v>
      </c>
      <c r="M783" s="7" t="s">
        <v>27</v>
      </c>
      <c r="N783" s="7" t="s">
        <v>56</v>
      </c>
      <c r="O783" s="7" t="s">
        <v>29</v>
      </c>
      <c r="P783" s="5">
        <v>79</v>
      </c>
      <c r="Q783" s="4">
        <v>3.4</v>
      </c>
      <c r="R783" s="7" t="b">
        <v>1</v>
      </c>
      <c r="S783" s="7" t="s">
        <v>30</v>
      </c>
      <c r="T783" s="5">
        <v>2138</v>
      </c>
      <c r="U783" s="7" t="s">
        <v>38</v>
      </c>
      <c r="V783" t="s">
        <v>69</v>
      </c>
      <c r="W783" s="7" t="s">
        <v>33</v>
      </c>
    </row>
    <row r="784" spans="1:23" x14ac:dyDescent="0.3">
      <c r="A784" s="6">
        <v>2498</v>
      </c>
      <c r="B784" s="7" t="s">
        <v>441</v>
      </c>
      <c r="C784" s="1">
        <v>45270</v>
      </c>
      <c r="D784" s="1">
        <v>45485</v>
      </c>
      <c r="E784" s="8">
        <v>11.99</v>
      </c>
      <c r="F784" s="6">
        <v>285</v>
      </c>
      <c r="G784" s="7" t="s">
        <v>100</v>
      </c>
      <c r="H784" s="6">
        <v>1</v>
      </c>
      <c r="I784" s="6">
        <v>5</v>
      </c>
      <c r="J784" s="7" t="b">
        <v>0</v>
      </c>
      <c r="K784" s="6">
        <v>634</v>
      </c>
      <c r="L784" s="6">
        <v>168</v>
      </c>
      <c r="M784" s="7" t="s">
        <v>27</v>
      </c>
      <c r="N784" s="7" t="s">
        <v>75</v>
      </c>
      <c r="O784" s="7" t="s">
        <v>37</v>
      </c>
      <c r="P784" s="5">
        <v>76</v>
      </c>
      <c r="Q784" s="4">
        <v>3.3</v>
      </c>
      <c r="R784" s="7" t="b">
        <v>1</v>
      </c>
      <c r="S784" s="7" t="s">
        <v>30</v>
      </c>
      <c r="T784" s="5">
        <v>3151</v>
      </c>
      <c r="U784" s="7" t="s">
        <v>38</v>
      </c>
      <c r="V784" t="s">
        <v>69</v>
      </c>
      <c r="W784" s="7" t="s">
        <v>93</v>
      </c>
    </row>
    <row r="785" spans="1:23" x14ac:dyDescent="0.3">
      <c r="A785" s="6">
        <v>6208</v>
      </c>
      <c r="B785" s="7" t="s">
        <v>253</v>
      </c>
      <c r="C785" t="s">
        <v>670</v>
      </c>
      <c r="D785" t="s">
        <v>72</v>
      </c>
      <c r="E785" s="8">
        <v>7.99</v>
      </c>
      <c r="F785" s="6">
        <v>424</v>
      </c>
      <c r="G785" s="7" t="s">
        <v>63</v>
      </c>
      <c r="H785" s="6">
        <v>2</v>
      </c>
      <c r="I785" s="6">
        <v>3</v>
      </c>
      <c r="J785" s="7" t="b">
        <v>0</v>
      </c>
      <c r="K785" s="6">
        <v>942</v>
      </c>
      <c r="L785" s="6">
        <v>127</v>
      </c>
      <c r="M785" s="7" t="s">
        <v>74</v>
      </c>
      <c r="N785" s="7" t="s">
        <v>28</v>
      </c>
      <c r="O785" s="7" t="s">
        <v>64</v>
      </c>
      <c r="P785" s="5">
        <v>95</v>
      </c>
      <c r="Q785" s="4">
        <v>4.8</v>
      </c>
      <c r="R785" s="7" t="b">
        <v>1</v>
      </c>
      <c r="S785" s="7" t="s">
        <v>30</v>
      </c>
      <c r="T785" s="5">
        <v>670</v>
      </c>
      <c r="U785" s="7" t="s">
        <v>58</v>
      </c>
      <c r="V785" t="s">
        <v>69</v>
      </c>
      <c r="W785" s="7" t="s">
        <v>93</v>
      </c>
    </row>
    <row r="786" spans="1:23" x14ac:dyDescent="0.3">
      <c r="A786" s="6">
        <v>7171</v>
      </c>
      <c r="B786" s="7" t="s">
        <v>70</v>
      </c>
      <c r="C786" t="s">
        <v>121</v>
      </c>
      <c r="D786" t="s">
        <v>214</v>
      </c>
      <c r="E786" s="8">
        <v>11.99</v>
      </c>
      <c r="F786" s="6">
        <v>467</v>
      </c>
      <c r="G786" s="7" t="s">
        <v>26</v>
      </c>
      <c r="H786" s="6">
        <v>1</v>
      </c>
      <c r="I786" s="6">
        <v>3</v>
      </c>
      <c r="J786" s="7" t="b">
        <v>1</v>
      </c>
      <c r="K786" s="6">
        <v>350</v>
      </c>
      <c r="L786" s="6">
        <v>134</v>
      </c>
      <c r="M786" s="7" t="s">
        <v>74</v>
      </c>
      <c r="N786" s="7" t="s">
        <v>44</v>
      </c>
      <c r="O786" s="7" t="s">
        <v>64</v>
      </c>
      <c r="P786" s="5">
        <v>1</v>
      </c>
      <c r="Q786" s="4">
        <v>3.9</v>
      </c>
      <c r="R786" s="7" t="b">
        <v>0</v>
      </c>
      <c r="S786" s="7" t="s">
        <v>30</v>
      </c>
      <c r="T786" s="5">
        <v>3037</v>
      </c>
      <c r="U786" s="7" t="s">
        <v>31</v>
      </c>
      <c r="V786" t="s">
        <v>39</v>
      </c>
      <c r="W786" s="7" t="s">
        <v>93</v>
      </c>
    </row>
    <row r="787" spans="1:23" x14ac:dyDescent="0.3">
      <c r="A787" s="6">
        <v>7667</v>
      </c>
      <c r="B787" s="7" t="s">
        <v>666</v>
      </c>
      <c r="C787" s="1">
        <v>45047</v>
      </c>
      <c r="D787" t="s">
        <v>72</v>
      </c>
      <c r="E787" s="8">
        <v>15.99</v>
      </c>
      <c r="F787" s="6">
        <v>443</v>
      </c>
      <c r="G787" s="7" t="s">
        <v>100</v>
      </c>
      <c r="H787" s="6">
        <v>1</v>
      </c>
      <c r="I787" s="6">
        <v>3</v>
      </c>
      <c r="J787" s="7" t="b">
        <v>0</v>
      </c>
      <c r="K787" s="6">
        <v>326</v>
      </c>
      <c r="L787" s="6">
        <v>59</v>
      </c>
      <c r="M787" s="7" t="s">
        <v>74</v>
      </c>
      <c r="N787" s="7" t="s">
        <v>28</v>
      </c>
      <c r="O787" s="7" t="s">
        <v>29</v>
      </c>
      <c r="P787" s="5">
        <v>57</v>
      </c>
      <c r="Q787" s="4">
        <v>3.9</v>
      </c>
      <c r="R787" s="7" t="b">
        <v>0</v>
      </c>
      <c r="S787" s="7" t="s">
        <v>30</v>
      </c>
      <c r="T787" s="5">
        <v>3712</v>
      </c>
      <c r="U787" s="7" t="s">
        <v>38</v>
      </c>
      <c r="V787" t="s">
        <v>32</v>
      </c>
      <c r="W787" s="7" t="s">
        <v>33</v>
      </c>
    </row>
    <row r="788" spans="1:23" x14ac:dyDescent="0.3">
      <c r="A788" s="6">
        <v>4912</v>
      </c>
      <c r="B788" s="7" t="s">
        <v>364</v>
      </c>
      <c r="C788" s="1">
        <v>45026</v>
      </c>
      <c r="D788" s="1">
        <v>45303</v>
      </c>
      <c r="E788" s="8">
        <v>15.99</v>
      </c>
      <c r="F788" s="6">
        <v>214</v>
      </c>
      <c r="G788" s="7" t="s">
        <v>48</v>
      </c>
      <c r="H788" s="6">
        <v>1</v>
      </c>
      <c r="I788" s="6">
        <v>3</v>
      </c>
      <c r="J788" s="7" t="b">
        <v>0</v>
      </c>
      <c r="K788" s="6">
        <v>61</v>
      </c>
      <c r="L788" s="6">
        <v>148</v>
      </c>
      <c r="M788" s="7" t="s">
        <v>49</v>
      </c>
      <c r="N788" s="7" t="s">
        <v>75</v>
      </c>
      <c r="O788" s="7" t="s">
        <v>37</v>
      </c>
      <c r="P788" s="5">
        <v>95</v>
      </c>
      <c r="Q788" s="4">
        <v>4.0999999999999996</v>
      </c>
      <c r="R788" s="7" t="b">
        <v>1</v>
      </c>
      <c r="S788" s="7" t="s">
        <v>30</v>
      </c>
      <c r="T788" s="5">
        <v>2029</v>
      </c>
      <c r="U788" s="7" t="s">
        <v>31</v>
      </c>
      <c r="V788" t="s">
        <v>69</v>
      </c>
      <c r="W788" s="7" t="s">
        <v>33</v>
      </c>
    </row>
    <row r="789" spans="1:23" x14ac:dyDescent="0.3">
      <c r="A789" s="6">
        <v>7975</v>
      </c>
      <c r="B789" s="7" t="s">
        <v>671</v>
      </c>
      <c r="C789" s="1">
        <v>44995</v>
      </c>
      <c r="D789" t="s">
        <v>82</v>
      </c>
      <c r="E789" s="8">
        <v>15.99</v>
      </c>
      <c r="F789" s="6">
        <v>437</v>
      </c>
      <c r="G789" s="7" t="s">
        <v>63</v>
      </c>
      <c r="H789" s="6">
        <v>2</v>
      </c>
      <c r="I789" s="6">
        <v>2</v>
      </c>
      <c r="J789" s="7" t="b">
        <v>1</v>
      </c>
      <c r="K789" s="6">
        <v>328</v>
      </c>
      <c r="L789" s="6">
        <v>170</v>
      </c>
      <c r="M789" s="7" t="s">
        <v>92</v>
      </c>
      <c r="N789" s="7" t="s">
        <v>44</v>
      </c>
      <c r="O789" s="7" t="s">
        <v>64</v>
      </c>
      <c r="P789" s="5">
        <v>25</v>
      </c>
      <c r="Q789" s="4">
        <v>3.6</v>
      </c>
      <c r="R789" s="7" t="b">
        <v>0</v>
      </c>
      <c r="S789" s="7" t="s">
        <v>30</v>
      </c>
      <c r="T789" s="5">
        <v>2406</v>
      </c>
      <c r="U789" s="7" t="s">
        <v>58</v>
      </c>
      <c r="V789" t="s">
        <v>39</v>
      </c>
      <c r="W789" s="7" t="s">
        <v>33</v>
      </c>
    </row>
    <row r="790" spans="1:23" x14ac:dyDescent="0.3">
      <c r="A790" s="6">
        <v>6804</v>
      </c>
      <c r="B790" s="7" t="s">
        <v>657</v>
      </c>
      <c r="C790" s="1">
        <v>45232</v>
      </c>
      <c r="D790" s="1">
        <v>45577</v>
      </c>
      <c r="E790" s="8">
        <v>15.99</v>
      </c>
      <c r="F790" s="6">
        <v>419</v>
      </c>
      <c r="G790" s="7" t="s">
        <v>36</v>
      </c>
      <c r="H790" s="6">
        <v>2</v>
      </c>
      <c r="I790" s="6">
        <v>1</v>
      </c>
      <c r="J790" s="7" t="b">
        <v>0</v>
      </c>
      <c r="K790" s="6">
        <v>591</v>
      </c>
      <c r="L790" s="6">
        <v>166</v>
      </c>
      <c r="M790" s="7" t="s">
        <v>68</v>
      </c>
      <c r="N790" s="7" t="s">
        <v>28</v>
      </c>
      <c r="O790" s="7" t="s">
        <v>37</v>
      </c>
      <c r="P790" s="5">
        <v>26</v>
      </c>
      <c r="Q790" s="4">
        <v>3.5</v>
      </c>
      <c r="R790" s="7" t="b">
        <v>1</v>
      </c>
      <c r="S790" s="7" t="s">
        <v>30</v>
      </c>
      <c r="T790" s="5">
        <v>3264</v>
      </c>
      <c r="U790" s="7" t="s">
        <v>38</v>
      </c>
      <c r="V790" t="s">
        <v>79</v>
      </c>
      <c r="W790" s="7" t="s">
        <v>33</v>
      </c>
    </row>
    <row r="791" spans="1:23" x14ac:dyDescent="0.3">
      <c r="A791" s="6">
        <v>3877</v>
      </c>
      <c r="B791" s="7" t="s">
        <v>667</v>
      </c>
      <c r="C791" t="s">
        <v>577</v>
      </c>
      <c r="D791" t="s">
        <v>156</v>
      </c>
      <c r="E791" s="8">
        <v>11.99</v>
      </c>
      <c r="F791" s="6">
        <v>129</v>
      </c>
      <c r="G791" s="7" t="s">
        <v>26</v>
      </c>
      <c r="H791" s="6">
        <v>2</v>
      </c>
      <c r="I791" s="6">
        <v>5</v>
      </c>
      <c r="J791" s="7" t="b">
        <v>0</v>
      </c>
      <c r="K791" s="6">
        <v>527</v>
      </c>
      <c r="L791" s="6">
        <v>153</v>
      </c>
      <c r="M791" s="7" t="s">
        <v>68</v>
      </c>
      <c r="N791" s="7" t="s">
        <v>28</v>
      </c>
      <c r="O791" s="7" t="s">
        <v>37</v>
      </c>
      <c r="P791" s="5">
        <v>0</v>
      </c>
      <c r="Q791" s="4">
        <v>4.5999999999999996</v>
      </c>
      <c r="R791" s="7" t="b">
        <v>0</v>
      </c>
      <c r="S791" s="7" t="s">
        <v>30</v>
      </c>
      <c r="T791" s="5">
        <v>1135</v>
      </c>
      <c r="U791" s="7" t="s">
        <v>76</v>
      </c>
      <c r="V791" t="s">
        <v>39</v>
      </c>
      <c r="W791" s="7" t="s">
        <v>33</v>
      </c>
    </row>
    <row r="792" spans="1:23" x14ac:dyDescent="0.3">
      <c r="A792" s="6">
        <v>8768</v>
      </c>
      <c r="B792" s="7" t="s">
        <v>281</v>
      </c>
      <c r="C792" s="1">
        <v>45546</v>
      </c>
      <c r="D792" s="1">
        <v>45303</v>
      </c>
      <c r="E792" s="8">
        <v>15.99</v>
      </c>
      <c r="F792" s="6">
        <v>75</v>
      </c>
      <c r="G792" s="7" t="s">
        <v>48</v>
      </c>
      <c r="H792" s="6">
        <v>5</v>
      </c>
      <c r="I792" s="6">
        <v>1</v>
      </c>
      <c r="J792" s="7" t="b">
        <v>1</v>
      </c>
      <c r="K792" s="6">
        <v>115</v>
      </c>
      <c r="L792" s="6">
        <v>122</v>
      </c>
      <c r="M792" s="7" t="s">
        <v>68</v>
      </c>
      <c r="N792" s="7" t="s">
        <v>44</v>
      </c>
      <c r="O792" s="7" t="s">
        <v>29</v>
      </c>
      <c r="P792" s="5">
        <v>86</v>
      </c>
      <c r="Q792" s="4">
        <v>3.5</v>
      </c>
      <c r="R792" s="7" t="b">
        <v>0</v>
      </c>
      <c r="S792" s="7" t="s">
        <v>30</v>
      </c>
      <c r="T792" s="5">
        <v>3761</v>
      </c>
      <c r="U792" s="7" t="s">
        <v>76</v>
      </c>
      <c r="V792" t="s">
        <v>39</v>
      </c>
      <c r="W792" s="7" t="s">
        <v>40</v>
      </c>
    </row>
    <row r="793" spans="1:23" x14ac:dyDescent="0.3">
      <c r="A793" s="6">
        <v>1420</v>
      </c>
      <c r="B793" s="7" t="s">
        <v>197</v>
      </c>
      <c r="C793" s="1">
        <v>45361</v>
      </c>
      <c r="D793" s="1">
        <v>45424</v>
      </c>
      <c r="E793" s="8">
        <v>7.99</v>
      </c>
      <c r="F793" s="6">
        <v>346</v>
      </c>
      <c r="G793" s="7" t="s">
        <v>51</v>
      </c>
      <c r="H793" s="6">
        <v>5</v>
      </c>
      <c r="I793" s="6">
        <v>5</v>
      </c>
      <c r="J793" s="7" t="b">
        <v>1</v>
      </c>
      <c r="K793" s="6">
        <v>732</v>
      </c>
      <c r="L793" s="6">
        <v>144</v>
      </c>
      <c r="M793" s="7" t="s">
        <v>92</v>
      </c>
      <c r="N793" s="7" t="s">
        <v>28</v>
      </c>
      <c r="O793" s="7" t="s">
        <v>78</v>
      </c>
      <c r="P793" s="5">
        <v>73</v>
      </c>
      <c r="Q793" s="4">
        <v>4.9000000000000004</v>
      </c>
      <c r="R793" s="7" t="b">
        <v>0</v>
      </c>
      <c r="S793" s="7" t="s">
        <v>30</v>
      </c>
      <c r="T793" s="5">
        <v>3633</v>
      </c>
      <c r="U793" s="7" t="s">
        <v>76</v>
      </c>
      <c r="V793" t="s">
        <v>79</v>
      </c>
      <c r="W793" s="7" t="s">
        <v>33</v>
      </c>
    </row>
    <row r="794" spans="1:23" x14ac:dyDescent="0.3">
      <c r="A794" s="6">
        <v>2306</v>
      </c>
      <c r="B794" s="7" t="s">
        <v>257</v>
      </c>
      <c r="C794" s="1">
        <v>45235</v>
      </c>
      <c r="D794" s="1">
        <v>45303</v>
      </c>
      <c r="E794" s="8">
        <v>11.99</v>
      </c>
      <c r="F794" s="6">
        <v>480</v>
      </c>
      <c r="G794" s="7" t="s">
        <v>63</v>
      </c>
      <c r="H794" s="6">
        <v>4</v>
      </c>
      <c r="I794" s="6">
        <v>6</v>
      </c>
      <c r="J794" s="7" t="b">
        <v>1</v>
      </c>
      <c r="K794" s="6">
        <v>509</v>
      </c>
      <c r="L794" s="6">
        <v>12</v>
      </c>
      <c r="M794" s="7" t="s">
        <v>43</v>
      </c>
      <c r="N794" s="7" t="s">
        <v>56</v>
      </c>
      <c r="O794" s="7" t="s">
        <v>64</v>
      </c>
      <c r="P794" s="5">
        <v>43</v>
      </c>
      <c r="Q794" s="4">
        <v>3.1</v>
      </c>
      <c r="R794" s="7" t="b">
        <v>0</v>
      </c>
      <c r="S794" s="7" t="s">
        <v>30</v>
      </c>
      <c r="T794" s="5">
        <v>3308</v>
      </c>
      <c r="U794" s="7" t="s">
        <v>31</v>
      </c>
      <c r="V794" t="s">
        <v>39</v>
      </c>
      <c r="W794" s="7" t="s">
        <v>40</v>
      </c>
    </row>
    <row r="795" spans="1:23" x14ac:dyDescent="0.3">
      <c r="A795" s="6">
        <v>2079</v>
      </c>
      <c r="B795" s="7" t="s">
        <v>387</v>
      </c>
      <c r="C795" t="s">
        <v>672</v>
      </c>
      <c r="D795" s="1">
        <v>45334</v>
      </c>
      <c r="E795" s="8">
        <v>11.99</v>
      </c>
      <c r="F795" s="6">
        <v>188</v>
      </c>
      <c r="G795" s="7" t="s">
        <v>63</v>
      </c>
      <c r="H795" s="6">
        <v>2</v>
      </c>
      <c r="I795" s="6">
        <v>2</v>
      </c>
      <c r="J795" s="7" t="b">
        <v>1</v>
      </c>
      <c r="K795" s="6">
        <v>655</v>
      </c>
      <c r="L795" s="6">
        <v>16</v>
      </c>
      <c r="M795" s="7" t="s">
        <v>27</v>
      </c>
      <c r="N795" s="7" t="s">
        <v>28</v>
      </c>
      <c r="O795" s="7" t="s">
        <v>64</v>
      </c>
      <c r="P795" s="5">
        <v>50</v>
      </c>
      <c r="Q795" s="4">
        <v>3.3</v>
      </c>
      <c r="R795" s="7" t="b">
        <v>1</v>
      </c>
      <c r="S795" s="7" t="s">
        <v>30</v>
      </c>
      <c r="T795" s="5">
        <v>1311</v>
      </c>
      <c r="U795" s="7" t="s">
        <v>65</v>
      </c>
      <c r="V795" t="s">
        <v>32</v>
      </c>
      <c r="W795" s="7" t="s">
        <v>33</v>
      </c>
    </row>
    <row r="796" spans="1:23" x14ac:dyDescent="0.3">
      <c r="A796" s="6">
        <v>3554</v>
      </c>
      <c r="B796" s="7" t="s">
        <v>391</v>
      </c>
      <c r="C796" t="s">
        <v>575</v>
      </c>
      <c r="D796" s="1">
        <v>45394</v>
      </c>
      <c r="E796" s="8">
        <v>7.99</v>
      </c>
      <c r="F796" s="6">
        <v>420</v>
      </c>
      <c r="G796" s="7" t="s">
        <v>36</v>
      </c>
      <c r="H796" s="6">
        <v>4</v>
      </c>
      <c r="I796" s="6">
        <v>1</v>
      </c>
      <c r="J796" s="7" t="b">
        <v>0</v>
      </c>
      <c r="K796" s="6">
        <v>399</v>
      </c>
      <c r="L796" s="6">
        <v>45</v>
      </c>
      <c r="M796" s="7" t="s">
        <v>27</v>
      </c>
      <c r="N796" s="7" t="s">
        <v>44</v>
      </c>
      <c r="O796" s="7" t="s">
        <v>78</v>
      </c>
      <c r="P796" s="5">
        <v>52</v>
      </c>
      <c r="Q796" s="4">
        <v>4</v>
      </c>
      <c r="R796" s="7" t="b">
        <v>0</v>
      </c>
      <c r="S796" s="7" t="s">
        <v>30</v>
      </c>
      <c r="T796" s="5">
        <v>4333</v>
      </c>
      <c r="U796" s="7" t="s">
        <v>38</v>
      </c>
      <c r="V796" t="s">
        <v>39</v>
      </c>
      <c r="W796" s="7" t="s">
        <v>60</v>
      </c>
    </row>
    <row r="797" spans="1:23" x14ac:dyDescent="0.3">
      <c r="A797" s="6">
        <v>7616</v>
      </c>
      <c r="B797" s="7" t="s">
        <v>280</v>
      </c>
      <c r="C797" s="1">
        <v>45205</v>
      </c>
      <c r="D797" s="1">
        <v>45608</v>
      </c>
      <c r="E797" s="8">
        <v>15.99</v>
      </c>
      <c r="F797" s="6">
        <v>204</v>
      </c>
      <c r="G797" s="7" t="s">
        <v>63</v>
      </c>
      <c r="H797" s="6">
        <v>3</v>
      </c>
      <c r="I797" s="6">
        <v>5</v>
      </c>
      <c r="J797" s="7" t="b">
        <v>0</v>
      </c>
      <c r="K797" s="6">
        <v>597</v>
      </c>
      <c r="L797" s="6">
        <v>118</v>
      </c>
      <c r="M797" s="7" t="s">
        <v>74</v>
      </c>
      <c r="N797" s="7" t="s">
        <v>44</v>
      </c>
      <c r="O797" s="7" t="s">
        <v>64</v>
      </c>
      <c r="P797" s="5">
        <v>60</v>
      </c>
      <c r="Q797" s="4">
        <v>3.1</v>
      </c>
      <c r="R797" s="7" t="b">
        <v>1</v>
      </c>
      <c r="S797" s="7" t="s">
        <v>30</v>
      </c>
      <c r="T797" s="5">
        <v>4575</v>
      </c>
      <c r="U797" s="7" t="s">
        <v>31</v>
      </c>
      <c r="V797" t="s">
        <v>32</v>
      </c>
      <c r="W797" s="7" t="s">
        <v>40</v>
      </c>
    </row>
    <row r="798" spans="1:23" x14ac:dyDescent="0.3">
      <c r="A798" s="6">
        <v>5650</v>
      </c>
      <c r="B798" s="7" t="s">
        <v>441</v>
      </c>
      <c r="C798" t="s">
        <v>673</v>
      </c>
      <c r="D798" s="1">
        <v>45516</v>
      </c>
      <c r="E798" s="8">
        <v>15.99</v>
      </c>
      <c r="F798" s="6">
        <v>355</v>
      </c>
      <c r="G798" s="7" t="s">
        <v>63</v>
      </c>
      <c r="H798" s="6">
        <v>1</v>
      </c>
      <c r="I798" s="6">
        <v>1</v>
      </c>
      <c r="J798" s="7" t="b">
        <v>1</v>
      </c>
      <c r="K798" s="6">
        <v>358</v>
      </c>
      <c r="L798" s="6">
        <v>173</v>
      </c>
      <c r="M798" s="7" t="s">
        <v>43</v>
      </c>
      <c r="N798" s="7" t="s">
        <v>75</v>
      </c>
      <c r="O798" s="7" t="s">
        <v>29</v>
      </c>
      <c r="P798" s="5">
        <v>60</v>
      </c>
      <c r="Q798" s="4">
        <v>4.8</v>
      </c>
      <c r="R798" s="7" t="b">
        <v>0</v>
      </c>
      <c r="S798" s="7" t="s">
        <v>30</v>
      </c>
      <c r="T798" s="5">
        <v>2448</v>
      </c>
      <c r="U798" s="7" t="s">
        <v>38</v>
      </c>
      <c r="V798" t="s">
        <v>59</v>
      </c>
      <c r="W798" s="7" t="s">
        <v>93</v>
      </c>
    </row>
    <row r="799" spans="1:23" x14ac:dyDescent="0.3">
      <c r="A799" s="6">
        <v>9385</v>
      </c>
      <c r="B799" s="7" t="s">
        <v>202</v>
      </c>
      <c r="C799" t="s">
        <v>674</v>
      </c>
      <c r="D799" s="1">
        <v>45363</v>
      </c>
      <c r="E799" s="8">
        <v>7.99</v>
      </c>
      <c r="F799" s="6">
        <v>200</v>
      </c>
      <c r="G799" s="7" t="s">
        <v>36</v>
      </c>
      <c r="H799" s="6">
        <v>3</v>
      </c>
      <c r="I799" s="6">
        <v>2</v>
      </c>
      <c r="J799" s="7" t="b">
        <v>0</v>
      </c>
      <c r="K799" s="6">
        <v>453</v>
      </c>
      <c r="L799" s="6">
        <v>172</v>
      </c>
      <c r="M799" s="7" t="s">
        <v>43</v>
      </c>
      <c r="N799" s="7" t="s">
        <v>28</v>
      </c>
      <c r="O799" s="7" t="s">
        <v>64</v>
      </c>
      <c r="P799" s="5">
        <v>1</v>
      </c>
      <c r="Q799" s="4">
        <v>4.4000000000000004</v>
      </c>
      <c r="R799" s="7" t="b">
        <v>1</v>
      </c>
      <c r="S799" s="7" t="s">
        <v>30</v>
      </c>
      <c r="T799" s="5">
        <v>1072</v>
      </c>
      <c r="U799" s="7" t="s">
        <v>76</v>
      </c>
      <c r="V799" t="s">
        <v>79</v>
      </c>
      <c r="W799" s="7" t="s">
        <v>60</v>
      </c>
    </row>
    <row r="800" spans="1:23" x14ac:dyDescent="0.3">
      <c r="A800" s="6">
        <v>2482</v>
      </c>
      <c r="B800" s="7" t="s">
        <v>197</v>
      </c>
      <c r="C800" t="s">
        <v>154</v>
      </c>
      <c r="D800" t="s">
        <v>168</v>
      </c>
      <c r="E800" s="8">
        <v>7.99</v>
      </c>
      <c r="F800" s="6">
        <v>178</v>
      </c>
      <c r="G800" s="7" t="s">
        <v>26</v>
      </c>
      <c r="H800" s="6">
        <v>2</v>
      </c>
      <c r="I800" s="6">
        <v>2</v>
      </c>
      <c r="J800" s="7" t="b">
        <v>1</v>
      </c>
      <c r="K800" s="6">
        <v>378</v>
      </c>
      <c r="L800" s="6">
        <v>117</v>
      </c>
      <c r="M800" s="7" t="s">
        <v>55</v>
      </c>
      <c r="N800" s="7" t="s">
        <v>56</v>
      </c>
      <c r="O800" s="7" t="s">
        <v>29</v>
      </c>
      <c r="P800" s="5">
        <v>63</v>
      </c>
      <c r="Q800" s="4">
        <v>4.8</v>
      </c>
      <c r="R800" s="7" t="b">
        <v>1</v>
      </c>
      <c r="S800" s="7" t="s">
        <v>30</v>
      </c>
      <c r="T800" s="5">
        <v>1784</v>
      </c>
      <c r="U800" s="7" t="s">
        <v>38</v>
      </c>
      <c r="V800" t="s">
        <v>69</v>
      </c>
      <c r="W800" s="7" t="s">
        <v>40</v>
      </c>
    </row>
    <row r="801" spans="1:23" x14ac:dyDescent="0.3">
      <c r="A801" s="6">
        <v>9017</v>
      </c>
      <c r="B801" s="7" t="s">
        <v>510</v>
      </c>
      <c r="C801" t="s">
        <v>661</v>
      </c>
      <c r="D801" s="1">
        <v>45608</v>
      </c>
      <c r="E801" s="8">
        <v>11.99</v>
      </c>
      <c r="F801" s="6">
        <v>337</v>
      </c>
      <c r="G801" s="7" t="s">
        <v>51</v>
      </c>
      <c r="H801" s="6">
        <v>2</v>
      </c>
      <c r="I801" s="6">
        <v>2</v>
      </c>
      <c r="J801" s="7" t="b">
        <v>1</v>
      </c>
      <c r="K801" s="6">
        <v>750</v>
      </c>
      <c r="L801" s="6">
        <v>146</v>
      </c>
      <c r="M801" s="7" t="s">
        <v>55</v>
      </c>
      <c r="N801" s="7" t="s">
        <v>56</v>
      </c>
      <c r="O801" s="7" t="s">
        <v>64</v>
      </c>
      <c r="P801" s="5">
        <v>100</v>
      </c>
      <c r="Q801" s="4">
        <v>4.0999999999999996</v>
      </c>
      <c r="R801" s="7" t="b">
        <v>1</v>
      </c>
      <c r="S801" s="7" t="s">
        <v>30</v>
      </c>
      <c r="T801" s="5">
        <v>3787</v>
      </c>
      <c r="U801" s="7" t="s">
        <v>38</v>
      </c>
      <c r="V801" t="s">
        <v>32</v>
      </c>
      <c r="W801" s="7" t="s">
        <v>33</v>
      </c>
    </row>
    <row r="802" spans="1:23" x14ac:dyDescent="0.3">
      <c r="A802" s="6">
        <v>7001</v>
      </c>
      <c r="B802" s="7" t="s">
        <v>164</v>
      </c>
      <c r="C802" s="1">
        <v>45146</v>
      </c>
      <c r="D802" t="s">
        <v>90</v>
      </c>
      <c r="E802" s="8">
        <v>11.99</v>
      </c>
      <c r="F802" s="6">
        <v>24</v>
      </c>
      <c r="G802" s="7" t="s">
        <v>36</v>
      </c>
      <c r="H802" s="6">
        <v>4</v>
      </c>
      <c r="I802" s="6">
        <v>4</v>
      </c>
      <c r="J802" s="7" t="b">
        <v>0</v>
      </c>
      <c r="K802" s="6">
        <v>30</v>
      </c>
      <c r="L802" s="6">
        <v>20</v>
      </c>
      <c r="M802" s="7" t="s">
        <v>49</v>
      </c>
      <c r="N802" s="7" t="s">
        <v>75</v>
      </c>
      <c r="O802" s="7" t="s">
        <v>29</v>
      </c>
      <c r="P802" s="5">
        <v>98</v>
      </c>
      <c r="Q802" s="4">
        <v>3.9</v>
      </c>
      <c r="R802" s="7" t="b">
        <v>0</v>
      </c>
      <c r="S802" s="7" t="s">
        <v>30</v>
      </c>
      <c r="T802" s="5">
        <v>4477</v>
      </c>
      <c r="U802" s="7" t="s">
        <v>65</v>
      </c>
      <c r="V802" t="s">
        <v>59</v>
      </c>
      <c r="W802" s="7" t="s">
        <v>93</v>
      </c>
    </row>
    <row r="803" spans="1:23" x14ac:dyDescent="0.3">
      <c r="A803" s="6">
        <v>2942</v>
      </c>
      <c r="B803" s="7" t="s">
        <v>675</v>
      </c>
      <c r="C803" s="1">
        <v>45171</v>
      </c>
      <c r="D803" t="s">
        <v>90</v>
      </c>
      <c r="E803" s="8">
        <v>11.99</v>
      </c>
      <c r="F803" s="6">
        <v>167</v>
      </c>
      <c r="G803" s="7" t="s">
        <v>48</v>
      </c>
      <c r="H803" s="6">
        <v>5</v>
      </c>
      <c r="I803" s="6">
        <v>5</v>
      </c>
      <c r="J803" s="7" t="b">
        <v>0</v>
      </c>
      <c r="K803" s="6">
        <v>127</v>
      </c>
      <c r="L803" s="6">
        <v>138</v>
      </c>
      <c r="M803" s="7" t="s">
        <v>49</v>
      </c>
      <c r="N803" s="7" t="s">
        <v>56</v>
      </c>
      <c r="O803" s="7" t="s">
        <v>45</v>
      </c>
      <c r="P803" s="5">
        <v>66</v>
      </c>
      <c r="Q803" s="4">
        <v>4.7</v>
      </c>
      <c r="R803" s="7" t="b">
        <v>1</v>
      </c>
      <c r="S803" s="7" t="s">
        <v>30</v>
      </c>
      <c r="T803" s="5">
        <v>711</v>
      </c>
      <c r="U803" s="7" t="s">
        <v>58</v>
      </c>
      <c r="V803" t="s">
        <v>32</v>
      </c>
      <c r="W803" s="7" t="s">
        <v>40</v>
      </c>
    </row>
    <row r="804" spans="1:23" x14ac:dyDescent="0.3">
      <c r="A804" s="6">
        <v>8833</v>
      </c>
      <c r="B804" s="7" t="s">
        <v>91</v>
      </c>
      <c r="C804" s="1">
        <v>45479</v>
      </c>
      <c r="D804" s="1">
        <v>45608</v>
      </c>
      <c r="E804" s="8">
        <v>7.99</v>
      </c>
      <c r="F804" s="6">
        <v>289</v>
      </c>
      <c r="G804" s="7" t="s">
        <v>36</v>
      </c>
      <c r="H804" s="6">
        <v>5</v>
      </c>
      <c r="I804" s="6">
        <v>2</v>
      </c>
      <c r="J804" s="7" t="b">
        <v>0</v>
      </c>
      <c r="K804" s="6">
        <v>216</v>
      </c>
      <c r="L804" s="6">
        <v>162</v>
      </c>
      <c r="M804" s="7" t="s">
        <v>92</v>
      </c>
      <c r="N804" s="7" t="s">
        <v>28</v>
      </c>
      <c r="O804" s="7" t="s">
        <v>29</v>
      </c>
      <c r="P804" s="5">
        <v>99</v>
      </c>
      <c r="Q804" s="4">
        <v>3.7</v>
      </c>
      <c r="R804" s="7" t="b">
        <v>1</v>
      </c>
      <c r="S804" s="7" t="s">
        <v>30</v>
      </c>
      <c r="T804" s="5">
        <v>3711</v>
      </c>
      <c r="U804" s="7" t="s">
        <v>58</v>
      </c>
      <c r="V804" t="s">
        <v>79</v>
      </c>
      <c r="W804" s="7" t="s">
        <v>33</v>
      </c>
    </row>
    <row r="805" spans="1:23" x14ac:dyDescent="0.3">
      <c r="A805" s="6">
        <v>8079</v>
      </c>
      <c r="B805" s="7" t="s">
        <v>88</v>
      </c>
      <c r="C805" s="1">
        <v>45114</v>
      </c>
      <c r="D805" t="s">
        <v>25</v>
      </c>
      <c r="E805" s="8">
        <v>7.99</v>
      </c>
      <c r="F805" s="6">
        <v>450</v>
      </c>
      <c r="G805" s="7" t="s">
        <v>26</v>
      </c>
      <c r="H805" s="6">
        <v>1</v>
      </c>
      <c r="I805" s="6">
        <v>2</v>
      </c>
      <c r="J805" s="7" t="b">
        <v>1</v>
      </c>
      <c r="K805" s="6">
        <v>12</v>
      </c>
      <c r="L805" s="6">
        <v>133</v>
      </c>
      <c r="M805" s="7" t="s">
        <v>43</v>
      </c>
      <c r="N805" s="7" t="s">
        <v>44</v>
      </c>
      <c r="O805" s="7" t="s">
        <v>29</v>
      </c>
      <c r="P805" s="5">
        <v>100</v>
      </c>
      <c r="Q805" s="4">
        <v>3.4</v>
      </c>
      <c r="R805" s="7" t="b">
        <v>0</v>
      </c>
      <c r="S805" s="7" t="s">
        <v>30</v>
      </c>
      <c r="T805" s="5">
        <v>2534</v>
      </c>
      <c r="U805" s="7" t="s">
        <v>76</v>
      </c>
      <c r="V805" t="s">
        <v>32</v>
      </c>
      <c r="W805" s="7" t="s">
        <v>93</v>
      </c>
    </row>
    <row r="806" spans="1:23" x14ac:dyDescent="0.3">
      <c r="A806" s="6">
        <v>3797</v>
      </c>
      <c r="B806" s="7" t="s">
        <v>88</v>
      </c>
      <c r="C806" s="1">
        <v>45388</v>
      </c>
      <c r="D806" t="s">
        <v>72</v>
      </c>
      <c r="E806" s="8">
        <v>11.99</v>
      </c>
      <c r="F806" s="6">
        <v>165</v>
      </c>
      <c r="G806" s="7" t="s">
        <v>48</v>
      </c>
      <c r="H806" s="6">
        <v>5</v>
      </c>
      <c r="I806" s="6">
        <v>5</v>
      </c>
      <c r="J806" s="7" t="b">
        <v>0</v>
      </c>
      <c r="K806" s="6">
        <v>421</v>
      </c>
      <c r="L806" s="6">
        <v>3</v>
      </c>
      <c r="M806" s="7" t="s">
        <v>27</v>
      </c>
      <c r="N806" s="7" t="s">
        <v>75</v>
      </c>
      <c r="O806" s="7" t="s">
        <v>64</v>
      </c>
      <c r="P806" s="5">
        <v>96</v>
      </c>
      <c r="Q806" s="4">
        <v>4.5</v>
      </c>
      <c r="R806" s="7" t="b">
        <v>1</v>
      </c>
      <c r="S806" s="7" t="s">
        <v>30</v>
      </c>
      <c r="T806" s="5">
        <v>2624</v>
      </c>
      <c r="U806" s="7" t="s">
        <v>38</v>
      </c>
      <c r="V806" t="s">
        <v>79</v>
      </c>
      <c r="W806" s="7" t="s">
        <v>40</v>
      </c>
    </row>
    <row r="807" spans="1:23" x14ac:dyDescent="0.3">
      <c r="A807" s="6">
        <v>7268</v>
      </c>
      <c r="B807" s="7" t="s">
        <v>676</v>
      </c>
      <c r="C807" s="1">
        <v>45143</v>
      </c>
      <c r="D807" t="s">
        <v>72</v>
      </c>
      <c r="E807" s="8">
        <v>15.99</v>
      </c>
      <c r="F807" s="6">
        <v>391</v>
      </c>
      <c r="G807" s="7" t="s">
        <v>26</v>
      </c>
      <c r="H807" s="6">
        <v>2</v>
      </c>
      <c r="I807" s="6">
        <v>2</v>
      </c>
      <c r="J807" s="7" t="b">
        <v>0</v>
      </c>
      <c r="K807" s="6">
        <v>988</v>
      </c>
      <c r="L807" s="6">
        <v>82</v>
      </c>
      <c r="M807" s="7" t="s">
        <v>27</v>
      </c>
      <c r="N807" s="7" t="s">
        <v>28</v>
      </c>
      <c r="O807" s="7" t="s">
        <v>37</v>
      </c>
      <c r="P807" s="5">
        <v>73</v>
      </c>
      <c r="Q807" s="4">
        <v>3</v>
      </c>
      <c r="R807" s="7" t="b">
        <v>1</v>
      </c>
      <c r="S807" s="7" t="s">
        <v>30</v>
      </c>
      <c r="T807" s="5">
        <v>3617</v>
      </c>
      <c r="U807" s="7" t="s">
        <v>58</v>
      </c>
      <c r="V807" t="s">
        <v>59</v>
      </c>
      <c r="W807" s="7" t="s">
        <v>60</v>
      </c>
    </row>
    <row r="808" spans="1:23" x14ac:dyDescent="0.3">
      <c r="A808" s="6">
        <v>9803</v>
      </c>
      <c r="B808" s="7" t="s">
        <v>405</v>
      </c>
      <c r="C808" t="s">
        <v>661</v>
      </c>
      <c r="D808" t="s">
        <v>109</v>
      </c>
      <c r="E808" s="8">
        <v>11.99</v>
      </c>
      <c r="F808" s="6">
        <v>318</v>
      </c>
      <c r="G808" s="7" t="s">
        <v>36</v>
      </c>
      <c r="H808" s="6">
        <v>2</v>
      </c>
      <c r="I808" s="6">
        <v>1</v>
      </c>
      <c r="J808" s="7" t="b">
        <v>0</v>
      </c>
      <c r="K808" s="6">
        <v>376</v>
      </c>
      <c r="L808" s="6">
        <v>44</v>
      </c>
      <c r="M808" s="7" t="s">
        <v>27</v>
      </c>
      <c r="N808" s="7" t="s">
        <v>75</v>
      </c>
      <c r="O808" s="7" t="s">
        <v>45</v>
      </c>
      <c r="P808" s="5">
        <v>42</v>
      </c>
      <c r="Q808" s="4">
        <v>3.9</v>
      </c>
      <c r="R808" s="7" t="b">
        <v>0</v>
      </c>
      <c r="S808" s="7" t="s">
        <v>30</v>
      </c>
      <c r="T808" s="5">
        <v>3078</v>
      </c>
      <c r="U808" s="7" t="s">
        <v>76</v>
      </c>
      <c r="V808" t="s">
        <v>39</v>
      </c>
      <c r="W808" s="7" t="s">
        <v>60</v>
      </c>
    </row>
    <row r="809" spans="1:23" x14ac:dyDescent="0.3">
      <c r="A809" s="6">
        <v>2165</v>
      </c>
      <c r="B809" s="7" t="s">
        <v>677</v>
      </c>
      <c r="C809" t="s">
        <v>523</v>
      </c>
      <c r="D809" t="s">
        <v>168</v>
      </c>
      <c r="E809" s="8">
        <v>15.99</v>
      </c>
      <c r="F809" s="6">
        <v>157</v>
      </c>
      <c r="G809" s="7" t="s">
        <v>51</v>
      </c>
      <c r="H809" s="6">
        <v>2</v>
      </c>
      <c r="I809" s="6">
        <v>2</v>
      </c>
      <c r="J809" s="7" t="b">
        <v>0</v>
      </c>
      <c r="K809" s="6">
        <v>542</v>
      </c>
      <c r="L809" s="6">
        <v>80</v>
      </c>
      <c r="M809" s="7" t="s">
        <v>68</v>
      </c>
      <c r="N809" s="7" t="s">
        <v>28</v>
      </c>
      <c r="O809" s="7" t="s">
        <v>64</v>
      </c>
      <c r="P809" s="5">
        <v>53</v>
      </c>
      <c r="Q809" s="4">
        <v>4.2</v>
      </c>
      <c r="R809" s="7" t="b">
        <v>0</v>
      </c>
      <c r="S809" s="7" t="s">
        <v>30</v>
      </c>
      <c r="T809" s="5">
        <v>164</v>
      </c>
      <c r="U809" s="7" t="s">
        <v>58</v>
      </c>
      <c r="V809" t="s">
        <v>32</v>
      </c>
      <c r="W809" s="7" t="s">
        <v>40</v>
      </c>
    </row>
    <row r="810" spans="1:23" x14ac:dyDescent="0.3">
      <c r="A810" s="6">
        <v>1528</v>
      </c>
      <c r="B810" s="7" t="s">
        <v>365</v>
      </c>
      <c r="C810" s="1">
        <v>45200</v>
      </c>
      <c r="D810" t="s">
        <v>54</v>
      </c>
      <c r="E810" s="8">
        <v>11.99</v>
      </c>
      <c r="F810" s="6">
        <v>25</v>
      </c>
      <c r="G810" s="7" t="s">
        <v>36</v>
      </c>
      <c r="H810" s="6">
        <v>3</v>
      </c>
      <c r="I810" s="6">
        <v>5</v>
      </c>
      <c r="J810" s="7" t="b">
        <v>1</v>
      </c>
      <c r="K810" s="6">
        <v>232</v>
      </c>
      <c r="L810" s="6">
        <v>196</v>
      </c>
      <c r="M810" s="7" t="s">
        <v>49</v>
      </c>
      <c r="N810" s="7" t="s">
        <v>44</v>
      </c>
      <c r="O810" s="7" t="s">
        <v>57</v>
      </c>
      <c r="P810" s="5">
        <v>48</v>
      </c>
      <c r="Q810" s="4">
        <v>3.2</v>
      </c>
      <c r="R810" s="7" t="b">
        <v>0</v>
      </c>
      <c r="S810" s="7" t="s">
        <v>30</v>
      </c>
      <c r="T810" s="5">
        <v>2805</v>
      </c>
      <c r="U810" s="7" t="s">
        <v>58</v>
      </c>
      <c r="V810" t="s">
        <v>59</v>
      </c>
      <c r="W810" s="7" t="s">
        <v>60</v>
      </c>
    </row>
    <row r="811" spans="1:23" x14ac:dyDescent="0.3">
      <c r="A811" s="6">
        <v>5978</v>
      </c>
      <c r="B811" s="7" t="s">
        <v>393</v>
      </c>
      <c r="C811" s="1">
        <v>45264</v>
      </c>
      <c r="D811" s="1">
        <v>45547</v>
      </c>
      <c r="E811" s="8">
        <v>11.99</v>
      </c>
      <c r="F811" s="6">
        <v>112</v>
      </c>
      <c r="G811" s="7" t="s">
        <v>36</v>
      </c>
      <c r="H811" s="6">
        <v>3</v>
      </c>
      <c r="I811" s="6">
        <v>4</v>
      </c>
      <c r="J811" s="7" t="b">
        <v>1</v>
      </c>
      <c r="K811" s="6">
        <v>505</v>
      </c>
      <c r="L811" s="6">
        <v>118</v>
      </c>
      <c r="M811" s="7" t="s">
        <v>49</v>
      </c>
      <c r="N811" s="7" t="s">
        <v>28</v>
      </c>
      <c r="O811" s="7" t="s">
        <v>64</v>
      </c>
      <c r="P811" s="5">
        <v>81</v>
      </c>
      <c r="Q811" s="4">
        <v>3.9</v>
      </c>
      <c r="R811" s="7" t="b">
        <v>0</v>
      </c>
      <c r="S811" s="7" t="s">
        <v>30</v>
      </c>
      <c r="T811" s="5">
        <v>3848</v>
      </c>
      <c r="U811" s="7" t="s">
        <v>38</v>
      </c>
      <c r="V811" t="s">
        <v>39</v>
      </c>
      <c r="W811" s="7" t="s">
        <v>93</v>
      </c>
    </row>
    <row r="812" spans="1:23" x14ac:dyDescent="0.3">
      <c r="A812" s="6">
        <v>5967</v>
      </c>
      <c r="B812" s="7" t="s">
        <v>382</v>
      </c>
      <c r="C812" s="1">
        <v>45265</v>
      </c>
      <c r="D812" t="s">
        <v>42</v>
      </c>
      <c r="E812" s="8">
        <v>11.99</v>
      </c>
      <c r="F812" s="6">
        <v>479</v>
      </c>
      <c r="G812" s="7" t="s">
        <v>26</v>
      </c>
      <c r="H812" s="6">
        <v>2</v>
      </c>
      <c r="I812" s="6">
        <v>5</v>
      </c>
      <c r="J812" s="7" t="b">
        <v>0</v>
      </c>
      <c r="K812" s="6">
        <v>394</v>
      </c>
      <c r="L812" s="6">
        <v>35</v>
      </c>
      <c r="M812" s="7" t="s">
        <v>68</v>
      </c>
      <c r="N812" s="7" t="s">
        <v>75</v>
      </c>
      <c r="O812" s="7" t="s">
        <v>45</v>
      </c>
      <c r="P812" s="5">
        <v>93</v>
      </c>
      <c r="Q812" s="4">
        <v>3.7</v>
      </c>
      <c r="R812" s="7" t="b">
        <v>0</v>
      </c>
      <c r="S812" s="7" t="s">
        <v>30</v>
      </c>
      <c r="T812" s="5">
        <v>836</v>
      </c>
      <c r="U812" s="7" t="s">
        <v>38</v>
      </c>
      <c r="V812" t="s">
        <v>39</v>
      </c>
      <c r="W812" s="7" t="s">
        <v>33</v>
      </c>
    </row>
    <row r="813" spans="1:23" x14ac:dyDescent="0.3">
      <c r="A813" s="6">
        <v>4254</v>
      </c>
      <c r="B813" s="7" t="s">
        <v>153</v>
      </c>
      <c r="C813" t="s">
        <v>189</v>
      </c>
      <c r="D813" t="s">
        <v>103</v>
      </c>
      <c r="E813" s="8">
        <v>11.99</v>
      </c>
      <c r="F813" s="6">
        <v>233</v>
      </c>
      <c r="G813" s="7" t="s">
        <v>100</v>
      </c>
      <c r="H813" s="6">
        <v>1</v>
      </c>
      <c r="I813" s="6">
        <v>2</v>
      </c>
      <c r="J813" s="7" t="b">
        <v>1</v>
      </c>
      <c r="K813" s="6">
        <v>769</v>
      </c>
      <c r="L813" s="6">
        <v>132</v>
      </c>
      <c r="M813" s="7" t="s">
        <v>55</v>
      </c>
      <c r="N813" s="7" t="s">
        <v>28</v>
      </c>
      <c r="O813" s="7" t="s">
        <v>29</v>
      </c>
      <c r="P813" s="5">
        <v>82</v>
      </c>
      <c r="Q813" s="4">
        <v>4.3</v>
      </c>
      <c r="R813" s="7" t="b">
        <v>1</v>
      </c>
      <c r="S813" s="7" t="s">
        <v>30</v>
      </c>
      <c r="T813" s="5">
        <v>2761</v>
      </c>
      <c r="U813" s="7" t="s">
        <v>65</v>
      </c>
      <c r="V813" t="s">
        <v>59</v>
      </c>
      <c r="W813" s="7" t="s">
        <v>60</v>
      </c>
    </row>
    <row r="814" spans="1:23" x14ac:dyDescent="0.3">
      <c r="A814" s="6">
        <v>2186</v>
      </c>
      <c r="B814" s="7" t="s">
        <v>473</v>
      </c>
      <c r="C814" t="s">
        <v>99</v>
      </c>
      <c r="D814" t="s">
        <v>103</v>
      </c>
      <c r="E814" s="8">
        <v>7.99</v>
      </c>
      <c r="F814" s="6">
        <v>44</v>
      </c>
      <c r="G814" s="7" t="s">
        <v>36</v>
      </c>
      <c r="H814" s="6">
        <v>4</v>
      </c>
      <c r="I814" s="6">
        <v>4</v>
      </c>
      <c r="J814" s="7" t="b">
        <v>0</v>
      </c>
      <c r="K814" s="6">
        <v>89</v>
      </c>
      <c r="L814" s="6">
        <v>90</v>
      </c>
      <c r="M814" s="7" t="s">
        <v>55</v>
      </c>
      <c r="N814" s="7" t="s">
        <v>44</v>
      </c>
      <c r="O814" s="7" t="s">
        <v>78</v>
      </c>
      <c r="P814" s="5">
        <v>48</v>
      </c>
      <c r="Q814" s="4">
        <v>5</v>
      </c>
      <c r="R814" s="7" t="b">
        <v>1</v>
      </c>
      <c r="S814" s="7" t="s">
        <v>30</v>
      </c>
      <c r="T814" s="5">
        <v>4633</v>
      </c>
      <c r="U814" s="7" t="s">
        <v>76</v>
      </c>
      <c r="V814" t="s">
        <v>32</v>
      </c>
      <c r="W814" s="7" t="s">
        <v>33</v>
      </c>
    </row>
    <row r="815" spans="1:23" x14ac:dyDescent="0.3">
      <c r="A815" s="6">
        <v>7644</v>
      </c>
      <c r="B815" s="7" t="s">
        <v>678</v>
      </c>
      <c r="C815" s="1">
        <v>45516</v>
      </c>
      <c r="D815" t="s">
        <v>35</v>
      </c>
      <c r="E815" s="8">
        <v>15.99</v>
      </c>
      <c r="F815" s="6">
        <v>456</v>
      </c>
      <c r="G815" s="7" t="s">
        <v>26</v>
      </c>
      <c r="H815" s="6">
        <v>2</v>
      </c>
      <c r="I815" s="6">
        <v>3</v>
      </c>
      <c r="J815" s="7" t="b">
        <v>1</v>
      </c>
      <c r="K815" s="6">
        <v>240</v>
      </c>
      <c r="L815" s="6">
        <v>83</v>
      </c>
      <c r="M815" s="7" t="s">
        <v>43</v>
      </c>
      <c r="N815" s="7" t="s">
        <v>56</v>
      </c>
      <c r="O815" s="7" t="s">
        <v>29</v>
      </c>
      <c r="P815" s="5">
        <v>76</v>
      </c>
      <c r="Q815" s="4">
        <v>4</v>
      </c>
      <c r="R815" s="7" t="b">
        <v>0</v>
      </c>
      <c r="S815" s="7" t="s">
        <v>30</v>
      </c>
      <c r="T815" s="5">
        <v>4260</v>
      </c>
      <c r="U815" s="7" t="s">
        <v>58</v>
      </c>
      <c r="V815" t="s">
        <v>59</v>
      </c>
      <c r="W815" s="7" t="s">
        <v>33</v>
      </c>
    </row>
    <row r="816" spans="1:23" x14ac:dyDescent="0.3">
      <c r="A816" s="6">
        <v>5897</v>
      </c>
      <c r="B816" s="7" t="s">
        <v>296</v>
      </c>
      <c r="C816" s="1">
        <v>45269</v>
      </c>
      <c r="D816" s="1">
        <v>45455</v>
      </c>
      <c r="E816" s="8">
        <v>7.99</v>
      </c>
      <c r="F816" s="6">
        <v>486</v>
      </c>
      <c r="G816" s="7" t="s">
        <v>36</v>
      </c>
      <c r="H816" s="6">
        <v>3</v>
      </c>
      <c r="I816" s="6">
        <v>2</v>
      </c>
      <c r="J816" s="7" t="b">
        <v>0</v>
      </c>
      <c r="K816" s="6">
        <v>181</v>
      </c>
      <c r="L816" s="6">
        <v>15</v>
      </c>
      <c r="M816" s="7" t="s">
        <v>74</v>
      </c>
      <c r="N816" s="7" t="s">
        <v>56</v>
      </c>
      <c r="O816" s="7" t="s">
        <v>37</v>
      </c>
      <c r="P816" s="5">
        <v>0</v>
      </c>
      <c r="Q816" s="4">
        <v>4.2</v>
      </c>
      <c r="R816" s="7" t="b">
        <v>0</v>
      </c>
      <c r="S816" s="7" t="s">
        <v>30</v>
      </c>
      <c r="T816" s="5">
        <v>447</v>
      </c>
      <c r="U816" s="7" t="s">
        <v>76</v>
      </c>
      <c r="V816" t="s">
        <v>59</v>
      </c>
      <c r="W816" s="7" t="s">
        <v>60</v>
      </c>
    </row>
    <row r="817" spans="1:23" x14ac:dyDescent="0.3">
      <c r="A817" s="6">
        <v>7465</v>
      </c>
      <c r="B817" s="7" t="s">
        <v>618</v>
      </c>
      <c r="C817" s="1">
        <v>45607</v>
      </c>
      <c r="D817" s="1">
        <v>45303</v>
      </c>
      <c r="E817" s="8">
        <v>11.99</v>
      </c>
      <c r="F817" s="6">
        <v>308</v>
      </c>
      <c r="G817" s="7" t="s">
        <v>26</v>
      </c>
      <c r="H817" s="6">
        <v>4</v>
      </c>
      <c r="I817" s="6">
        <v>3</v>
      </c>
      <c r="J817" s="7" t="b">
        <v>1</v>
      </c>
      <c r="K817" s="6">
        <v>284</v>
      </c>
      <c r="L817" s="6">
        <v>81</v>
      </c>
      <c r="M817" s="7" t="s">
        <v>68</v>
      </c>
      <c r="N817" s="7" t="s">
        <v>56</v>
      </c>
      <c r="O817" s="7" t="s">
        <v>57</v>
      </c>
      <c r="P817" s="5">
        <v>92</v>
      </c>
      <c r="Q817" s="4">
        <v>3.7</v>
      </c>
      <c r="R817" s="7" t="b">
        <v>1</v>
      </c>
      <c r="S817" s="7" t="s">
        <v>30</v>
      </c>
      <c r="T817" s="5">
        <v>1298</v>
      </c>
      <c r="U817" s="7" t="s">
        <v>76</v>
      </c>
      <c r="V817" t="s">
        <v>59</v>
      </c>
      <c r="W817" s="7" t="s">
        <v>93</v>
      </c>
    </row>
    <row r="818" spans="1:23" x14ac:dyDescent="0.3">
      <c r="A818" s="6">
        <v>3724</v>
      </c>
      <c r="B818" s="7" t="s">
        <v>118</v>
      </c>
      <c r="C818" t="s">
        <v>679</v>
      </c>
      <c r="D818" s="1">
        <v>45334</v>
      </c>
      <c r="E818" s="8">
        <v>7.99</v>
      </c>
      <c r="F818" s="6">
        <v>161</v>
      </c>
      <c r="G818" s="7" t="s">
        <v>100</v>
      </c>
      <c r="H818" s="6">
        <v>3</v>
      </c>
      <c r="I818" s="6">
        <v>5</v>
      </c>
      <c r="J818" s="7" t="b">
        <v>0</v>
      </c>
      <c r="K818" s="6">
        <v>698</v>
      </c>
      <c r="L818" s="6">
        <v>77</v>
      </c>
      <c r="M818" s="7" t="s">
        <v>43</v>
      </c>
      <c r="N818" s="7" t="s">
        <v>28</v>
      </c>
      <c r="O818" s="7" t="s">
        <v>57</v>
      </c>
      <c r="P818" s="5">
        <v>32</v>
      </c>
      <c r="Q818" s="4">
        <v>3.7</v>
      </c>
      <c r="R818" s="7" t="b">
        <v>0</v>
      </c>
      <c r="S818" s="7" t="s">
        <v>30</v>
      </c>
      <c r="T818" s="5">
        <v>3445</v>
      </c>
      <c r="U818" s="7" t="s">
        <v>65</v>
      </c>
      <c r="V818" t="s">
        <v>69</v>
      </c>
      <c r="W818" s="7" t="s">
        <v>93</v>
      </c>
    </row>
    <row r="819" spans="1:23" x14ac:dyDescent="0.3">
      <c r="A819" s="6">
        <v>2914</v>
      </c>
      <c r="B819" s="7" t="s">
        <v>579</v>
      </c>
      <c r="C819" s="1">
        <v>45114</v>
      </c>
      <c r="D819" t="s">
        <v>42</v>
      </c>
      <c r="E819" s="8">
        <v>15.99</v>
      </c>
      <c r="F819" s="6">
        <v>316</v>
      </c>
      <c r="G819" s="7" t="s">
        <v>73</v>
      </c>
      <c r="H819" s="6">
        <v>3</v>
      </c>
      <c r="I819" s="6">
        <v>1</v>
      </c>
      <c r="J819" s="7" t="b">
        <v>0</v>
      </c>
      <c r="K819" s="6">
        <v>734</v>
      </c>
      <c r="L819" s="6">
        <v>21</v>
      </c>
      <c r="M819" s="7" t="s">
        <v>43</v>
      </c>
      <c r="N819" s="7" t="s">
        <v>56</v>
      </c>
      <c r="O819" s="7" t="s">
        <v>29</v>
      </c>
      <c r="P819" s="5">
        <v>65</v>
      </c>
      <c r="Q819" s="4">
        <v>4.5999999999999996</v>
      </c>
      <c r="R819" s="7" t="b">
        <v>0</v>
      </c>
      <c r="S819" s="7" t="s">
        <v>30</v>
      </c>
      <c r="T819" s="5">
        <v>3039</v>
      </c>
      <c r="U819" s="7" t="s">
        <v>58</v>
      </c>
      <c r="V819" t="s">
        <v>79</v>
      </c>
      <c r="W819" s="7" t="s">
        <v>33</v>
      </c>
    </row>
    <row r="820" spans="1:23" x14ac:dyDescent="0.3">
      <c r="A820" s="6">
        <v>4110</v>
      </c>
      <c r="B820" s="7" t="s">
        <v>212</v>
      </c>
      <c r="C820" t="s">
        <v>680</v>
      </c>
      <c r="D820" t="s">
        <v>214</v>
      </c>
      <c r="E820" s="8">
        <v>11.99</v>
      </c>
      <c r="F820" s="6">
        <v>133</v>
      </c>
      <c r="G820" s="7" t="s">
        <v>36</v>
      </c>
      <c r="H820" s="6">
        <v>5</v>
      </c>
      <c r="I820" s="6">
        <v>4</v>
      </c>
      <c r="J820" s="7" t="b">
        <v>0</v>
      </c>
      <c r="K820" s="6">
        <v>951</v>
      </c>
      <c r="L820" s="6">
        <v>86</v>
      </c>
      <c r="M820" s="7" t="s">
        <v>49</v>
      </c>
      <c r="N820" s="7" t="s">
        <v>28</v>
      </c>
      <c r="O820" s="7" t="s">
        <v>37</v>
      </c>
      <c r="P820" s="5">
        <v>88</v>
      </c>
      <c r="Q820" s="4">
        <v>4.4000000000000004</v>
      </c>
      <c r="R820" s="7" t="b">
        <v>0</v>
      </c>
      <c r="S820" s="7" t="s">
        <v>30</v>
      </c>
      <c r="T820" s="5">
        <v>3815</v>
      </c>
      <c r="U820" s="7" t="s">
        <v>58</v>
      </c>
      <c r="V820" t="s">
        <v>69</v>
      </c>
      <c r="W820" s="7" t="s">
        <v>40</v>
      </c>
    </row>
    <row r="821" spans="1:23" x14ac:dyDescent="0.3">
      <c r="A821" s="6">
        <v>6944</v>
      </c>
      <c r="B821" s="7" t="s">
        <v>244</v>
      </c>
      <c r="C821" t="s">
        <v>681</v>
      </c>
      <c r="D821" t="s">
        <v>90</v>
      </c>
      <c r="E821" s="8">
        <v>15.99</v>
      </c>
      <c r="F821" s="6">
        <v>270</v>
      </c>
      <c r="G821" s="7" t="s">
        <v>73</v>
      </c>
      <c r="H821" s="6">
        <v>3</v>
      </c>
      <c r="I821" s="6">
        <v>6</v>
      </c>
      <c r="J821" s="7" t="b">
        <v>0</v>
      </c>
      <c r="K821" s="6">
        <v>271</v>
      </c>
      <c r="L821" s="6">
        <v>5</v>
      </c>
      <c r="M821" s="7" t="s">
        <v>49</v>
      </c>
      <c r="N821" s="7" t="s">
        <v>56</v>
      </c>
      <c r="O821" s="7" t="s">
        <v>57</v>
      </c>
      <c r="P821" s="5">
        <v>41</v>
      </c>
      <c r="Q821" s="4">
        <v>3.5</v>
      </c>
      <c r="R821" s="7" t="b">
        <v>0</v>
      </c>
      <c r="S821" s="7" t="s">
        <v>30</v>
      </c>
      <c r="T821" s="5">
        <v>1135</v>
      </c>
      <c r="U821" s="7" t="s">
        <v>65</v>
      </c>
      <c r="V821" t="s">
        <v>59</v>
      </c>
      <c r="W821" s="7" t="s">
        <v>33</v>
      </c>
    </row>
    <row r="822" spans="1:23" x14ac:dyDescent="0.3">
      <c r="A822" s="6">
        <v>3639</v>
      </c>
      <c r="B822" s="7" t="s">
        <v>682</v>
      </c>
      <c r="C822" t="s">
        <v>416</v>
      </c>
      <c r="D822" t="s">
        <v>82</v>
      </c>
      <c r="E822" s="8">
        <v>11.99</v>
      </c>
      <c r="F822" s="6">
        <v>85</v>
      </c>
      <c r="G822" s="7" t="s">
        <v>63</v>
      </c>
      <c r="H822" s="6">
        <v>3</v>
      </c>
      <c r="I822" s="6">
        <v>1</v>
      </c>
      <c r="J822" s="7" t="b">
        <v>1</v>
      </c>
      <c r="K822" s="6">
        <v>851</v>
      </c>
      <c r="L822" s="6">
        <v>48</v>
      </c>
      <c r="M822" s="7" t="s">
        <v>27</v>
      </c>
      <c r="N822" s="7" t="s">
        <v>75</v>
      </c>
      <c r="O822" s="7" t="s">
        <v>78</v>
      </c>
      <c r="P822" s="5">
        <v>45</v>
      </c>
      <c r="Q822" s="4">
        <v>4.5999999999999996</v>
      </c>
      <c r="R822" s="7" t="b">
        <v>0</v>
      </c>
      <c r="S822" s="7" t="s">
        <v>30</v>
      </c>
      <c r="T822" s="5">
        <v>2706</v>
      </c>
      <c r="U822" s="7" t="s">
        <v>76</v>
      </c>
      <c r="V822" t="s">
        <v>32</v>
      </c>
      <c r="W822" s="7" t="s">
        <v>40</v>
      </c>
    </row>
    <row r="823" spans="1:23" x14ac:dyDescent="0.3">
      <c r="A823" s="6">
        <v>8416</v>
      </c>
      <c r="B823" s="7" t="s">
        <v>404</v>
      </c>
      <c r="C823" t="s">
        <v>683</v>
      </c>
      <c r="D823" t="s">
        <v>168</v>
      </c>
      <c r="E823" s="8">
        <v>11.99</v>
      </c>
      <c r="F823" s="6">
        <v>65</v>
      </c>
      <c r="G823" s="7" t="s">
        <v>36</v>
      </c>
      <c r="H823" s="6">
        <v>2</v>
      </c>
      <c r="I823" s="6">
        <v>3</v>
      </c>
      <c r="J823" s="7" t="b">
        <v>1</v>
      </c>
      <c r="K823" s="6">
        <v>302</v>
      </c>
      <c r="L823" s="6">
        <v>6</v>
      </c>
      <c r="M823" s="7" t="s">
        <v>49</v>
      </c>
      <c r="N823" s="7" t="s">
        <v>28</v>
      </c>
      <c r="O823" s="7" t="s">
        <v>29</v>
      </c>
      <c r="P823" s="5">
        <v>81</v>
      </c>
      <c r="Q823" s="4">
        <v>3.5</v>
      </c>
      <c r="R823" s="7" t="b">
        <v>1</v>
      </c>
      <c r="S823" s="7" t="s">
        <v>30</v>
      </c>
      <c r="T823" s="5">
        <v>3828</v>
      </c>
      <c r="U823" s="7" t="s">
        <v>76</v>
      </c>
      <c r="V823" t="s">
        <v>59</v>
      </c>
      <c r="W823" s="7" t="s">
        <v>40</v>
      </c>
    </row>
    <row r="824" spans="1:23" x14ac:dyDescent="0.3">
      <c r="A824" s="6">
        <v>7753</v>
      </c>
      <c r="B824" s="7" t="s">
        <v>179</v>
      </c>
      <c r="C824" s="1">
        <v>45547</v>
      </c>
      <c r="D824" t="s">
        <v>25</v>
      </c>
      <c r="E824" s="8">
        <v>7.99</v>
      </c>
      <c r="F824" s="6">
        <v>393</v>
      </c>
      <c r="G824" s="7" t="s">
        <v>36</v>
      </c>
      <c r="H824" s="6">
        <v>3</v>
      </c>
      <c r="I824" s="6">
        <v>3</v>
      </c>
      <c r="J824" s="7" t="b">
        <v>0</v>
      </c>
      <c r="K824" s="6">
        <v>829</v>
      </c>
      <c r="L824" s="6">
        <v>117</v>
      </c>
      <c r="M824" s="7" t="s">
        <v>27</v>
      </c>
      <c r="N824" s="7" t="s">
        <v>56</v>
      </c>
      <c r="O824" s="7" t="s">
        <v>29</v>
      </c>
      <c r="P824" s="5">
        <v>65</v>
      </c>
      <c r="Q824" s="4">
        <v>4.9000000000000004</v>
      </c>
      <c r="R824" s="7" t="b">
        <v>1</v>
      </c>
      <c r="S824" s="7" t="s">
        <v>30</v>
      </c>
      <c r="T824" s="5">
        <v>4409</v>
      </c>
      <c r="U824" s="7" t="s">
        <v>58</v>
      </c>
      <c r="V824" t="s">
        <v>32</v>
      </c>
      <c r="W824" s="7" t="s">
        <v>93</v>
      </c>
    </row>
    <row r="825" spans="1:23" x14ac:dyDescent="0.3">
      <c r="A825" s="6">
        <v>9528</v>
      </c>
      <c r="B825" s="7" t="s">
        <v>684</v>
      </c>
      <c r="C825" t="s">
        <v>665</v>
      </c>
      <c r="D825" s="1">
        <v>45638</v>
      </c>
      <c r="E825" s="8">
        <v>11.99</v>
      </c>
      <c r="F825" s="6">
        <v>181</v>
      </c>
      <c r="G825" s="7" t="s">
        <v>26</v>
      </c>
      <c r="H825" s="6">
        <v>5</v>
      </c>
      <c r="I825" s="6">
        <v>5</v>
      </c>
      <c r="J825" s="7" t="b">
        <v>0</v>
      </c>
      <c r="K825" s="6">
        <v>860</v>
      </c>
      <c r="L825" s="6">
        <v>148</v>
      </c>
      <c r="M825" s="7" t="s">
        <v>27</v>
      </c>
      <c r="N825" s="7" t="s">
        <v>44</v>
      </c>
      <c r="O825" s="7" t="s">
        <v>45</v>
      </c>
      <c r="P825" s="5">
        <v>3</v>
      </c>
      <c r="Q825" s="4">
        <v>4.3</v>
      </c>
      <c r="R825" s="7" t="b">
        <v>1</v>
      </c>
      <c r="S825" s="7" t="s">
        <v>30</v>
      </c>
      <c r="T825" s="5">
        <v>433</v>
      </c>
      <c r="U825" s="7" t="s">
        <v>76</v>
      </c>
      <c r="V825" t="s">
        <v>59</v>
      </c>
      <c r="W825" s="7" t="s">
        <v>93</v>
      </c>
    </row>
    <row r="826" spans="1:23" x14ac:dyDescent="0.3">
      <c r="A826" s="6">
        <v>2960</v>
      </c>
      <c r="B826" s="7" t="s">
        <v>153</v>
      </c>
      <c r="C826" s="1">
        <v>44997</v>
      </c>
      <c r="D826" s="1">
        <v>45547</v>
      </c>
      <c r="E826" s="8">
        <v>11.99</v>
      </c>
      <c r="F826" s="6">
        <v>416</v>
      </c>
      <c r="G826" s="7" t="s">
        <v>48</v>
      </c>
      <c r="H826" s="6">
        <v>5</v>
      </c>
      <c r="I826" s="6">
        <v>4</v>
      </c>
      <c r="J826" s="7" t="b">
        <v>1</v>
      </c>
      <c r="K826" s="6">
        <v>964</v>
      </c>
      <c r="L826" s="6">
        <v>187</v>
      </c>
      <c r="M826" s="7" t="s">
        <v>27</v>
      </c>
      <c r="N826" s="7" t="s">
        <v>75</v>
      </c>
      <c r="O826" s="7" t="s">
        <v>78</v>
      </c>
      <c r="P826" s="5">
        <v>6</v>
      </c>
      <c r="Q826" s="4">
        <v>3.2</v>
      </c>
      <c r="R826" s="7" t="b">
        <v>0</v>
      </c>
      <c r="S826" s="7" t="s">
        <v>30</v>
      </c>
      <c r="T826" s="5">
        <v>2554</v>
      </c>
      <c r="U826" s="7" t="s">
        <v>58</v>
      </c>
      <c r="V826" t="s">
        <v>32</v>
      </c>
      <c r="W826" s="7" t="s">
        <v>33</v>
      </c>
    </row>
    <row r="827" spans="1:23" x14ac:dyDescent="0.3">
      <c r="A827" s="6">
        <v>1090</v>
      </c>
      <c r="B827" s="7" t="s">
        <v>628</v>
      </c>
      <c r="C827" t="s">
        <v>426</v>
      </c>
      <c r="D827" t="s">
        <v>168</v>
      </c>
      <c r="E827" s="8">
        <v>15.99</v>
      </c>
      <c r="F827" s="6">
        <v>243</v>
      </c>
      <c r="G827" s="7" t="s">
        <v>48</v>
      </c>
      <c r="H827" s="6">
        <v>3</v>
      </c>
      <c r="I827" s="6">
        <v>2</v>
      </c>
      <c r="J827" s="7" t="b">
        <v>0</v>
      </c>
      <c r="K827" s="6">
        <v>40</v>
      </c>
      <c r="L827" s="6">
        <v>52</v>
      </c>
      <c r="M827" s="7" t="s">
        <v>43</v>
      </c>
      <c r="N827" s="7" t="s">
        <v>75</v>
      </c>
      <c r="O827" s="7" t="s">
        <v>64</v>
      </c>
      <c r="P827" s="5">
        <v>4</v>
      </c>
      <c r="Q827" s="4">
        <v>4</v>
      </c>
      <c r="R827" s="7" t="b">
        <v>1</v>
      </c>
      <c r="S827" s="7" t="s">
        <v>30</v>
      </c>
      <c r="T827" s="5">
        <v>1348</v>
      </c>
      <c r="U827" s="7" t="s">
        <v>38</v>
      </c>
      <c r="V827" t="s">
        <v>39</v>
      </c>
      <c r="W827" s="7" t="s">
        <v>60</v>
      </c>
    </row>
    <row r="828" spans="1:23" x14ac:dyDescent="0.3">
      <c r="A828" s="6">
        <v>2410</v>
      </c>
      <c r="B828" s="7" t="s">
        <v>88</v>
      </c>
      <c r="C828" s="1">
        <v>45608</v>
      </c>
      <c r="D828" s="1">
        <v>45516</v>
      </c>
      <c r="E828" s="8">
        <v>11.99</v>
      </c>
      <c r="F828" s="6">
        <v>381</v>
      </c>
      <c r="G828" s="7" t="s">
        <v>100</v>
      </c>
      <c r="H828" s="6">
        <v>2</v>
      </c>
      <c r="I828" s="6">
        <v>3</v>
      </c>
      <c r="J828" s="7" t="b">
        <v>1</v>
      </c>
      <c r="K828" s="6">
        <v>568</v>
      </c>
      <c r="L828" s="6">
        <v>62</v>
      </c>
      <c r="M828" s="7" t="s">
        <v>74</v>
      </c>
      <c r="N828" s="7" t="s">
        <v>44</v>
      </c>
      <c r="O828" s="7" t="s">
        <v>45</v>
      </c>
      <c r="P828" s="5">
        <v>50</v>
      </c>
      <c r="Q828" s="4">
        <v>4.8</v>
      </c>
      <c r="R828" s="7" t="b">
        <v>0</v>
      </c>
      <c r="S828" s="7" t="s">
        <v>30</v>
      </c>
      <c r="T828" s="5">
        <v>1375</v>
      </c>
      <c r="U828" s="7" t="s">
        <v>65</v>
      </c>
      <c r="V828" t="s">
        <v>39</v>
      </c>
      <c r="W828" s="7" t="s">
        <v>33</v>
      </c>
    </row>
    <row r="829" spans="1:23" x14ac:dyDescent="0.3">
      <c r="A829" s="6">
        <v>1575</v>
      </c>
      <c r="B829" s="7" t="s">
        <v>153</v>
      </c>
      <c r="C829" s="1">
        <v>45026</v>
      </c>
      <c r="D829" s="1">
        <v>45608</v>
      </c>
      <c r="E829" s="8">
        <v>11.99</v>
      </c>
      <c r="F829" s="6">
        <v>71</v>
      </c>
      <c r="G829" s="7" t="s">
        <v>73</v>
      </c>
      <c r="H829" s="6">
        <v>5</v>
      </c>
      <c r="I829" s="6">
        <v>4</v>
      </c>
      <c r="J829" s="7" t="b">
        <v>1</v>
      </c>
      <c r="K829" s="6">
        <v>666</v>
      </c>
      <c r="L829" s="6">
        <v>100</v>
      </c>
      <c r="M829" s="7" t="s">
        <v>68</v>
      </c>
      <c r="N829" s="7" t="s">
        <v>56</v>
      </c>
      <c r="O829" s="7" t="s">
        <v>45</v>
      </c>
      <c r="P829" s="5">
        <v>97</v>
      </c>
      <c r="Q829" s="4">
        <v>3.1</v>
      </c>
      <c r="R829" s="7" t="b">
        <v>0</v>
      </c>
      <c r="S829" s="7" t="s">
        <v>30</v>
      </c>
      <c r="T829" s="5">
        <v>3630</v>
      </c>
      <c r="U829" s="7" t="s">
        <v>38</v>
      </c>
      <c r="V829" t="s">
        <v>69</v>
      </c>
      <c r="W829" s="7" t="s">
        <v>33</v>
      </c>
    </row>
    <row r="830" spans="1:23" x14ac:dyDescent="0.3">
      <c r="A830" s="6">
        <v>9259</v>
      </c>
      <c r="B830" s="7" t="s">
        <v>241</v>
      </c>
      <c r="C830" t="s">
        <v>685</v>
      </c>
      <c r="D830" s="1">
        <v>45485</v>
      </c>
      <c r="E830" s="8">
        <v>11.99</v>
      </c>
      <c r="F830" s="6">
        <v>219</v>
      </c>
      <c r="G830" s="7" t="s">
        <v>63</v>
      </c>
      <c r="H830" s="6">
        <v>4</v>
      </c>
      <c r="I830" s="6">
        <v>1</v>
      </c>
      <c r="J830" s="7" t="b">
        <v>1</v>
      </c>
      <c r="K830" s="6">
        <v>318</v>
      </c>
      <c r="L830" s="6">
        <v>37</v>
      </c>
      <c r="M830" s="7" t="s">
        <v>92</v>
      </c>
      <c r="N830" s="7" t="s">
        <v>75</v>
      </c>
      <c r="O830" s="7" t="s">
        <v>57</v>
      </c>
      <c r="P830" s="5">
        <v>69</v>
      </c>
      <c r="Q830" s="4">
        <v>3.9</v>
      </c>
      <c r="R830" s="7" t="b">
        <v>1</v>
      </c>
      <c r="S830" s="7" t="s">
        <v>30</v>
      </c>
      <c r="T830" s="5">
        <v>1457</v>
      </c>
      <c r="U830" s="7" t="s">
        <v>65</v>
      </c>
      <c r="V830" t="s">
        <v>69</v>
      </c>
      <c r="W830" s="7" t="s">
        <v>33</v>
      </c>
    </row>
    <row r="831" spans="1:23" x14ac:dyDescent="0.3">
      <c r="A831" s="6">
        <v>2170</v>
      </c>
      <c r="B831" s="7" t="s">
        <v>148</v>
      </c>
      <c r="C831" s="1">
        <v>45118</v>
      </c>
      <c r="D831" t="s">
        <v>35</v>
      </c>
      <c r="E831" s="8">
        <v>15.99</v>
      </c>
      <c r="F831" s="6">
        <v>335</v>
      </c>
      <c r="G831" s="7" t="s">
        <v>26</v>
      </c>
      <c r="H831" s="6">
        <v>2</v>
      </c>
      <c r="I831" s="6">
        <v>4</v>
      </c>
      <c r="J831" s="7" t="b">
        <v>0</v>
      </c>
      <c r="K831" s="6">
        <v>609</v>
      </c>
      <c r="L831" s="6">
        <v>181</v>
      </c>
      <c r="M831" s="7" t="s">
        <v>43</v>
      </c>
      <c r="N831" s="7" t="s">
        <v>28</v>
      </c>
      <c r="O831" s="7" t="s">
        <v>29</v>
      </c>
      <c r="P831" s="5">
        <v>81</v>
      </c>
      <c r="Q831" s="4">
        <v>4.7</v>
      </c>
      <c r="R831" s="7" t="b">
        <v>1</v>
      </c>
      <c r="S831" s="7" t="s">
        <v>30</v>
      </c>
      <c r="T831" s="5">
        <v>3332</v>
      </c>
      <c r="U831" s="7" t="s">
        <v>65</v>
      </c>
      <c r="V831" t="s">
        <v>59</v>
      </c>
      <c r="W831" s="7" t="s">
        <v>33</v>
      </c>
    </row>
    <row r="832" spans="1:23" x14ac:dyDescent="0.3">
      <c r="A832" s="6">
        <v>2237</v>
      </c>
      <c r="B832" s="7" t="s">
        <v>248</v>
      </c>
      <c r="C832" s="1">
        <v>45144</v>
      </c>
      <c r="D832" t="s">
        <v>103</v>
      </c>
      <c r="E832" s="8">
        <v>7.99</v>
      </c>
      <c r="F832" s="6">
        <v>435</v>
      </c>
      <c r="G832" s="7" t="s">
        <v>73</v>
      </c>
      <c r="H832" s="6">
        <v>2</v>
      </c>
      <c r="I832" s="6">
        <v>1</v>
      </c>
      <c r="J832" s="7" t="b">
        <v>0</v>
      </c>
      <c r="K832" s="6">
        <v>163</v>
      </c>
      <c r="L832" s="6">
        <v>69</v>
      </c>
      <c r="M832" s="7" t="s">
        <v>55</v>
      </c>
      <c r="N832" s="7" t="s">
        <v>28</v>
      </c>
      <c r="O832" s="7" t="s">
        <v>37</v>
      </c>
      <c r="P832" s="5">
        <v>24</v>
      </c>
      <c r="Q832" s="4">
        <v>4.8</v>
      </c>
      <c r="R832" s="7" t="b">
        <v>1</v>
      </c>
      <c r="S832" s="7" t="s">
        <v>30</v>
      </c>
      <c r="T832" s="5">
        <v>3815</v>
      </c>
      <c r="U832" s="7" t="s">
        <v>65</v>
      </c>
      <c r="V832" t="s">
        <v>32</v>
      </c>
      <c r="W832" s="7" t="s">
        <v>93</v>
      </c>
    </row>
    <row r="833" spans="1:23" x14ac:dyDescent="0.3">
      <c r="A833" s="6">
        <v>2697</v>
      </c>
      <c r="B833" s="7" t="s">
        <v>174</v>
      </c>
      <c r="C833" s="1">
        <v>45570</v>
      </c>
      <c r="D833" s="1">
        <v>45547</v>
      </c>
      <c r="E833" s="8">
        <v>15.99</v>
      </c>
      <c r="F833" s="6">
        <v>423</v>
      </c>
      <c r="G833" s="7" t="s">
        <v>36</v>
      </c>
      <c r="H833" s="6">
        <v>4</v>
      </c>
      <c r="I833" s="6">
        <v>3</v>
      </c>
      <c r="J833" s="7" t="b">
        <v>0</v>
      </c>
      <c r="K833" s="6">
        <v>648</v>
      </c>
      <c r="L833" s="6">
        <v>46</v>
      </c>
      <c r="M833" s="7" t="s">
        <v>27</v>
      </c>
      <c r="N833" s="7" t="s">
        <v>44</v>
      </c>
      <c r="O833" s="7" t="s">
        <v>57</v>
      </c>
      <c r="P833" s="5">
        <v>0</v>
      </c>
      <c r="Q833" s="4">
        <v>4.5</v>
      </c>
      <c r="R833" s="7" t="b">
        <v>0</v>
      </c>
      <c r="S833" s="7" t="s">
        <v>30</v>
      </c>
      <c r="T833" s="5">
        <v>3859</v>
      </c>
      <c r="U833" s="7" t="s">
        <v>31</v>
      </c>
      <c r="V833" t="s">
        <v>79</v>
      </c>
      <c r="W833" s="7" t="s">
        <v>33</v>
      </c>
    </row>
    <row r="834" spans="1:23" x14ac:dyDescent="0.3">
      <c r="A834" s="6">
        <v>4488</v>
      </c>
      <c r="B834" s="7" t="s">
        <v>281</v>
      </c>
      <c r="C834" t="s">
        <v>652</v>
      </c>
      <c r="D834" s="1">
        <v>45424</v>
      </c>
      <c r="E834" s="8">
        <v>7.99</v>
      </c>
      <c r="F834" s="6">
        <v>304</v>
      </c>
      <c r="G834" s="7" t="s">
        <v>100</v>
      </c>
      <c r="H834" s="6">
        <v>1</v>
      </c>
      <c r="I834" s="6">
        <v>3</v>
      </c>
      <c r="J834" s="7" t="b">
        <v>0</v>
      </c>
      <c r="K834" s="6">
        <v>975</v>
      </c>
      <c r="L834" s="6">
        <v>10</v>
      </c>
      <c r="M834" s="7" t="s">
        <v>43</v>
      </c>
      <c r="N834" s="7" t="s">
        <v>28</v>
      </c>
      <c r="O834" s="7" t="s">
        <v>64</v>
      </c>
      <c r="P834" s="5">
        <v>48</v>
      </c>
      <c r="Q834" s="4">
        <v>3.2</v>
      </c>
      <c r="R834" s="7" t="b">
        <v>0</v>
      </c>
      <c r="S834" s="7" t="s">
        <v>30</v>
      </c>
      <c r="T834" s="5">
        <v>3923</v>
      </c>
      <c r="U834" s="7" t="s">
        <v>58</v>
      </c>
      <c r="V834" t="s">
        <v>39</v>
      </c>
      <c r="W834" s="7" t="s">
        <v>33</v>
      </c>
    </row>
    <row r="835" spans="1:23" x14ac:dyDescent="0.3">
      <c r="A835" s="6">
        <v>5291</v>
      </c>
      <c r="B835" s="7" t="s">
        <v>686</v>
      </c>
      <c r="C835" t="s">
        <v>535</v>
      </c>
      <c r="D835" t="s">
        <v>72</v>
      </c>
      <c r="E835" s="8">
        <v>11.99</v>
      </c>
      <c r="F835" s="6">
        <v>455</v>
      </c>
      <c r="G835" s="7" t="s">
        <v>36</v>
      </c>
      <c r="H835" s="6">
        <v>3</v>
      </c>
      <c r="I835" s="6">
        <v>6</v>
      </c>
      <c r="J835" s="7" t="b">
        <v>1</v>
      </c>
      <c r="K835" s="6">
        <v>15</v>
      </c>
      <c r="L835" s="6">
        <v>36</v>
      </c>
      <c r="M835" s="7" t="s">
        <v>74</v>
      </c>
      <c r="N835" s="7" t="s">
        <v>44</v>
      </c>
      <c r="O835" s="7" t="s">
        <v>64</v>
      </c>
      <c r="P835" s="5">
        <v>37</v>
      </c>
      <c r="Q835" s="4">
        <v>4.2</v>
      </c>
      <c r="R835" s="7" t="b">
        <v>0</v>
      </c>
      <c r="S835" s="7" t="s">
        <v>30</v>
      </c>
      <c r="T835" s="5">
        <v>4486</v>
      </c>
      <c r="U835" s="7" t="s">
        <v>76</v>
      </c>
      <c r="V835" t="s">
        <v>59</v>
      </c>
      <c r="W835" s="7" t="s">
        <v>93</v>
      </c>
    </row>
    <row r="836" spans="1:23" x14ac:dyDescent="0.3">
      <c r="A836" s="6">
        <v>6287</v>
      </c>
      <c r="B836" s="7" t="s">
        <v>491</v>
      </c>
      <c r="C836" t="s">
        <v>687</v>
      </c>
      <c r="D836" t="s">
        <v>90</v>
      </c>
      <c r="E836" s="8">
        <v>11.99</v>
      </c>
      <c r="F836" s="6">
        <v>449</v>
      </c>
      <c r="G836" s="7" t="s">
        <v>51</v>
      </c>
      <c r="H836" s="6">
        <v>1</v>
      </c>
      <c r="I836" s="6">
        <v>2</v>
      </c>
      <c r="J836" s="7" t="b">
        <v>1</v>
      </c>
      <c r="K836" s="6">
        <v>268</v>
      </c>
      <c r="L836" s="6">
        <v>11</v>
      </c>
      <c r="M836" s="7" t="s">
        <v>43</v>
      </c>
      <c r="N836" s="7" t="s">
        <v>44</v>
      </c>
      <c r="O836" s="7" t="s">
        <v>64</v>
      </c>
      <c r="P836" s="5">
        <v>62</v>
      </c>
      <c r="Q836" s="4">
        <v>5</v>
      </c>
      <c r="R836" s="7" t="b">
        <v>0</v>
      </c>
      <c r="S836" s="7" t="s">
        <v>30</v>
      </c>
      <c r="T836" s="5">
        <v>993</v>
      </c>
      <c r="U836" s="7" t="s">
        <v>38</v>
      </c>
      <c r="V836" t="s">
        <v>39</v>
      </c>
      <c r="W836" s="7" t="s">
        <v>40</v>
      </c>
    </row>
    <row r="837" spans="1:23" x14ac:dyDescent="0.3">
      <c r="A837" s="6">
        <v>1953</v>
      </c>
      <c r="B837" s="7" t="s">
        <v>667</v>
      </c>
      <c r="C837" s="1">
        <v>45180</v>
      </c>
      <c r="D837" t="s">
        <v>109</v>
      </c>
      <c r="E837" s="8">
        <v>15.99</v>
      </c>
      <c r="F837" s="6">
        <v>39</v>
      </c>
      <c r="G837" s="7" t="s">
        <v>36</v>
      </c>
      <c r="H837" s="6">
        <v>3</v>
      </c>
      <c r="I837" s="6">
        <v>1</v>
      </c>
      <c r="J837" s="7" t="b">
        <v>1</v>
      </c>
      <c r="K837" s="6">
        <v>791</v>
      </c>
      <c r="L837" s="6">
        <v>3</v>
      </c>
      <c r="M837" s="7" t="s">
        <v>74</v>
      </c>
      <c r="N837" s="7" t="s">
        <v>56</v>
      </c>
      <c r="O837" s="7" t="s">
        <v>57</v>
      </c>
      <c r="P837" s="5">
        <v>33</v>
      </c>
      <c r="Q837" s="4">
        <v>3.1</v>
      </c>
      <c r="R837" s="7" t="b">
        <v>1</v>
      </c>
      <c r="S837" s="7" t="s">
        <v>30</v>
      </c>
      <c r="T837" s="5">
        <v>631</v>
      </c>
      <c r="U837" s="7" t="s">
        <v>58</v>
      </c>
      <c r="V837" t="s">
        <v>39</v>
      </c>
      <c r="W837" s="7" t="s">
        <v>60</v>
      </c>
    </row>
    <row r="838" spans="1:23" x14ac:dyDescent="0.3">
      <c r="A838" s="6">
        <v>3457</v>
      </c>
      <c r="B838" s="7" t="s">
        <v>286</v>
      </c>
      <c r="C838" t="s">
        <v>651</v>
      </c>
      <c r="D838" t="s">
        <v>54</v>
      </c>
      <c r="E838" s="8">
        <v>15.99</v>
      </c>
      <c r="F838" s="6">
        <v>139</v>
      </c>
      <c r="G838" s="7" t="s">
        <v>73</v>
      </c>
      <c r="H838" s="6">
        <v>2</v>
      </c>
      <c r="I838" s="6">
        <v>1</v>
      </c>
      <c r="J838" s="7" t="b">
        <v>0</v>
      </c>
      <c r="K838" s="6">
        <v>257</v>
      </c>
      <c r="L838" s="6">
        <v>173</v>
      </c>
      <c r="M838" s="7" t="s">
        <v>68</v>
      </c>
      <c r="N838" s="7" t="s">
        <v>44</v>
      </c>
      <c r="O838" s="7" t="s">
        <v>64</v>
      </c>
      <c r="P838" s="5">
        <v>16</v>
      </c>
      <c r="Q838" s="4">
        <v>3.7</v>
      </c>
      <c r="R838" s="7" t="b">
        <v>1</v>
      </c>
      <c r="S838" s="7" t="s">
        <v>30</v>
      </c>
      <c r="T838" s="5">
        <v>214</v>
      </c>
      <c r="U838" s="7" t="s">
        <v>58</v>
      </c>
      <c r="V838" t="s">
        <v>39</v>
      </c>
      <c r="W838" s="7" t="s">
        <v>33</v>
      </c>
    </row>
    <row r="839" spans="1:23" x14ac:dyDescent="0.3">
      <c r="A839" s="6">
        <v>6504</v>
      </c>
      <c r="B839" s="7" t="s">
        <v>318</v>
      </c>
      <c r="C839" t="s">
        <v>111</v>
      </c>
      <c r="D839" t="s">
        <v>103</v>
      </c>
      <c r="E839" s="8">
        <v>7.99</v>
      </c>
      <c r="F839" s="6">
        <v>345</v>
      </c>
      <c r="G839" s="7" t="s">
        <v>48</v>
      </c>
      <c r="H839" s="6">
        <v>1</v>
      </c>
      <c r="I839" s="6">
        <v>4</v>
      </c>
      <c r="J839" s="7" t="b">
        <v>0</v>
      </c>
      <c r="K839" s="6">
        <v>767</v>
      </c>
      <c r="L839" s="6">
        <v>66</v>
      </c>
      <c r="M839" s="7" t="s">
        <v>43</v>
      </c>
      <c r="N839" s="7" t="s">
        <v>44</v>
      </c>
      <c r="O839" s="7" t="s">
        <v>45</v>
      </c>
      <c r="P839" s="5">
        <v>70</v>
      </c>
      <c r="Q839" s="4">
        <v>3.8</v>
      </c>
      <c r="R839" s="7" t="b">
        <v>0</v>
      </c>
      <c r="S839" s="7" t="s">
        <v>30</v>
      </c>
      <c r="T839" s="5">
        <v>2327</v>
      </c>
      <c r="U839" s="7" t="s">
        <v>38</v>
      </c>
      <c r="V839" t="s">
        <v>59</v>
      </c>
      <c r="W839" s="7" t="s">
        <v>33</v>
      </c>
    </row>
    <row r="840" spans="1:23" x14ac:dyDescent="0.3">
      <c r="A840" s="6">
        <v>7463</v>
      </c>
      <c r="B840" s="7" t="s">
        <v>389</v>
      </c>
      <c r="C840" t="s">
        <v>136</v>
      </c>
      <c r="D840" s="1">
        <v>45455</v>
      </c>
      <c r="E840" s="8">
        <v>11.99</v>
      </c>
      <c r="F840" s="6">
        <v>500</v>
      </c>
      <c r="G840" s="7" t="s">
        <v>51</v>
      </c>
      <c r="H840" s="6">
        <v>3</v>
      </c>
      <c r="I840" s="6">
        <v>5</v>
      </c>
      <c r="J840" s="7" t="b">
        <v>1</v>
      </c>
      <c r="K840" s="6">
        <v>362</v>
      </c>
      <c r="L840" s="6">
        <v>38</v>
      </c>
      <c r="M840" s="7" t="s">
        <v>92</v>
      </c>
      <c r="N840" s="7" t="s">
        <v>44</v>
      </c>
      <c r="O840" s="7" t="s">
        <v>29</v>
      </c>
      <c r="P840" s="5">
        <v>100</v>
      </c>
      <c r="Q840" s="4">
        <v>4</v>
      </c>
      <c r="R840" s="7" t="b">
        <v>0</v>
      </c>
      <c r="S840" s="7" t="s">
        <v>30</v>
      </c>
      <c r="T840" s="5">
        <v>3679</v>
      </c>
      <c r="U840" s="7" t="s">
        <v>58</v>
      </c>
      <c r="V840" t="s">
        <v>79</v>
      </c>
      <c r="W840" s="7" t="s">
        <v>40</v>
      </c>
    </row>
    <row r="841" spans="1:23" x14ac:dyDescent="0.3">
      <c r="A841" s="6">
        <v>3898</v>
      </c>
      <c r="B841" s="7" t="s">
        <v>98</v>
      </c>
      <c r="C841" s="1">
        <v>45476</v>
      </c>
      <c r="D841" t="s">
        <v>105</v>
      </c>
      <c r="E841" s="8">
        <v>11.99</v>
      </c>
      <c r="F841" s="6">
        <v>365</v>
      </c>
      <c r="G841" s="7" t="s">
        <v>73</v>
      </c>
      <c r="H841" s="6">
        <v>5</v>
      </c>
      <c r="I841" s="6">
        <v>5</v>
      </c>
      <c r="J841" s="7" t="b">
        <v>1</v>
      </c>
      <c r="K841" s="6">
        <v>779</v>
      </c>
      <c r="L841" s="6">
        <v>113</v>
      </c>
      <c r="M841" s="7" t="s">
        <v>49</v>
      </c>
      <c r="N841" s="7" t="s">
        <v>28</v>
      </c>
      <c r="O841" s="7" t="s">
        <v>37</v>
      </c>
      <c r="P841" s="5">
        <v>65</v>
      </c>
      <c r="Q841" s="4">
        <v>4.2</v>
      </c>
      <c r="R841" s="7" t="b">
        <v>0</v>
      </c>
      <c r="S841" s="7" t="s">
        <v>30</v>
      </c>
      <c r="T841" s="5">
        <v>2238</v>
      </c>
      <c r="U841" s="7" t="s">
        <v>31</v>
      </c>
      <c r="V841" t="s">
        <v>79</v>
      </c>
      <c r="W841" s="7" t="s">
        <v>93</v>
      </c>
    </row>
    <row r="842" spans="1:23" x14ac:dyDescent="0.3">
      <c r="A842" s="6">
        <v>8481</v>
      </c>
      <c r="B842" s="7" t="s">
        <v>130</v>
      </c>
      <c r="C842" t="s">
        <v>688</v>
      </c>
      <c r="D842" s="1">
        <v>45516</v>
      </c>
      <c r="E842" s="8">
        <v>7.99</v>
      </c>
      <c r="F842" s="6">
        <v>479</v>
      </c>
      <c r="G842" s="7" t="s">
        <v>100</v>
      </c>
      <c r="H842" s="6">
        <v>4</v>
      </c>
      <c r="I842" s="6">
        <v>5</v>
      </c>
      <c r="J842" s="7" t="b">
        <v>0</v>
      </c>
      <c r="K842" s="6">
        <v>159</v>
      </c>
      <c r="L842" s="6">
        <v>136</v>
      </c>
      <c r="M842" s="7" t="s">
        <v>43</v>
      </c>
      <c r="N842" s="7" t="s">
        <v>75</v>
      </c>
      <c r="O842" s="7" t="s">
        <v>37</v>
      </c>
      <c r="P842" s="5">
        <v>7</v>
      </c>
      <c r="Q842" s="4">
        <v>4.2</v>
      </c>
      <c r="R842" s="7" t="b">
        <v>1</v>
      </c>
      <c r="S842" s="7" t="s">
        <v>30</v>
      </c>
      <c r="T842" s="5">
        <v>3655</v>
      </c>
      <c r="U842" s="7" t="s">
        <v>58</v>
      </c>
      <c r="V842" t="s">
        <v>59</v>
      </c>
      <c r="W842" s="7" t="s">
        <v>40</v>
      </c>
    </row>
    <row r="843" spans="1:23" x14ac:dyDescent="0.3">
      <c r="A843" s="6">
        <v>7810</v>
      </c>
      <c r="B843" s="7" t="s">
        <v>41</v>
      </c>
      <c r="C843" t="s">
        <v>321</v>
      </c>
      <c r="D843" s="1">
        <v>45485</v>
      </c>
      <c r="E843" s="8">
        <v>7.99</v>
      </c>
      <c r="F843" s="6">
        <v>63</v>
      </c>
      <c r="G843" s="7" t="s">
        <v>63</v>
      </c>
      <c r="H843" s="6">
        <v>4</v>
      </c>
      <c r="I843" s="6">
        <v>2</v>
      </c>
      <c r="J843" s="7" t="b">
        <v>1</v>
      </c>
      <c r="K843" s="6">
        <v>104</v>
      </c>
      <c r="L843" s="6">
        <v>72</v>
      </c>
      <c r="M843" s="7" t="s">
        <v>92</v>
      </c>
      <c r="N843" s="7" t="s">
        <v>75</v>
      </c>
      <c r="O843" s="7" t="s">
        <v>45</v>
      </c>
      <c r="P843" s="5">
        <v>17</v>
      </c>
      <c r="Q843" s="4">
        <v>4.9000000000000004</v>
      </c>
      <c r="R843" s="7" t="b">
        <v>1</v>
      </c>
      <c r="S843" s="7" t="s">
        <v>30</v>
      </c>
      <c r="T843" s="5">
        <v>1587</v>
      </c>
      <c r="U843" s="7" t="s">
        <v>65</v>
      </c>
      <c r="V843" t="s">
        <v>59</v>
      </c>
      <c r="W843" s="7" t="s">
        <v>93</v>
      </c>
    </row>
    <row r="844" spans="1:23" x14ac:dyDescent="0.3">
      <c r="A844" s="6">
        <v>6534</v>
      </c>
      <c r="B844" s="7" t="s">
        <v>434</v>
      </c>
      <c r="C844" s="1">
        <v>45050</v>
      </c>
      <c r="D844" s="1">
        <v>45608</v>
      </c>
      <c r="E844" s="8">
        <v>11.99</v>
      </c>
      <c r="F844" s="6">
        <v>104</v>
      </c>
      <c r="G844" s="7" t="s">
        <v>51</v>
      </c>
      <c r="H844" s="6">
        <v>2</v>
      </c>
      <c r="I844" s="6">
        <v>6</v>
      </c>
      <c r="J844" s="7" t="b">
        <v>0</v>
      </c>
      <c r="K844" s="6">
        <v>570</v>
      </c>
      <c r="L844" s="6">
        <v>29</v>
      </c>
      <c r="M844" s="7" t="s">
        <v>49</v>
      </c>
      <c r="N844" s="7" t="s">
        <v>28</v>
      </c>
      <c r="O844" s="7" t="s">
        <v>37</v>
      </c>
      <c r="P844" s="5">
        <v>56</v>
      </c>
      <c r="Q844" s="4">
        <v>3.9</v>
      </c>
      <c r="R844" s="7" t="b">
        <v>1</v>
      </c>
      <c r="S844" s="7" t="s">
        <v>30</v>
      </c>
      <c r="T844" s="5">
        <v>4501</v>
      </c>
      <c r="U844" s="7" t="s">
        <v>38</v>
      </c>
      <c r="V844" t="s">
        <v>32</v>
      </c>
      <c r="W844" s="7" t="s">
        <v>33</v>
      </c>
    </row>
    <row r="845" spans="1:23" x14ac:dyDescent="0.3">
      <c r="A845" s="6">
        <v>6025</v>
      </c>
      <c r="B845" s="7" t="s">
        <v>290</v>
      </c>
      <c r="C845" t="s">
        <v>565</v>
      </c>
      <c r="D845" t="s">
        <v>87</v>
      </c>
      <c r="E845" s="8">
        <v>15.99</v>
      </c>
      <c r="F845" s="6">
        <v>380</v>
      </c>
      <c r="G845" s="7" t="s">
        <v>63</v>
      </c>
      <c r="H845" s="6">
        <v>5</v>
      </c>
      <c r="I845" s="6">
        <v>5</v>
      </c>
      <c r="J845" s="7" t="b">
        <v>1</v>
      </c>
      <c r="K845" s="6">
        <v>112</v>
      </c>
      <c r="L845" s="6">
        <v>149</v>
      </c>
      <c r="M845" s="7" t="s">
        <v>68</v>
      </c>
      <c r="N845" s="7" t="s">
        <v>75</v>
      </c>
      <c r="O845" s="7" t="s">
        <v>45</v>
      </c>
      <c r="P845" s="5">
        <v>74</v>
      </c>
      <c r="Q845" s="4">
        <v>3.4</v>
      </c>
      <c r="R845" s="7" t="b">
        <v>1</v>
      </c>
      <c r="S845" s="7" t="s">
        <v>30</v>
      </c>
      <c r="T845" s="5">
        <v>1910</v>
      </c>
      <c r="U845" s="7" t="s">
        <v>76</v>
      </c>
      <c r="V845" t="s">
        <v>69</v>
      </c>
      <c r="W845" s="7" t="s">
        <v>60</v>
      </c>
    </row>
    <row r="846" spans="1:23" x14ac:dyDescent="0.3">
      <c r="A846" s="6">
        <v>5825</v>
      </c>
      <c r="B846" s="7" t="s">
        <v>689</v>
      </c>
      <c r="C846" s="1">
        <v>45628</v>
      </c>
      <c r="D846" t="s">
        <v>25</v>
      </c>
      <c r="E846" s="8">
        <v>7.99</v>
      </c>
      <c r="F846" s="6">
        <v>500</v>
      </c>
      <c r="G846" s="7" t="s">
        <v>36</v>
      </c>
      <c r="H846" s="6">
        <v>5</v>
      </c>
      <c r="I846" s="6">
        <v>4</v>
      </c>
      <c r="J846" s="7" t="b">
        <v>1</v>
      </c>
      <c r="K846" s="6">
        <v>568</v>
      </c>
      <c r="L846" s="6">
        <v>151</v>
      </c>
      <c r="M846" s="7" t="s">
        <v>74</v>
      </c>
      <c r="N846" s="7" t="s">
        <v>75</v>
      </c>
      <c r="O846" s="7" t="s">
        <v>78</v>
      </c>
      <c r="P846" s="5">
        <v>11</v>
      </c>
      <c r="Q846" s="4">
        <v>3.6</v>
      </c>
      <c r="R846" s="7" t="b">
        <v>0</v>
      </c>
      <c r="S846" s="7" t="s">
        <v>30</v>
      </c>
      <c r="T846" s="5">
        <v>2731</v>
      </c>
      <c r="U846" s="7" t="s">
        <v>31</v>
      </c>
      <c r="V846" t="s">
        <v>69</v>
      </c>
      <c r="W846" s="7" t="s">
        <v>33</v>
      </c>
    </row>
    <row r="847" spans="1:23" x14ac:dyDescent="0.3">
      <c r="A847" s="6">
        <v>1185</v>
      </c>
      <c r="B847" s="7" t="s">
        <v>355</v>
      </c>
      <c r="C847" t="s">
        <v>690</v>
      </c>
      <c r="D847" t="s">
        <v>35</v>
      </c>
      <c r="E847" s="8">
        <v>15.99</v>
      </c>
      <c r="F847" s="6">
        <v>247</v>
      </c>
      <c r="G847" s="7" t="s">
        <v>100</v>
      </c>
      <c r="H847" s="6">
        <v>2</v>
      </c>
      <c r="I847" s="6">
        <v>2</v>
      </c>
      <c r="J847" s="7" t="b">
        <v>0</v>
      </c>
      <c r="K847" s="6">
        <v>943</v>
      </c>
      <c r="L847" s="6">
        <v>42</v>
      </c>
      <c r="M847" s="7" t="s">
        <v>49</v>
      </c>
      <c r="N847" s="7" t="s">
        <v>28</v>
      </c>
      <c r="O847" s="7" t="s">
        <v>57</v>
      </c>
      <c r="P847" s="5">
        <v>85</v>
      </c>
      <c r="Q847" s="4">
        <v>3.5</v>
      </c>
      <c r="R847" s="7" t="b">
        <v>1</v>
      </c>
      <c r="S847" s="7" t="s">
        <v>30</v>
      </c>
      <c r="T847" s="5">
        <v>4517</v>
      </c>
      <c r="U847" s="7" t="s">
        <v>31</v>
      </c>
      <c r="V847" t="s">
        <v>32</v>
      </c>
      <c r="W847" s="7" t="s">
        <v>40</v>
      </c>
    </row>
    <row r="848" spans="1:23" x14ac:dyDescent="0.3">
      <c r="A848" s="6">
        <v>4392</v>
      </c>
      <c r="B848" s="7" t="s">
        <v>395</v>
      </c>
      <c r="C848" t="s">
        <v>182</v>
      </c>
      <c r="D848" s="1">
        <v>45424</v>
      </c>
      <c r="E848" s="8">
        <v>11.99</v>
      </c>
      <c r="F848" s="6">
        <v>486</v>
      </c>
      <c r="G848" s="7" t="s">
        <v>48</v>
      </c>
      <c r="H848" s="6">
        <v>2</v>
      </c>
      <c r="I848" s="6">
        <v>6</v>
      </c>
      <c r="J848" s="7" t="b">
        <v>0</v>
      </c>
      <c r="K848" s="6">
        <v>887</v>
      </c>
      <c r="L848" s="6">
        <v>128</v>
      </c>
      <c r="M848" s="7" t="s">
        <v>27</v>
      </c>
      <c r="N848" s="7" t="s">
        <v>56</v>
      </c>
      <c r="O848" s="7" t="s">
        <v>37</v>
      </c>
      <c r="P848" s="5">
        <v>59</v>
      </c>
      <c r="Q848" s="4">
        <v>4.4000000000000004</v>
      </c>
      <c r="R848" s="7" t="b">
        <v>0</v>
      </c>
      <c r="S848" s="7" t="s">
        <v>30</v>
      </c>
      <c r="T848" s="5">
        <v>1238</v>
      </c>
      <c r="U848" s="7" t="s">
        <v>65</v>
      </c>
      <c r="V848" t="s">
        <v>32</v>
      </c>
      <c r="W848" s="7" t="s">
        <v>60</v>
      </c>
    </row>
    <row r="849" spans="1:23" x14ac:dyDescent="0.3">
      <c r="A849" s="6">
        <v>5785</v>
      </c>
      <c r="B849" s="7" t="s">
        <v>101</v>
      </c>
      <c r="C849" s="1">
        <v>45568</v>
      </c>
      <c r="D849" t="s">
        <v>54</v>
      </c>
      <c r="E849" s="8">
        <v>7.99</v>
      </c>
      <c r="F849" s="6">
        <v>220</v>
      </c>
      <c r="G849" s="7" t="s">
        <v>26</v>
      </c>
      <c r="H849" s="6">
        <v>2</v>
      </c>
      <c r="I849" s="6">
        <v>1</v>
      </c>
      <c r="J849" s="7" t="b">
        <v>0</v>
      </c>
      <c r="K849" s="6">
        <v>998</v>
      </c>
      <c r="L849" s="6">
        <v>187</v>
      </c>
      <c r="M849" s="7" t="s">
        <v>55</v>
      </c>
      <c r="N849" s="7" t="s">
        <v>44</v>
      </c>
      <c r="O849" s="7" t="s">
        <v>64</v>
      </c>
      <c r="P849" s="5">
        <v>17</v>
      </c>
      <c r="Q849" s="4">
        <v>4.4000000000000004</v>
      </c>
      <c r="R849" s="7" t="b">
        <v>0</v>
      </c>
      <c r="S849" s="7" t="s">
        <v>30</v>
      </c>
      <c r="T849" s="5">
        <v>1786</v>
      </c>
      <c r="U849" s="7" t="s">
        <v>58</v>
      </c>
      <c r="V849" t="s">
        <v>79</v>
      </c>
      <c r="W849" s="7" t="s">
        <v>60</v>
      </c>
    </row>
    <row r="850" spans="1:23" x14ac:dyDescent="0.3">
      <c r="A850" s="6">
        <v>4718</v>
      </c>
      <c r="B850" s="7" t="s">
        <v>130</v>
      </c>
      <c r="C850" t="s">
        <v>662</v>
      </c>
      <c r="D850" t="s">
        <v>87</v>
      </c>
      <c r="E850" s="8">
        <v>15.99</v>
      </c>
      <c r="F850" s="6">
        <v>21</v>
      </c>
      <c r="G850" s="7" t="s">
        <v>36</v>
      </c>
      <c r="H850" s="6">
        <v>5</v>
      </c>
      <c r="I850" s="6">
        <v>1</v>
      </c>
      <c r="J850" s="7" t="b">
        <v>1</v>
      </c>
      <c r="K850" s="6">
        <v>484</v>
      </c>
      <c r="L850" s="6">
        <v>112</v>
      </c>
      <c r="M850" s="7" t="s">
        <v>55</v>
      </c>
      <c r="N850" s="7" t="s">
        <v>56</v>
      </c>
      <c r="O850" s="7" t="s">
        <v>29</v>
      </c>
      <c r="P850" s="5">
        <v>88</v>
      </c>
      <c r="Q850" s="4">
        <v>3.5</v>
      </c>
      <c r="R850" s="7" t="b">
        <v>1</v>
      </c>
      <c r="S850" s="7" t="s">
        <v>30</v>
      </c>
      <c r="T850" s="5">
        <v>1683</v>
      </c>
      <c r="U850" s="7" t="s">
        <v>76</v>
      </c>
      <c r="V850" t="s">
        <v>79</v>
      </c>
      <c r="W850" s="7" t="s">
        <v>60</v>
      </c>
    </row>
    <row r="851" spans="1:23" x14ac:dyDescent="0.3">
      <c r="A851" s="6">
        <v>3992</v>
      </c>
      <c r="B851" s="7" t="s">
        <v>224</v>
      </c>
      <c r="C851" t="s">
        <v>62</v>
      </c>
      <c r="D851" t="s">
        <v>87</v>
      </c>
      <c r="E851" s="8">
        <v>11.99</v>
      </c>
      <c r="F851" s="6">
        <v>417</v>
      </c>
      <c r="G851" s="7" t="s">
        <v>26</v>
      </c>
      <c r="H851" s="6">
        <v>2</v>
      </c>
      <c r="I851" s="6">
        <v>5</v>
      </c>
      <c r="J851" s="7" t="b">
        <v>1</v>
      </c>
      <c r="K851" s="6">
        <v>458</v>
      </c>
      <c r="L851" s="6">
        <v>145</v>
      </c>
      <c r="M851" s="7" t="s">
        <v>74</v>
      </c>
      <c r="N851" s="7" t="s">
        <v>44</v>
      </c>
      <c r="O851" s="7" t="s">
        <v>57</v>
      </c>
      <c r="P851" s="5">
        <v>91</v>
      </c>
      <c r="Q851" s="4">
        <v>3.3</v>
      </c>
      <c r="R851" s="7" t="b">
        <v>1</v>
      </c>
      <c r="S851" s="7" t="s">
        <v>30</v>
      </c>
      <c r="T851" s="5">
        <v>996</v>
      </c>
      <c r="U851" s="7" t="s">
        <v>65</v>
      </c>
      <c r="V851" t="s">
        <v>39</v>
      </c>
      <c r="W851" s="7" t="s">
        <v>40</v>
      </c>
    </row>
    <row r="852" spans="1:23" x14ac:dyDescent="0.3">
      <c r="A852" s="6">
        <v>6100</v>
      </c>
      <c r="B852" s="7" t="s">
        <v>517</v>
      </c>
      <c r="C852" t="s">
        <v>220</v>
      </c>
      <c r="D852" t="s">
        <v>84</v>
      </c>
      <c r="E852" s="8">
        <v>11.99</v>
      </c>
      <c r="F852" s="6">
        <v>191</v>
      </c>
      <c r="G852" s="7" t="s">
        <v>73</v>
      </c>
      <c r="H852" s="6">
        <v>1</v>
      </c>
      <c r="I852" s="6">
        <v>4</v>
      </c>
      <c r="J852" s="7" t="b">
        <v>0</v>
      </c>
      <c r="K852" s="6">
        <v>925</v>
      </c>
      <c r="L852" s="6">
        <v>124</v>
      </c>
      <c r="M852" s="7" t="s">
        <v>74</v>
      </c>
      <c r="N852" s="7" t="s">
        <v>75</v>
      </c>
      <c r="O852" s="7" t="s">
        <v>29</v>
      </c>
      <c r="P852" s="5">
        <v>37</v>
      </c>
      <c r="Q852" s="4">
        <v>4.0999999999999996</v>
      </c>
      <c r="R852" s="7" t="b">
        <v>0</v>
      </c>
      <c r="S852" s="7" t="s">
        <v>30</v>
      </c>
      <c r="T852" s="5">
        <v>608</v>
      </c>
      <c r="U852" s="7" t="s">
        <v>31</v>
      </c>
      <c r="V852" t="s">
        <v>59</v>
      </c>
      <c r="W852" s="7" t="s">
        <v>40</v>
      </c>
    </row>
    <row r="853" spans="1:23" x14ac:dyDescent="0.3">
      <c r="A853" s="6">
        <v>8495</v>
      </c>
      <c r="B853" s="7" t="s">
        <v>691</v>
      </c>
      <c r="C853" s="1">
        <v>45536</v>
      </c>
      <c r="D853" t="s">
        <v>214</v>
      </c>
      <c r="E853" s="8">
        <v>7.99</v>
      </c>
      <c r="F853" s="6">
        <v>460</v>
      </c>
      <c r="G853" s="7" t="s">
        <v>73</v>
      </c>
      <c r="H853" s="6">
        <v>5</v>
      </c>
      <c r="I853" s="6">
        <v>2</v>
      </c>
      <c r="J853" s="7" t="b">
        <v>0</v>
      </c>
      <c r="K853" s="6">
        <v>559</v>
      </c>
      <c r="L853" s="6">
        <v>136</v>
      </c>
      <c r="M853" s="7" t="s">
        <v>92</v>
      </c>
      <c r="N853" s="7" t="s">
        <v>56</v>
      </c>
      <c r="O853" s="7" t="s">
        <v>37</v>
      </c>
      <c r="P853" s="5">
        <v>58</v>
      </c>
      <c r="Q853" s="4">
        <v>3.6</v>
      </c>
      <c r="R853" s="7" t="b">
        <v>0</v>
      </c>
      <c r="S853" s="7" t="s">
        <v>30</v>
      </c>
      <c r="T853" s="5">
        <v>4650</v>
      </c>
      <c r="U853" s="7" t="s">
        <v>38</v>
      </c>
      <c r="V853" t="s">
        <v>79</v>
      </c>
      <c r="W853" s="7" t="s">
        <v>60</v>
      </c>
    </row>
    <row r="854" spans="1:23" x14ac:dyDescent="0.3">
      <c r="A854" s="6">
        <v>3083</v>
      </c>
      <c r="B854" s="7" t="s">
        <v>631</v>
      </c>
      <c r="C854" s="1">
        <v>45055</v>
      </c>
      <c r="D854" t="s">
        <v>25</v>
      </c>
      <c r="E854" s="8">
        <v>7.99</v>
      </c>
      <c r="F854" s="6">
        <v>413</v>
      </c>
      <c r="G854" s="7" t="s">
        <v>51</v>
      </c>
      <c r="H854" s="6">
        <v>5</v>
      </c>
      <c r="I854" s="6">
        <v>5</v>
      </c>
      <c r="J854" s="7" t="b">
        <v>1</v>
      </c>
      <c r="K854" s="6">
        <v>895</v>
      </c>
      <c r="L854" s="6">
        <v>3</v>
      </c>
      <c r="M854" s="7" t="s">
        <v>27</v>
      </c>
      <c r="N854" s="7" t="s">
        <v>56</v>
      </c>
      <c r="O854" s="7" t="s">
        <v>37</v>
      </c>
      <c r="P854" s="5">
        <v>87</v>
      </c>
      <c r="Q854" s="4">
        <v>3.2</v>
      </c>
      <c r="R854" s="7" t="b">
        <v>1</v>
      </c>
      <c r="S854" s="7" t="s">
        <v>30</v>
      </c>
      <c r="T854" s="5">
        <v>1340</v>
      </c>
      <c r="U854" s="7" t="s">
        <v>65</v>
      </c>
      <c r="V854" t="s">
        <v>32</v>
      </c>
      <c r="W854" s="7" t="s">
        <v>33</v>
      </c>
    </row>
    <row r="855" spans="1:23" x14ac:dyDescent="0.3">
      <c r="A855" s="6">
        <v>9936</v>
      </c>
      <c r="B855" s="7" t="s">
        <v>147</v>
      </c>
      <c r="C855" s="1">
        <v>45235</v>
      </c>
      <c r="D855" t="s">
        <v>72</v>
      </c>
      <c r="E855" s="8">
        <v>7.99</v>
      </c>
      <c r="F855" s="6">
        <v>484</v>
      </c>
      <c r="G855" s="7" t="s">
        <v>26</v>
      </c>
      <c r="H855" s="6">
        <v>1</v>
      </c>
      <c r="I855" s="6">
        <v>6</v>
      </c>
      <c r="J855" s="7" t="b">
        <v>1</v>
      </c>
      <c r="K855" s="6">
        <v>570</v>
      </c>
      <c r="L855" s="6">
        <v>18</v>
      </c>
      <c r="M855" s="7" t="s">
        <v>74</v>
      </c>
      <c r="N855" s="7" t="s">
        <v>56</v>
      </c>
      <c r="O855" s="7" t="s">
        <v>29</v>
      </c>
      <c r="P855" s="5">
        <v>5</v>
      </c>
      <c r="Q855" s="4">
        <v>4.5999999999999996</v>
      </c>
      <c r="R855" s="7" t="b">
        <v>1</v>
      </c>
      <c r="S855" s="7" t="s">
        <v>30</v>
      </c>
      <c r="T855" s="5">
        <v>1821</v>
      </c>
      <c r="U855" s="7" t="s">
        <v>31</v>
      </c>
      <c r="V855" t="s">
        <v>39</v>
      </c>
      <c r="W855" s="7" t="s">
        <v>60</v>
      </c>
    </row>
    <row r="856" spans="1:23" x14ac:dyDescent="0.3">
      <c r="A856" s="6">
        <v>2418</v>
      </c>
      <c r="B856" s="7" t="s">
        <v>186</v>
      </c>
      <c r="C856" s="1">
        <v>45391</v>
      </c>
      <c r="D856" t="s">
        <v>54</v>
      </c>
      <c r="E856" s="8">
        <v>15.99</v>
      </c>
      <c r="F856" s="6">
        <v>227</v>
      </c>
      <c r="G856" s="7" t="s">
        <v>100</v>
      </c>
      <c r="H856" s="6">
        <v>1</v>
      </c>
      <c r="I856" s="6">
        <v>4</v>
      </c>
      <c r="J856" s="7" t="b">
        <v>1</v>
      </c>
      <c r="K856" s="6">
        <v>187</v>
      </c>
      <c r="L856" s="6">
        <v>48</v>
      </c>
      <c r="M856" s="7" t="s">
        <v>27</v>
      </c>
      <c r="N856" s="7" t="s">
        <v>56</v>
      </c>
      <c r="O856" s="7" t="s">
        <v>78</v>
      </c>
      <c r="P856" s="5">
        <v>6</v>
      </c>
      <c r="Q856" s="4">
        <v>3.4</v>
      </c>
      <c r="R856" s="7" t="b">
        <v>1</v>
      </c>
      <c r="S856" s="7" t="s">
        <v>30</v>
      </c>
      <c r="T856" s="5">
        <v>3020</v>
      </c>
      <c r="U856" s="7" t="s">
        <v>65</v>
      </c>
      <c r="V856" t="s">
        <v>69</v>
      </c>
      <c r="W856" s="7" t="s">
        <v>40</v>
      </c>
    </row>
    <row r="857" spans="1:23" x14ac:dyDescent="0.3">
      <c r="A857" s="6">
        <v>4089</v>
      </c>
      <c r="B857" s="7" t="s">
        <v>120</v>
      </c>
      <c r="C857" s="1">
        <v>45516</v>
      </c>
      <c r="D857" t="s">
        <v>72</v>
      </c>
      <c r="E857" s="8">
        <v>11.99</v>
      </c>
      <c r="F857" s="6">
        <v>313</v>
      </c>
      <c r="G857" s="7" t="s">
        <v>48</v>
      </c>
      <c r="H857" s="6">
        <v>5</v>
      </c>
      <c r="I857" s="6">
        <v>6</v>
      </c>
      <c r="J857" s="7" t="b">
        <v>1</v>
      </c>
      <c r="K857" s="6">
        <v>900</v>
      </c>
      <c r="L857" s="6">
        <v>135</v>
      </c>
      <c r="M857" s="7" t="s">
        <v>43</v>
      </c>
      <c r="N857" s="7" t="s">
        <v>44</v>
      </c>
      <c r="O857" s="7" t="s">
        <v>78</v>
      </c>
      <c r="P857" s="5">
        <v>87</v>
      </c>
      <c r="Q857" s="4">
        <v>4.8</v>
      </c>
      <c r="R857" s="7" t="b">
        <v>0</v>
      </c>
      <c r="S857" s="7" t="s">
        <v>30</v>
      </c>
      <c r="T857" s="5">
        <v>1243</v>
      </c>
      <c r="U857" s="7" t="s">
        <v>31</v>
      </c>
      <c r="V857" t="s">
        <v>79</v>
      </c>
      <c r="W857" s="7" t="s">
        <v>93</v>
      </c>
    </row>
    <row r="858" spans="1:23" x14ac:dyDescent="0.3">
      <c r="A858" s="6">
        <v>8876</v>
      </c>
      <c r="B858" s="7" t="s">
        <v>692</v>
      </c>
      <c r="C858" t="s">
        <v>412</v>
      </c>
      <c r="D858" t="s">
        <v>109</v>
      </c>
      <c r="E858" s="8">
        <v>11.99</v>
      </c>
      <c r="F858" s="6">
        <v>491</v>
      </c>
      <c r="G858" s="7" t="s">
        <v>63</v>
      </c>
      <c r="H858" s="6">
        <v>2</v>
      </c>
      <c r="I858" s="6">
        <v>3</v>
      </c>
      <c r="J858" s="7" t="b">
        <v>1</v>
      </c>
      <c r="K858" s="6">
        <v>194</v>
      </c>
      <c r="L858" s="6">
        <v>187</v>
      </c>
      <c r="M858" s="7" t="s">
        <v>55</v>
      </c>
      <c r="N858" s="7" t="s">
        <v>28</v>
      </c>
      <c r="O858" s="7" t="s">
        <v>78</v>
      </c>
      <c r="P858" s="5">
        <v>44</v>
      </c>
      <c r="Q858" s="4">
        <v>4.4000000000000004</v>
      </c>
      <c r="R858" s="7" t="b">
        <v>1</v>
      </c>
      <c r="S858" s="7" t="s">
        <v>30</v>
      </c>
      <c r="T858" s="5">
        <v>540</v>
      </c>
      <c r="U858" s="7" t="s">
        <v>31</v>
      </c>
      <c r="V858" t="s">
        <v>39</v>
      </c>
      <c r="W858" s="7" t="s">
        <v>93</v>
      </c>
    </row>
    <row r="859" spans="1:23" x14ac:dyDescent="0.3">
      <c r="A859" s="6">
        <v>3959</v>
      </c>
      <c r="B859" s="7" t="s">
        <v>373</v>
      </c>
      <c r="C859" t="s">
        <v>370</v>
      </c>
      <c r="D859" t="s">
        <v>129</v>
      </c>
      <c r="E859" s="8">
        <v>15.99</v>
      </c>
      <c r="F859" s="6">
        <v>50</v>
      </c>
      <c r="G859" s="7" t="s">
        <v>48</v>
      </c>
      <c r="H859" s="6">
        <v>4</v>
      </c>
      <c r="I859" s="6">
        <v>2</v>
      </c>
      <c r="J859" s="7" t="b">
        <v>1</v>
      </c>
      <c r="K859" s="6">
        <v>155</v>
      </c>
      <c r="L859" s="6">
        <v>115</v>
      </c>
      <c r="M859" s="7" t="s">
        <v>27</v>
      </c>
      <c r="N859" s="7" t="s">
        <v>44</v>
      </c>
      <c r="O859" s="7" t="s">
        <v>37</v>
      </c>
      <c r="P859" s="5">
        <v>92</v>
      </c>
      <c r="Q859" s="4">
        <v>4.3</v>
      </c>
      <c r="R859" s="7" t="b">
        <v>0</v>
      </c>
      <c r="S859" s="7" t="s">
        <v>30</v>
      </c>
      <c r="T859" s="5">
        <v>2583</v>
      </c>
      <c r="U859" s="7" t="s">
        <v>38</v>
      </c>
      <c r="V859" t="s">
        <v>69</v>
      </c>
      <c r="W859" s="7" t="s">
        <v>93</v>
      </c>
    </row>
    <row r="860" spans="1:23" x14ac:dyDescent="0.3">
      <c r="A860" s="6">
        <v>2011</v>
      </c>
      <c r="B860" s="7" t="s">
        <v>693</v>
      </c>
      <c r="C860" t="s">
        <v>333</v>
      </c>
      <c r="D860" s="1">
        <v>45394</v>
      </c>
      <c r="E860" s="8">
        <v>7.99</v>
      </c>
      <c r="F860" s="6">
        <v>73</v>
      </c>
      <c r="G860" s="7" t="s">
        <v>100</v>
      </c>
      <c r="H860" s="6">
        <v>2</v>
      </c>
      <c r="I860" s="6">
        <v>1</v>
      </c>
      <c r="J860" s="7" t="b">
        <v>1</v>
      </c>
      <c r="K860" s="6">
        <v>184</v>
      </c>
      <c r="L860" s="6">
        <v>172</v>
      </c>
      <c r="M860" s="7" t="s">
        <v>55</v>
      </c>
      <c r="N860" s="7" t="s">
        <v>75</v>
      </c>
      <c r="O860" s="7" t="s">
        <v>64</v>
      </c>
      <c r="P860" s="5">
        <v>41</v>
      </c>
      <c r="Q860" s="4">
        <v>4.8</v>
      </c>
      <c r="R860" s="7" t="b">
        <v>0</v>
      </c>
      <c r="S860" s="7" t="s">
        <v>30</v>
      </c>
      <c r="T860" s="5">
        <v>3463</v>
      </c>
      <c r="U860" s="7" t="s">
        <v>31</v>
      </c>
      <c r="V860" t="s">
        <v>32</v>
      </c>
      <c r="W860" s="7" t="s">
        <v>60</v>
      </c>
    </row>
    <row r="861" spans="1:23" x14ac:dyDescent="0.3">
      <c r="A861" s="6">
        <v>7896</v>
      </c>
      <c r="B861" s="7" t="s">
        <v>157</v>
      </c>
      <c r="C861" t="s">
        <v>694</v>
      </c>
      <c r="D861" t="s">
        <v>168</v>
      </c>
      <c r="E861" s="8">
        <v>11.99</v>
      </c>
      <c r="F861" s="6">
        <v>139</v>
      </c>
      <c r="G861" s="7" t="s">
        <v>48</v>
      </c>
      <c r="H861" s="6">
        <v>4</v>
      </c>
      <c r="I861" s="6">
        <v>5</v>
      </c>
      <c r="J861" s="7" t="b">
        <v>1</v>
      </c>
      <c r="K861" s="6">
        <v>539</v>
      </c>
      <c r="L861" s="6">
        <v>152</v>
      </c>
      <c r="M861" s="7" t="s">
        <v>43</v>
      </c>
      <c r="N861" s="7" t="s">
        <v>44</v>
      </c>
      <c r="O861" s="7" t="s">
        <v>37</v>
      </c>
      <c r="P861" s="5">
        <v>48</v>
      </c>
      <c r="Q861" s="4">
        <v>3.8</v>
      </c>
      <c r="R861" s="7" t="b">
        <v>1</v>
      </c>
      <c r="S861" s="7" t="s">
        <v>30</v>
      </c>
      <c r="T861" s="5">
        <v>4130</v>
      </c>
      <c r="U861" s="7" t="s">
        <v>38</v>
      </c>
      <c r="V861" t="s">
        <v>32</v>
      </c>
      <c r="W861" s="7" t="s">
        <v>93</v>
      </c>
    </row>
    <row r="862" spans="1:23" x14ac:dyDescent="0.3">
      <c r="A862" s="6">
        <v>5495</v>
      </c>
      <c r="B862" s="7" t="s">
        <v>695</v>
      </c>
      <c r="C862" t="s">
        <v>585</v>
      </c>
      <c r="D862" t="s">
        <v>168</v>
      </c>
      <c r="E862" s="8">
        <v>11.99</v>
      </c>
      <c r="F862" s="6">
        <v>327</v>
      </c>
      <c r="G862" s="7" t="s">
        <v>51</v>
      </c>
      <c r="H862" s="6">
        <v>2</v>
      </c>
      <c r="I862" s="6">
        <v>6</v>
      </c>
      <c r="J862" s="7" t="b">
        <v>1</v>
      </c>
      <c r="K862" s="6">
        <v>182</v>
      </c>
      <c r="L862" s="6">
        <v>14</v>
      </c>
      <c r="M862" s="7" t="s">
        <v>27</v>
      </c>
      <c r="N862" s="7" t="s">
        <v>44</v>
      </c>
      <c r="O862" s="7" t="s">
        <v>78</v>
      </c>
      <c r="P862" s="5">
        <v>90</v>
      </c>
      <c r="Q862" s="4">
        <v>3.4</v>
      </c>
      <c r="R862" s="7" t="b">
        <v>0</v>
      </c>
      <c r="S862" s="7" t="s">
        <v>30</v>
      </c>
      <c r="T862" s="5">
        <v>3918</v>
      </c>
      <c r="U862" s="7" t="s">
        <v>65</v>
      </c>
      <c r="V862" t="s">
        <v>59</v>
      </c>
      <c r="W862" s="7" t="s">
        <v>33</v>
      </c>
    </row>
    <row r="863" spans="1:23" x14ac:dyDescent="0.3">
      <c r="A863" s="6">
        <v>6219</v>
      </c>
      <c r="B863" s="7" t="s">
        <v>318</v>
      </c>
      <c r="C863" t="s">
        <v>205</v>
      </c>
      <c r="D863" t="s">
        <v>129</v>
      </c>
      <c r="E863" s="8">
        <v>11.99</v>
      </c>
      <c r="F863" s="6">
        <v>206</v>
      </c>
      <c r="G863" s="7" t="s">
        <v>36</v>
      </c>
      <c r="H863" s="6">
        <v>4</v>
      </c>
      <c r="I863" s="6">
        <v>1</v>
      </c>
      <c r="J863" s="7" t="b">
        <v>0</v>
      </c>
      <c r="K863" s="6">
        <v>981</v>
      </c>
      <c r="L863" s="6">
        <v>60</v>
      </c>
      <c r="M863" s="7" t="s">
        <v>49</v>
      </c>
      <c r="N863" s="7" t="s">
        <v>28</v>
      </c>
      <c r="O863" s="7" t="s">
        <v>64</v>
      </c>
      <c r="P863" s="5">
        <v>41</v>
      </c>
      <c r="Q863" s="4">
        <v>4.4000000000000004</v>
      </c>
      <c r="R863" s="7" t="b">
        <v>1</v>
      </c>
      <c r="S863" s="7" t="s">
        <v>30</v>
      </c>
      <c r="T863" s="5">
        <v>4264</v>
      </c>
      <c r="U863" s="7" t="s">
        <v>38</v>
      </c>
      <c r="V863" t="s">
        <v>39</v>
      </c>
      <c r="W863" s="7" t="s">
        <v>33</v>
      </c>
    </row>
    <row r="864" spans="1:23" x14ac:dyDescent="0.3">
      <c r="A864" s="6">
        <v>4458</v>
      </c>
      <c r="B864" s="7" t="s">
        <v>696</v>
      </c>
      <c r="C864" t="s">
        <v>697</v>
      </c>
      <c r="D864" t="s">
        <v>84</v>
      </c>
      <c r="E864" s="8">
        <v>15.99</v>
      </c>
      <c r="F864" s="6">
        <v>23</v>
      </c>
      <c r="G864" s="7" t="s">
        <v>48</v>
      </c>
      <c r="H864" s="6">
        <v>3</v>
      </c>
      <c r="I864" s="6">
        <v>3</v>
      </c>
      <c r="J864" s="7" t="b">
        <v>1</v>
      </c>
      <c r="K864" s="6">
        <v>489</v>
      </c>
      <c r="L864" s="6">
        <v>7</v>
      </c>
      <c r="M864" s="7" t="s">
        <v>55</v>
      </c>
      <c r="N864" s="7" t="s">
        <v>44</v>
      </c>
      <c r="O864" s="7" t="s">
        <v>45</v>
      </c>
      <c r="P864" s="5">
        <v>54</v>
      </c>
      <c r="Q864" s="4">
        <v>4.5</v>
      </c>
      <c r="R864" s="7" t="b">
        <v>1</v>
      </c>
      <c r="S864" s="7" t="s">
        <v>30</v>
      </c>
      <c r="T864" s="5">
        <v>1485</v>
      </c>
      <c r="U864" s="7" t="s">
        <v>76</v>
      </c>
      <c r="V864" t="s">
        <v>59</v>
      </c>
      <c r="W864" s="7" t="s">
        <v>40</v>
      </c>
    </row>
    <row r="865" spans="1:23" x14ac:dyDescent="0.3">
      <c r="A865" s="6">
        <v>4115</v>
      </c>
      <c r="B865" s="7" t="s">
        <v>698</v>
      </c>
      <c r="C865" t="s">
        <v>156</v>
      </c>
      <c r="D865" t="s">
        <v>156</v>
      </c>
      <c r="E865" s="8">
        <v>15.99</v>
      </c>
      <c r="F865" s="6">
        <v>158</v>
      </c>
      <c r="G865" s="7" t="s">
        <v>73</v>
      </c>
      <c r="H865" s="6">
        <v>1</v>
      </c>
      <c r="I865" s="6">
        <v>5</v>
      </c>
      <c r="J865" s="7" t="b">
        <v>1</v>
      </c>
      <c r="K865" s="6">
        <v>603</v>
      </c>
      <c r="L865" s="6">
        <v>72</v>
      </c>
      <c r="M865" s="7" t="s">
        <v>55</v>
      </c>
      <c r="N865" s="7" t="s">
        <v>56</v>
      </c>
      <c r="O865" s="7" t="s">
        <v>29</v>
      </c>
      <c r="P865" s="5">
        <v>88</v>
      </c>
      <c r="Q865" s="4">
        <v>3.3</v>
      </c>
      <c r="R865" s="7" t="b">
        <v>0</v>
      </c>
      <c r="S865" s="7" t="s">
        <v>30</v>
      </c>
      <c r="T865" s="5">
        <v>3508</v>
      </c>
      <c r="U865" s="7" t="s">
        <v>58</v>
      </c>
      <c r="V865" t="s">
        <v>79</v>
      </c>
      <c r="W865" s="7" t="s">
        <v>93</v>
      </c>
    </row>
    <row r="866" spans="1:23" x14ac:dyDescent="0.3">
      <c r="A866" s="6">
        <v>6586</v>
      </c>
      <c r="B866" s="7" t="s">
        <v>677</v>
      </c>
      <c r="C866" t="s">
        <v>457</v>
      </c>
      <c r="D866" t="s">
        <v>35</v>
      </c>
      <c r="E866" s="8">
        <v>15.99</v>
      </c>
      <c r="F866" s="6">
        <v>459</v>
      </c>
      <c r="G866" s="7" t="s">
        <v>73</v>
      </c>
      <c r="H866" s="6">
        <v>2</v>
      </c>
      <c r="I866" s="6">
        <v>1</v>
      </c>
      <c r="J866" s="7" t="b">
        <v>0</v>
      </c>
      <c r="K866" s="6">
        <v>445</v>
      </c>
      <c r="L866" s="6">
        <v>153</v>
      </c>
      <c r="M866" s="7" t="s">
        <v>92</v>
      </c>
      <c r="N866" s="7" t="s">
        <v>28</v>
      </c>
      <c r="O866" s="7" t="s">
        <v>29</v>
      </c>
      <c r="P866" s="5">
        <v>13</v>
      </c>
      <c r="Q866" s="4">
        <v>4.2</v>
      </c>
      <c r="R866" s="7" t="b">
        <v>0</v>
      </c>
      <c r="S866" s="7" t="s">
        <v>30</v>
      </c>
      <c r="T866" s="5">
        <v>3433</v>
      </c>
      <c r="U866" s="7" t="s">
        <v>38</v>
      </c>
      <c r="V866" t="s">
        <v>69</v>
      </c>
      <c r="W866" s="7" t="s">
        <v>40</v>
      </c>
    </row>
    <row r="867" spans="1:23" x14ac:dyDescent="0.3">
      <c r="A867" s="6">
        <v>3985</v>
      </c>
      <c r="B867" s="7" t="s">
        <v>290</v>
      </c>
      <c r="C867" s="1">
        <v>45632</v>
      </c>
      <c r="D867" s="1">
        <v>45638</v>
      </c>
      <c r="E867" s="8">
        <v>15.99</v>
      </c>
      <c r="F867" s="6">
        <v>30</v>
      </c>
      <c r="G867" s="7" t="s">
        <v>51</v>
      </c>
      <c r="H867" s="6">
        <v>4</v>
      </c>
      <c r="I867" s="6">
        <v>6</v>
      </c>
      <c r="J867" s="7" t="b">
        <v>0</v>
      </c>
      <c r="K867" s="6">
        <v>233</v>
      </c>
      <c r="L867" s="6">
        <v>10</v>
      </c>
      <c r="M867" s="7" t="s">
        <v>74</v>
      </c>
      <c r="N867" s="7" t="s">
        <v>75</v>
      </c>
      <c r="O867" s="7" t="s">
        <v>57</v>
      </c>
      <c r="P867" s="5">
        <v>71</v>
      </c>
      <c r="Q867" s="4">
        <v>4.5999999999999996</v>
      </c>
      <c r="R867" s="7" t="b">
        <v>0</v>
      </c>
      <c r="S867" s="7" t="s">
        <v>30</v>
      </c>
      <c r="T867" s="5">
        <v>3610</v>
      </c>
      <c r="U867" s="7" t="s">
        <v>31</v>
      </c>
      <c r="V867" t="s">
        <v>69</v>
      </c>
      <c r="W867" s="7" t="s">
        <v>33</v>
      </c>
    </row>
    <row r="868" spans="1:23" x14ac:dyDescent="0.3">
      <c r="A868" s="6">
        <v>8501</v>
      </c>
      <c r="B868" s="7" t="s">
        <v>106</v>
      </c>
      <c r="C868" s="1">
        <v>45508</v>
      </c>
      <c r="D868" t="s">
        <v>54</v>
      </c>
      <c r="E868" s="8">
        <v>11.99</v>
      </c>
      <c r="F868" s="6">
        <v>42</v>
      </c>
      <c r="G868" s="7" t="s">
        <v>51</v>
      </c>
      <c r="H868" s="6">
        <v>5</v>
      </c>
      <c r="I868" s="6">
        <v>2</v>
      </c>
      <c r="J868" s="7" t="b">
        <v>1</v>
      </c>
      <c r="K868" s="6">
        <v>464</v>
      </c>
      <c r="L868" s="6">
        <v>171</v>
      </c>
      <c r="M868" s="7" t="s">
        <v>27</v>
      </c>
      <c r="N868" s="7" t="s">
        <v>75</v>
      </c>
      <c r="O868" s="7" t="s">
        <v>64</v>
      </c>
      <c r="P868" s="5">
        <v>88</v>
      </c>
      <c r="Q868" s="4">
        <v>4.5999999999999996</v>
      </c>
      <c r="R868" s="7" t="b">
        <v>1</v>
      </c>
      <c r="S868" s="7" t="s">
        <v>30</v>
      </c>
      <c r="T868" s="5">
        <v>3307</v>
      </c>
      <c r="U868" s="7" t="s">
        <v>58</v>
      </c>
      <c r="V868" t="s">
        <v>59</v>
      </c>
      <c r="W868" s="7" t="s">
        <v>60</v>
      </c>
    </row>
    <row r="869" spans="1:23" x14ac:dyDescent="0.3">
      <c r="A869" s="6">
        <v>4048</v>
      </c>
      <c r="B869" s="7" t="s">
        <v>186</v>
      </c>
      <c r="C869" s="1">
        <v>45328</v>
      </c>
      <c r="D869" t="s">
        <v>72</v>
      </c>
      <c r="E869" s="8">
        <v>11.99</v>
      </c>
      <c r="F869" s="6">
        <v>242</v>
      </c>
      <c r="G869" s="7" t="s">
        <v>63</v>
      </c>
      <c r="H869" s="6">
        <v>3</v>
      </c>
      <c r="I869" s="6">
        <v>1</v>
      </c>
      <c r="J869" s="7" t="b">
        <v>0</v>
      </c>
      <c r="K869" s="6">
        <v>273</v>
      </c>
      <c r="L869" s="6">
        <v>96</v>
      </c>
      <c r="M869" s="7" t="s">
        <v>74</v>
      </c>
      <c r="N869" s="7" t="s">
        <v>56</v>
      </c>
      <c r="O869" s="7" t="s">
        <v>78</v>
      </c>
      <c r="P869" s="5">
        <v>34</v>
      </c>
      <c r="Q869" s="4">
        <v>4.9000000000000004</v>
      </c>
      <c r="R869" s="7" t="b">
        <v>1</v>
      </c>
      <c r="S869" s="7" t="s">
        <v>30</v>
      </c>
      <c r="T869" s="5">
        <v>868</v>
      </c>
      <c r="U869" s="7" t="s">
        <v>58</v>
      </c>
      <c r="V869" t="s">
        <v>59</v>
      </c>
      <c r="W869" s="7" t="s">
        <v>60</v>
      </c>
    </row>
    <row r="870" spans="1:23" x14ac:dyDescent="0.3">
      <c r="A870" s="6">
        <v>4466</v>
      </c>
      <c r="B870" s="7" t="s">
        <v>138</v>
      </c>
      <c r="C870" s="1">
        <v>45453</v>
      </c>
      <c r="D870" t="s">
        <v>99</v>
      </c>
      <c r="E870" s="8">
        <v>11.99</v>
      </c>
      <c r="F870" s="6">
        <v>25</v>
      </c>
      <c r="G870" s="7" t="s">
        <v>36</v>
      </c>
      <c r="H870" s="6">
        <v>5</v>
      </c>
      <c r="I870" s="6">
        <v>2</v>
      </c>
      <c r="J870" s="7" t="b">
        <v>0</v>
      </c>
      <c r="K870" s="6">
        <v>162</v>
      </c>
      <c r="L870" s="6">
        <v>147</v>
      </c>
      <c r="M870" s="7" t="s">
        <v>74</v>
      </c>
      <c r="N870" s="7" t="s">
        <v>44</v>
      </c>
      <c r="O870" s="7" t="s">
        <v>64</v>
      </c>
      <c r="P870" s="5">
        <v>82</v>
      </c>
      <c r="Q870" s="4">
        <v>4.3</v>
      </c>
      <c r="R870" s="7" t="b">
        <v>0</v>
      </c>
      <c r="S870" s="7" t="s">
        <v>30</v>
      </c>
      <c r="T870" s="5">
        <v>4358</v>
      </c>
      <c r="U870" s="7" t="s">
        <v>58</v>
      </c>
      <c r="V870" t="s">
        <v>39</v>
      </c>
      <c r="W870" s="7" t="s">
        <v>33</v>
      </c>
    </row>
    <row r="871" spans="1:23" x14ac:dyDescent="0.3">
      <c r="A871" s="6">
        <v>5479</v>
      </c>
      <c r="B871" s="7" t="s">
        <v>179</v>
      </c>
      <c r="C871" s="1">
        <v>45019</v>
      </c>
      <c r="D871" s="1">
        <v>45516</v>
      </c>
      <c r="E871" s="8">
        <v>7.99</v>
      </c>
      <c r="F871" s="6">
        <v>140</v>
      </c>
      <c r="G871" s="7" t="s">
        <v>100</v>
      </c>
      <c r="H871" s="6">
        <v>4</v>
      </c>
      <c r="I871" s="6">
        <v>4</v>
      </c>
      <c r="J871" s="7" t="b">
        <v>0</v>
      </c>
      <c r="K871" s="6">
        <v>218</v>
      </c>
      <c r="L871" s="6">
        <v>5</v>
      </c>
      <c r="M871" s="7" t="s">
        <v>55</v>
      </c>
      <c r="N871" s="7" t="s">
        <v>28</v>
      </c>
      <c r="O871" s="7" t="s">
        <v>78</v>
      </c>
      <c r="P871" s="5">
        <v>86</v>
      </c>
      <c r="Q871" s="4">
        <v>3.6</v>
      </c>
      <c r="R871" s="7" t="b">
        <v>0</v>
      </c>
      <c r="S871" s="7" t="s">
        <v>30</v>
      </c>
      <c r="T871" s="5">
        <v>4552</v>
      </c>
      <c r="U871" s="7" t="s">
        <v>38</v>
      </c>
      <c r="V871" t="s">
        <v>79</v>
      </c>
      <c r="W871" s="7" t="s">
        <v>33</v>
      </c>
    </row>
    <row r="872" spans="1:23" x14ac:dyDescent="0.3">
      <c r="A872" s="6">
        <v>2480</v>
      </c>
      <c r="B872" s="7" t="s">
        <v>618</v>
      </c>
      <c r="C872" t="s">
        <v>514</v>
      </c>
      <c r="D872" t="s">
        <v>72</v>
      </c>
      <c r="E872" s="8">
        <v>15.99</v>
      </c>
      <c r="F872" s="6">
        <v>192</v>
      </c>
      <c r="G872" s="7" t="s">
        <v>73</v>
      </c>
      <c r="H872" s="6">
        <v>5</v>
      </c>
      <c r="I872" s="6">
        <v>3</v>
      </c>
      <c r="J872" s="7" t="b">
        <v>0</v>
      </c>
      <c r="K872" s="6">
        <v>39</v>
      </c>
      <c r="L872" s="6">
        <v>18</v>
      </c>
      <c r="M872" s="7" t="s">
        <v>49</v>
      </c>
      <c r="N872" s="7" t="s">
        <v>75</v>
      </c>
      <c r="O872" s="7" t="s">
        <v>37</v>
      </c>
      <c r="P872" s="5">
        <v>75</v>
      </c>
      <c r="Q872" s="4">
        <v>3.3</v>
      </c>
      <c r="R872" s="7" t="b">
        <v>1</v>
      </c>
      <c r="S872" s="7" t="s">
        <v>30</v>
      </c>
      <c r="T872" s="5">
        <v>3003</v>
      </c>
      <c r="U872" s="7" t="s">
        <v>38</v>
      </c>
      <c r="V872" t="s">
        <v>59</v>
      </c>
      <c r="W872" s="7" t="s">
        <v>60</v>
      </c>
    </row>
    <row r="873" spans="1:23" x14ac:dyDescent="0.3">
      <c r="A873" s="6">
        <v>6288</v>
      </c>
      <c r="B873" s="7" t="s">
        <v>271</v>
      </c>
      <c r="C873" s="1">
        <v>45326</v>
      </c>
      <c r="D873" s="1">
        <v>45608</v>
      </c>
      <c r="E873" s="8">
        <v>15.99</v>
      </c>
      <c r="F873" s="6">
        <v>267</v>
      </c>
      <c r="G873" s="7" t="s">
        <v>100</v>
      </c>
      <c r="H873" s="6">
        <v>1</v>
      </c>
      <c r="I873" s="6">
        <v>2</v>
      </c>
      <c r="J873" s="7" t="b">
        <v>0</v>
      </c>
      <c r="K873" s="6">
        <v>107</v>
      </c>
      <c r="L873" s="6">
        <v>140</v>
      </c>
      <c r="M873" s="7" t="s">
        <v>68</v>
      </c>
      <c r="N873" s="7" t="s">
        <v>28</v>
      </c>
      <c r="O873" s="7" t="s">
        <v>78</v>
      </c>
      <c r="P873" s="5">
        <v>7</v>
      </c>
      <c r="Q873" s="4">
        <v>4.8</v>
      </c>
      <c r="R873" s="7" t="b">
        <v>0</v>
      </c>
      <c r="S873" s="7" t="s">
        <v>30</v>
      </c>
      <c r="T873" s="5">
        <v>783</v>
      </c>
      <c r="U873" s="7" t="s">
        <v>58</v>
      </c>
      <c r="V873" t="s">
        <v>39</v>
      </c>
      <c r="W873" s="7" t="s">
        <v>40</v>
      </c>
    </row>
    <row r="874" spans="1:23" x14ac:dyDescent="0.3">
      <c r="A874" s="6">
        <v>9973</v>
      </c>
      <c r="B874" s="7" t="s">
        <v>224</v>
      </c>
      <c r="C874" t="s">
        <v>600</v>
      </c>
      <c r="D874" t="s">
        <v>35</v>
      </c>
      <c r="E874" s="8">
        <v>11.99</v>
      </c>
      <c r="F874" s="6">
        <v>410</v>
      </c>
      <c r="G874" s="7" t="s">
        <v>100</v>
      </c>
      <c r="H874" s="6">
        <v>4</v>
      </c>
      <c r="I874" s="6">
        <v>4</v>
      </c>
      <c r="J874" s="7" t="b">
        <v>0</v>
      </c>
      <c r="K874" s="6">
        <v>513</v>
      </c>
      <c r="L874" s="6">
        <v>52</v>
      </c>
      <c r="M874" s="7" t="s">
        <v>43</v>
      </c>
      <c r="N874" s="7" t="s">
        <v>44</v>
      </c>
      <c r="O874" s="7" t="s">
        <v>78</v>
      </c>
      <c r="P874" s="5">
        <v>19</v>
      </c>
      <c r="Q874" s="4">
        <v>4.7</v>
      </c>
      <c r="R874" s="7" t="b">
        <v>0</v>
      </c>
      <c r="S874" s="7" t="s">
        <v>30</v>
      </c>
      <c r="T874" s="5">
        <v>3578</v>
      </c>
      <c r="U874" s="7" t="s">
        <v>58</v>
      </c>
      <c r="V874" t="s">
        <v>39</v>
      </c>
      <c r="W874" s="7" t="s">
        <v>33</v>
      </c>
    </row>
    <row r="875" spans="1:23" x14ac:dyDescent="0.3">
      <c r="A875" s="6">
        <v>6078</v>
      </c>
      <c r="B875" s="7" t="s">
        <v>606</v>
      </c>
      <c r="C875" t="s">
        <v>366</v>
      </c>
      <c r="D875" t="s">
        <v>35</v>
      </c>
      <c r="E875" s="8">
        <v>7.99</v>
      </c>
      <c r="F875" s="6">
        <v>281</v>
      </c>
      <c r="G875" s="7" t="s">
        <v>73</v>
      </c>
      <c r="H875" s="6">
        <v>4</v>
      </c>
      <c r="I875" s="6">
        <v>5</v>
      </c>
      <c r="J875" s="7" t="b">
        <v>0</v>
      </c>
      <c r="K875" s="6">
        <v>905</v>
      </c>
      <c r="L875" s="6">
        <v>128</v>
      </c>
      <c r="M875" s="7" t="s">
        <v>74</v>
      </c>
      <c r="N875" s="7" t="s">
        <v>75</v>
      </c>
      <c r="O875" s="7" t="s">
        <v>37</v>
      </c>
      <c r="P875" s="5">
        <v>70</v>
      </c>
      <c r="Q875" s="4">
        <v>4.3</v>
      </c>
      <c r="R875" s="7" t="b">
        <v>0</v>
      </c>
      <c r="S875" s="7" t="s">
        <v>30</v>
      </c>
      <c r="T875" s="5">
        <v>1952</v>
      </c>
      <c r="U875" s="7" t="s">
        <v>65</v>
      </c>
      <c r="V875" t="s">
        <v>59</v>
      </c>
      <c r="W875" s="7" t="s">
        <v>40</v>
      </c>
    </row>
    <row r="876" spans="1:23" x14ac:dyDescent="0.3">
      <c r="A876" s="6">
        <v>5362</v>
      </c>
      <c r="B876" s="7" t="s">
        <v>332</v>
      </c>
      <c r="C876" s="1">
        <v>45476</v>
      </c>
      <c r="D876" t="s">
        <v>99</v>
      </c>
      <c r="E876" s="8">
        <v>15.99</v>
      </c>
      <c r="F876" s="6">
        <v>478</v>
      </c>
      <c r="G876" s="7" t="s">
        <v>73</v>
      </c>
      <c r="H876" s="6">
        <v>4</v>
      </c>
      <c r="I876" s="6">
        <v>3</v>
      </c>
      <c r="J876" s="7" t="b">
        <v>1</v>
      </c>
      <c r="K876" s="6">
        <v>551</v>
      </c>
      <c r="L876" s="6">
        <v>96</v>
      </c>
      <c r="M876" s="7" t="s">
        <v>49</v>
      </c>
      <c r="N876" s="7" t="s">
        <v>75</v>
      </c>
      <c r="O876" s="7" t="s">
        <v>57</v>
      </c>
      <c r="P876" s="5">
        <v>65</v>
      </c>
      <c r="Q876" s="4">
        <v>4.5999999999999996</v>
      </c>
      <c r="R876" s="7" t="b">
        <v>1</v>
      </c>
      <c r="S876" s="7" t="s">
        <v>30</v>
      </c>
      <c r="T876" s="5">
        <v>860</v>
      </c>
      <c r="U876" s="7" t="s">
        <v>65</v>
      </c>
      <c r="V876" t="s">
        <v>79</v>
      </c>
      <c r="W876" s="7" t="s">
        <v>60</v>
      </c>
    </row>
    <row r="877" spans="1:23" x14ac:dyDescent="0.3">
      <c r="A877" s="6">
        <v>1687</v>
      </c>
      <c r="B877" s="7" t="s">
        <v>126</v>
      </c>
      <c r="C877" t="s">
        <v>468</v>
      </c>
      <c r="D877" t="s">
        <v>156</v>
      </c>
      <c r="E877" s="8">
        <v>7.99</v>
      </c>
      <c r="F877" s="6">
        <v>44</v>
      </c>
      <c r="G877" s="7" t="s">
        <v>26</v>
      </c>
      <c r="H877" s="6">
        <v>4</v>
      </c>
      <c r="I877" s="6">
        <v>5</v>
      </c>
      <c r="J877" s="7" t="b">
        <v>1</v>
      </c>
      <c r="K877" s="6">
        <v>190</v>
      </c>
      <c r="L877" s="6">
        <v>193</v>
      </c>
      <c r="M877" s="7" t="s">
        <v>92</v>
      </c>
      <c r="N877" s="7" t="s">
        <v>28</v>
      </c>
      <c r="O877" s="7" t="s">
        <v>29</v>
      </c>
      <c r="P877" s="5">
        <v>13</v>
      </c>
      <c r="Q877" s="4">
        <v>3.1</v>
      </c>
      <c r="R877" s="7" t="b">
        <v>0</v>
      </c>
      <c r="S877" s="7" t="s">
        <v>30</v>
      </c>
      <c r="T877" s="5">
        <v>3</v>
      </c>
      <c r="U877" s="7" t="s">
        <v>65</v>
      </c>
      <c r="V877" t="s">
        <v>59</v>
      </c>
      <c r="W877" s="7" t="s">
        <v>33</v>
      </c>
    </row>
    <row r="878" spans="1:23" x14ac:dyDescent="0.3">
      <c r="A878" s="6">
        <v>8986</v>
      </c>
      <c r="B878" s="7" t="s">
        <v>409</v>
      </c>
      <c r="C878" s="1">
        <v>45303</v>
      </c>
      <c r="D878" t="s">
        <v>129</v>
      </c>
      <c r="E878" s="8">
        <v>15.99</v>
      </c>
      <c r="F878" s="6">
        <v>250</v>
      </c>
      <c r="G878" s="7" t="s">
        <v>26</v>
      </c>
      <c r="H878" s="6">
        <v>1</v>
      </c>
      <c r="I878" s="6">
        <v>2</v>
      </c>
      <c r="J878" s="7" t="b">
        <v>1</v>
      </c>
      <c r="K878" s="6">
        <v>69</v>
      </c>
      <c r="L878" s="6">
        <v>35</v>
      </c>
      <c r="M878" s="7" t="s">
        <v>43</v>
      </c>
      <c r="N878" s="7" t="s">
        <v>56</v>
      </c>
      <c r="O878" s="7" t="s">
        <v>37</v>
      </c>
      <c r="P878" s="5">
        <v>13</v>
      </c>
      <c r="Q878" s="4">
        <v>3.3</v>
      </c>
      <c r="R878" s="7" t="b">
        <v>1</v>
      </c>
      <c r="S878" s="7" t="s">
        <v>30</v>
      </c>
      <c r="T878" s="5">
        <v>1836</v>
      </c>
      <c r="U878" s="7" t="s">
        <v>58</v>
      </c>
      <c r="V878" t="s">
        <v>39</v>
      </c>
      <c r="W878" s="7" t="s">
        <v>40</v>
      </c>
    </row>
    <row r="879" spans="1:23" x14ac:dyDescent="0.3">
      <c r="A879" s="6">
        <v>5994</v>
      </c>
      <c r="B879" s="7" t="s">
        <v>492</v>
      </c>
      <c r="C879" t="s">
        <v>221</v>
      </c>
      <c r="D879" s="1">
        <v>45394</v>
      </c>
      <c r="E879" s="8">
        <v>7.99</v>
      </c>
      <c r="F879" s="6">
        <v>225</v>
      </c>
      <c r="G879" s="7" t="s">
        <v>36</v>
      </c>
      <c r="H879" s="6">
        <v>5</v>
      </c>
      <c r="I879" s="6">
        <v>5</v>
      </c>
      <c r="J879" s="7" t="b">
        <v>0</v>
      </c>
      <c r="K879" s="6">
        <v>274</v>
      </c>
      <c r="L879" s="6">
        <v>83</v>
      </c>
      <c r="M879" s="7" t="s">
        <v>49</v>
      </c>
      <c r="N879" s="7" t="s">
        <v>56</v>
      </c>
      <c r="O879" s="7" t="s">
        <v>37</v>
      </c>
      <c r="P879" s="5">
        <v>45</v>
      </c>
      <c r="Q879" s="4">
        <v>3.9</v>
      </c>
      <c r="R879" s="7" t="b">
        <v>0</v>
      </c>
      <c r="S879" s="7" t="s">
        <v>30</v>
      </c>
      <c r="T879" s="5">
        <v>808</v>
      </c>
      <c r="U879" s="7" t="s">
        <v>31</v>
      </c>
      <c r="V879" t="s">
        <v>32</v>
      </c>
      <c r="W879" s="7" t="s">
        <v>93</v>
      </c>
    </row>
    <row r="880" spans="1:23" x14ac:dyDescent="0.3">
      <c r="A880" s="6">
        <v>6293</v>
      </c>
      <c r="B880" s="7" t="s">
        <v>224</v>
      </c>
      <c r="C880" t="s">
        <v>454</v>
      </c>
      <c r="D880" t="s">
        <v>134</v>
      </c>
      <c r="E880" s="8">
        <v>15.99</v>
      </c>
      <c r="F880" s="6">
        <v>473</v>
      </c>
      <c r="G880" s="7" t="s">
        <v>48</v>
      </c>
      <c r="H880" s="6">
        <v>4</v>
      </c>
      <c r="I880" s="6">
        <v>4</v>
      </c>
      <c r="J880" s="7" t="b">
        <v>0</v>
      </c>
      <c r="K880" s="6">
        <v>605</v>
      </c>
      <c r="L880" s="6">
        <v>93</v>
      </c>
      <c r="M880" s="7" t="s">
        <v>74</v>
      </c>
      <c r="N880" s="7" t="s">
        <v>44</v>
      </c>
      <c r="O880" s="7" t="s">
        <v>45</v>
      </c>
      <c r="P880" s="5">
        <v>13</v>
      </c>
      <c r="Q880" s="4">
        <v>4.8</v>
      </c>
      <c r="R880" s="7" t="b">
        <v>0</v>
      </c>
      <c r="S880" s="7" t="s">
        <v>30</v>
      </c>
      <c r="T880" s="5">
        <v>2141</v>
      </c>
      <c r="U880" s="7" t="s">
        <v>38</v>
      </c>
      <c r="V880" t="s">
        <v>32</v>
      </c>
      <c r="W880" s="7" t="s">
        <v>33</v>
      </c>
    </row>
    <row r="881" spans="1:23" x14ac:dyDescent="0.3">
      <c r="A881" s="6">
        <v>7558</v>
      </c>
      <c r="B881" s="7" t="s">
        <v>369</v>
      </c>
      <c r="C881" t="s">
        <v>639</v>
      </c>
      <c r="D881" s="1">
        <v>45516</v>
      </c>
      <c r="E881" s="8">
        <v>11.99</v>
      </c>
      <c r="F881" s="6">
        <v>236</v>
      </c>
      <c r="G881" s="7" t="s">
        <v>48</v>
      </c>
      <c r="H881" s="6">
        <v>1</v>
      </c>
      <c r="I881" s="6">
        <v>5</v>
      </c>
      <c r="J881" s="7" t="b">
        <v>1</v>
      </c>
      <c r="K881" s="6">
        <v>225</v>
      </c>
      <c r="L881" s="6">
        <v>94</v>
      </c>
      <c r="M881" s="7" t="s">
        <v>74</v>
      </c>
      <c r="N881" s="7" t="s">
        <v>44</v>
      </c>
      <c r="O881" s="7" t="s">
        <v>64</v>
      </c>
      <c r="P881" s="5">
        <v>61</v>
      </c>
      <c r="Q881" s="4">
        <v>3.7</v>
      </c>
      <c r="R881" s="7" t="b">
        <v>0</v>
      </c>
      <c r="S881" s="7" t="s">
        <v>30</v>
      </c>
      <c r="T881" s="5">
        <v>1254</v>
      </c>
      <c r="U881" s="7" t="s">
        <v>65</v>
      </c>
      <c r="V881" t="s">
        <v>32</v>
      </c>
      <c r="W881" s="7" t="s">
        <v>40</v>
      </c>
    </row>
    <row r="882" spans="1:23" x14ac:dyDescent="0.3">
      <c r="A882" s="6">
        <v>1805</v>
      </c>
      <c r="B882" s="7" t="s">
        <v>88</v>
      </c>
      <c r="C882" s="1">
        <v>45018</v>
      </c>
      <c r="D882" t="s">
        <v>90</v>
      </c>
      <c r="E882" s="8">
        <v>11.99</v>
      </c>
      <c r="F882" s="6">
        <v>349</v>
      </c>
      <c r="G882" s="7" t="s">
        <v>73</v>
      </c>
      <c r="H882" s="6">
        <v>4</v>
      </c>
      <c r="I882" s="6">
        <v>4</v>
      </c>
      <c r="J882" s="7" t="b">
        <v>1</v>
      </c>
      <c r="K882" s="6">
        <v>386</v>
      </c>
      <c r="L882" s="6">
        <v>195</v>
      </c>
      <c r="M882" s="7" t="s">
        <v>27</v>
      </c>
      <c r="N882" s="7" t="s">
        <v>75</v>
      </c>
      <c r="O882" s="7" t="s">
        <v>37</v>
      </c>
      <c r="P882" s="5">
        <v>59</v>
      </c>
      <c r="Q882" s="4">
        <v>4.5999999999999996</v>
      </c>
      <c r="R882" s="7" t="b">
        <v>0</v>
      </c>
      <c r="S882" s="7" t="s">
        <v>30</v>
      </c>
      <c r="T882" s="5">
        <v>2864</v>
      </c>
      <c r="U882" s="7" t="s">
        <v>65</v>
      </c>
      <c r="V882" t="s">
        <v>32</v>
      </c>
      <c r="W882" s="7" t="s">
        <v>33</v>
      </c>
    </row>
    <row r="883" spans="1:23" x14ac:dyDescent="0.3">
      <c r="A883" s="6">
        <v>1661</v>
      </c>
      <c r="B883" s="7" t="s">
        <v>374</v>
      </c>
      <c r="C883" t="s">
        <v>699</v>
      </c>
      <c r="D883" s="1">
        <v>45516</v>
      </c>
      <c r="E883" s="8">
        <v>15.99</v>
      </c>
      <c r="F883" s="6">
        <v>139</v>
      </c>
      <c r="G883" s="7" t="s">
        <v>73</v>
      </c>
      <c r="H883" s="6">
        <v>4</v>
      </c>
      <c r="I883" s="6">
        <v>5</v>
      </c>
      <c r="J883" s="7" t="b">
        <v>1</v>
      </c>
      <c r="K883" s="6">
        <v>442</v>
      </c>
      <c r="L883" s="6">
        <v>110</v>
      </c>
      <c r="M883" s="7" t="s">
        <v>43</v>
      </c>
      <c r="N883" s="7" t="s">
        <v>56</v>
      </c>
      <c r="O883" s="7" t="s">
        <v>29</v>
      </c>
      <c r="P883" s="5">
        <v>91</v>
      </c>
      <c r="Q883" s="4">
        <v>4.7</v>
      </c>
      <c r="R883" s="7" t="b">
        <v>1</v>
      </c>
      <c r="S883" s="7" t="s">
        <v>30</v>
      </c>
      <c r="T883" s="5">
        <v>4589</v>
      </c>
      <c r="U883" s="7" t="s">
        <v>31</v>
      </c>
      <c r="V883" t="s">
        <v>79</v>
      </c>
      <c r="W883" s="7" t="s">
        <v>40</v>
      </c>
    </row>
    <row r="884" spans="1:23" x14ac:dyDescent="0.3">
      <c r="A884" s="6">
        <v>8960</v>
      </c>
      <c r="B884" s="7" t="s">
        <v>631</v>
      </c>
      <c r="C884" t="s">
        <v>455</v>
      </c>
      <c r="D884" s="1">
        <v>45334</v>
      </c>
      <c r="E884" s="8">
        <v>15.99</v>
      </c>
      <c r="F884" s="6">
        <v>278</v>
      </c>
      <c r="G884" s="7" t="s">
        <v>100</v>
      </c>
      <c r="H884" s="6">
        <v>3</v>
      </c>
      <c r="I884" s="6">
        <v>2</v>
      </c>
      <c r="J884" s="7" t="b">
        <v>1</v>
      </c>
      <c r="K884" s="6">
        <v>382</v>
      </c>
      <c r="L884" s="6">
        <v>25</v>
      </c>
      <c r="M884" s="7" t="s">
        <v>49</v>
      </c>
      <c r="N884" s="7" t="s">
        <v>28</v>
      </c>
      <c r="O884" s="7" t="s">
        <v>78</v>
      </c>
      <c r="P884" s="5">
        <v>72</v>
      </c>
      <c r="Q884" s="4">
        <v>4.4000000000000004</v>
      </c>
      <c r="R884" s="7" t="b">
        <v>0</v>
      </c>
      <c r="S884" s="7" t="s">
        <v>30</v>
      </c>
      <c r="T884" s="5">
        <v>2932</v>
      </c>
      <c r="U884" s="7" t="s">
        <v>31</v>
      </c>
      <c r="V884" t="s">
        <v>79</v>
      </c>
      <c r="W884" s="7" t="s">
        <v>93</v>
      </c>
    </row>
    <row r="885" spans="1:23" x14ac:dyDescent="0.3">
      <c r="A885" s="6">
        <v>6131</v>
      </c>
      <c r="B885" s="7" t="s">
        <v>80</v>
      </c>
      <c r="C885" t="s">
        <v>470</v>
      </c>
      <c r="D885" t="s">
        <v>72</v>
      </c>
      <c r="E885" s="8">
        <v>7.99</v>
      </c>
      <c r="F885" s="6">
        <v>242</v>
      </c>
      <c r="G885" s="7" t="s">
        <v>63</v>
      </c>
      <c r="H885" s="6">
        <v>5</v>
      </c>
      <c r="I885" s="6">
        <v>2</v>
      </c>
      <c r="J885" s="7" t="b">
        <v>1</v>
      </c>
      <c r="K885" s="6">
        <v>156</v>
      </c>
      <c r="L885" s="6">
        <v>166</v>
      </c>
      <c r="M885" s="7" t="s">
        <v>92</v>
      </c>
      <c r="N885" s="7" t="s">
        <v>75</v>
      </c>
      <c r="O885" s="7" t="s">
        <v>29</v>
      </c>
      <c r="P885" s="5">
        <v>53</v>
      </c>
      <c r="Q885" s="4">
        <v>5</v>
      </c>
      <c r="R885" s="7" t="b">
        <v>0</v>
      </c>
      <c r="S885" s="7" t="s">
        <v>30</v>
      </c>
      <c r="T885" s="5">
        <v>1697</v>
      </c>
      <c r="U885" s="7" t="s">
        <v>76</v>
      </c>
      <c r="V885" t="s">
        <v>59</v>
      </c>
      <c r="W885" s="7" t="s">
        <v>33</v>
      </c>
    </row>
    <row r="886" spans="1:23" x14ac:dyDescent="0.3">
      <c r="A886" s="6">
        <v>4114</v>
      </c>
      <c r="B886" s="7" t="s">
        <v>344</v>
      </c>
      <c r="C886" t="s">
        <v>462</v>
      </c>
      <c r="D886" t="s">
        <v>42</v>
      </c>
      <c r="E886" s="8">
        <v>11.99</v>
      </c>
      <c r="F886" s="6">
        <v>251</v>
      </c>
      <c r="G886" s="7" t="s">
        <v>63</v>
      </c>
      <c r="H886" s="6">
        <v>5</v>
      </c>
      <c r="I886" s="6">
        <v>6</v>
      </c>
      <c r="J886" s="7" t="b">
        <v>1</v>
      </c>
      <c r="K886" s="6">
        <v>687</v>
      </c>
      <c r="L886" s="6">
        <v>160</v>
      </c>
      <c r="M886" s="7" t="s">
        <v>55</v>
      </c>
      <c r="N886" s="7" t="s">
        <v>44</v>
      </c>
      <c r="O886" s="7" t="s">
        <v>64</v>
      </c>
      <c r="P886" s="5">
        <v>88</v>
      </c>
      <c r="Q886" s="4">
        <v>4.5</v>
      </c>
      <c r="R886" s="7" t="b">
        <v>0</v>
      </c>
      <c r="S886" s="7" t="s">
        <v>30</v>
      </c>
      <c r="T886" s="5">
        <v>1411</v>
      </c>
      <c r="U886" s="7" t="s">
        <v>76</v>
      </c>
      <c r="V886" t="s">
        <v>59</v>
      </c>
      <c r="W886" s="7" t="s">
        <v>40</v>
      </c>
    </row>
    <row r="887" spans="1:23" x14ac:dyDescent="0.3">
      <c r="A887" s="6">
        <v>4833</v>
      </c>
      <c r="B887" s="7" t="s">
        <v>137</v>
      </c>
      <c r="C887" t="s">
        <v>447</v>
      </c>
      <c r="D887" s="1">
        <v>45577</v>
      </c>
      <c r="E887" s="8">
        <v>7.99</v>
      </c>
      <c r="F887" s="6">
        <v>268</v>
      </c>
      <c r="G887" s="7" t="s">
        <v>36</v>
      </c>
      <c r="H887" s="6">
        <v>4</v>
      </c>
      <c r="I887" s="6">
        <v>4</v>
      </c>
      <c r="J887" s="7" t="b">
        <v>1</v>
      </c>
      <c r="K887" s="6">
        <v>778</v>
      </c>
      <c r="L887" s="6">
        <v>122</v>
      </c>
      <c r="M887" s="7" t="s">
        <v>43</v>
      </c>
      <c r="N887" s="7" t="s">
        <v>56</v>
      </c>
      <c r="O887" s="7" t="s">
        <v>29</v>
      </c>
      <c r="P887" s="5">
        <v>12</v>
      </c>
      <c r="Q887" s="4">
        <v>3.8</v>
      </c>
      <c r="R887" s="7" t="b">
        <v>1</v>
      </c>
      <c r="S887" s="7" t="s">
        <v>30</v>
      </c>
      <c r="T887" s="5">
        <v>3437</v>
      </c>
      <c r="U887" s="7" t="s">
        <v>65</v>
      </c>
      <c r="V887" t="s">
        <v>39</v>
      </c>
      <c r="W887" s="7" t="s">
        <v>40</v>
      </c>
    </row>
    <row r="888" spans="1:23" x14ac:dyDescent="0.3">
      <c r="A888" s="6">
        <v>2401</v>
      </c>
      <c r="B888" s="7" t="s">
        <v>404</v>
      </c>
      <c r="C888" s="1">
        <v>45453</v>
      </c>
      <c r="D888" s="1">
        <v>45334</v>
      </c>
      <c r="E888" s="8">
        <v>7.99</v>
      </c>
      <c r="F888" s="6">
        <v>322</v>
      </c>
      <c r="G888" s="7" t="s">
        <v>73</v>
      </c>
      <c r="H888" s="6">
        <v>4</v>
      </c>
      <c r="I888" s="6">
        <v>6</v>
      </c>
      <c r="J888" s="7" t="b">
        <v>0</v>
      </c>
      <c r="K888" s="6">
        <v>616</v>
      </c>
      <c r="L888" s="6">
        <v>45</v>
      </c>
      <c r="M888" s="7" t="s">
        <v>74</v>
      </c>
      <c r="N888" s="7" t="s">
        <v>28</v>
      </c>
      <c r="O888" s="7" t="s">
        <v>57</v>
      </c>
      <c r="P888" s="5">
        <v>22</v>
      </c>
      <c r="Q888" s="4">
        <v>4.9000000000000004</v>
      </c>
      <c r="R888" s="7" t="b">
        <v>1</v>
      </c>
      <c r="S888" s="7" t="s">
        <v>30</v>
      </c>
      <c r="T888" s="5">
        <v>4509</v>
      </c>
      <c r="U888" s="7" t="s">
        <v>58</v>
      </c>
      <c r="V888" t="s">
        <v>32</v>
      </c>
      <c r="W888" s="7" t="s">
        <v>40</v>
      </c>
    </row>
    <row r="889" spans="1:23" x14ac:dyDescent="0.3">
      <c r="A889" s="6">
        <v>1037</v>
      </c>
      <c r="B889" s="7" t="s">
        <v>150</v>
      </c>
      <c r="C889" t="s">
        <v>700</v>
      </c>
      <c r="D889" t="s">
        <v>90</v>
      </c>
      <c r="E889" s="8">
        <v>7.99</v>
      </c>
      <c r="F889" s="6">
        <v>356</v>
      </c>
      <c r="G889" s="7" t="s">
        <v>51</v>
      </c>
      <c r="H889" s="6">
        <v>3</v>
      </c>
      <c r="I889" s="6">
        <v>3</v>
      </c>
      <c r="J889" s="7" t="b">
        <v>1</v>
      </c>
      <c r="K889" s="6">
        <v>314</v>
      </c>
      <c r="L889" s="6">
        <v>50</v>
      </c>
      <c r="M889" s="7" t="s">
        <v>43</v>
      </c>
      <c r="N889" s="7" t="s">
        <v>56</v>
      </c>
      <c r="O889" s="7" t="s">
        <v>45</v>
      </c>
      <c r="P889" s="5">
        <v>7</v>
      </c>
      <c r="Q889" s="4">
        <v>4.9000000000000004</v>
      </c>
      <c r="R889" s="7" t="b">
        <v>1</v>
      </c>
      <c r="S889" s="7" t="s">
        <v>30</v>
      </c>
      <c r="T889" s="5">
        <v>3165</v>
      </c>
      <c r="U889" s="7" t="s">
        <v>58</v>
      </c>
      <c r="V889" t="s">
        <v>39</v>
      </c>
      <c r="W889" s="7" t="s">
        <v>60</v>
      </c>
    </row>
    <row r="890" spans="1:23" x14ac:dyDescent="0.3">
      <c r="A890" s="6">
        <v>2675</v>
      </c>
      <c r="B890" s="7" t="s">
        <v>701</v>
      </c>
      <c r="C890" t="s">
        <v>702</v>
      </c>
      <c r="D890" s="1">
        <v>45394</v>
      </c>
      <c r="E890" s="8">
        <v>15.99</v>
      </c>
      <c r="F890" s="6">
        <v>28</v>
      </c>
      <c r="G890" s="7" t="s">
        <v>51</v>
      </c>
      <c r="H890" s="6">
        <v>2</v>
      </c>
      <c r="I890" s="6">
        <v>1</v>
      </c>
      <c r="J890" s="7" t="b">
        <v>1</v>
      </c>
      <c r="K890" s="6">
        <v>666</v>
      </c>
      <c r="L890" s="6">
        <v>65</v>
      </c>
      <c r="M890" s="7" t="s">
        <v>92</v>
      </c>
      <c r="N890" s="7" t="s">
        <v>28</v>
      </c>
      <c r="O890" s="7" t="s">
        <v>37</v>
      </c>
      <c r="P890" s="5">
        <v>21</v>
      </c>
      <c r="Q890" s="4">
        <v>4.3</v>
      </c>
      <c r="R890" s="7" t="b">
        <v>0</v>
      </c>
      <c r="S890" s="7" t="s">
        <v>30</v>
      </c>
      <c r="T890" s="5">
        <v>2538</v>
      </c>
      <c r="U890" s="7" t="s">
        <v>38</v>
      </c>
      <c r="V890" t="s">
        <v>59</v>
      </c>
      <c r="W890" s="7" t="s">
        <v>33</v>
      </c>
    </row>
    <row r="891" spans="1:23" x14ac:dyDescent="0.3">
      <c r="A891" s="6">
        <v>1665</v>
      </c>
      <c r="B891" s="7" t="s">
        <v>128</v>
      </c>
      <c r="C891" t="s">
        <v>575</v>
      </c>
      <c r="D891" t="s">
        <v>72</v>
      </c>
      <c r="E891" s="8">
        <v>11.99</v>
      </c>
      <c r="F891" s="6">
        <v>43</v>
      </c>
      <c r="G891" s="7" t="s">
        <v>73</v>
      </c>
      <c r="H891" s="6">
        <v>5</v>
      </c>
      <c r="I891" s="6">
        <v>2</v>
      </c>
      <c r="J891" s="7" t="b">
        <v>0</v>
      </c>
      <c r="K891" s="6">
        <v>767</v>
      </c>
      <c r="L891" s="6">
        <v>83</v>
      </c>
      <c r="M891" s="7" t="s">
        <v>68</v>
      </c>
      <c r="N891" s="7" t="s">
        <v>75</v>
      </c>
      <c r="O891" s="7" t="s">
        <v>37</v>
      </c>
      <c r="P891" s="5">
        <v>58</v>
      </c>
      <c r="Q891" s="4">
        <v>3</v>
      </c>
      <c r="R891" s="7" t="b">
        <v>1</v>
      </c>
      <c r="S891" s="7" t="s">
        <v>30</v>
      </c>
      <c r="T891" s="5">
        <v>245</v>
      </c>
      <c r="U891" s="7" t="s">
        <v>38</v>
      </c>
      <c r="V891" t="s">
        <v>32</v>
      </c>
      <c r="W891" s="7" t="s">
        <v>93</v>
      </c>
    </row>
    <row r="892" spans="1:23" x14ac:dyDescent="0.3">
      <c r="A892" s="6">
        <v>5671</v>
      </c>
      <c r="B892" s="7" t="s">
        <v>274</v>
      </c>
      <c r="C892" t="s">
        <v>557</v>
      </c>
      <c r="D892" t="s">
        <v>168</v>
      </c>
      <c r="E892" s="8">
        <v>11.99</v>
      </c>
      <c r="F892" s="6">
        <v>391</v>
      </c>
      <c r="G892" s="7" t="s">
        <v>36</v>
      </c>
      <c r="H892" s="6">
        <v>3</v>
      </c>
      <c r="I892" s="6">
        <v>3</v>
      </c>
      <c r="J892" s="7" t="b">
        <v>1</v>
      </c>
      <c r="K892" s="6">
        <v>811</v>
      </c>
      <c r="L892" s="6">
        <v>3</v>
      </c>
      <c r="M892" s="7" t="s">
        <v>27</v>
      </c>
      <c r="N892" s="7" t="s">
        <v>28</v>
      </c>
      <c r="O892" s="7" t="s">
        <v>78</v>
      </c>
      <c r="P892" s="5">
        <v>17</v>
      </c>
      <c r="Q892" s="4">
        <v>4.2</v>
      </c>
      <c r="R892" s="7" t="b">
        <v>0</v>
      </c>
      <c r="S892" s="7" t="s">
        <v>30</v>
      </c>
      <c r="T892" s="5">
        <v>1364</v>
      </c>
      <c r="U892" s="7" t="s">
        <v>58</v>
      </c>
      <c r="V892" t="s">
        <v>32</v>
      </c>
      <c r="W892" s="7" t="s">
        <v>60</v>
      </c>
    </row>
    <row r="893" spans="1:23" x14ac:dyDescent="0.3">
      <c r="A893" s="6">
        <v>5153</v>
      </c>
      <c r="B893" s="7" t="s">
        <v>254</v>
      </c>
      <c r="C893" t="s">
        <v>601</v>
      </c>
      <c r="D893" t="s">
        <v>103</v>
      </c>
      <c r="E893" s="8">
        <v>7.99</v>
      </c>
      <c r="F893" s="6">
        <v>300</v>
      </c>
      <c r="G893" s="7" t="s">
        <v>48</v>
      </c>
      <c r="H893" s="6">
        <v>1</v>
      </c>
      <c r="I893" s="6">
        <v>4</v>
      </c>
      <c r="J893" s="7" t="b">
        <v>1</v>
      </c>
      <c r="K893" s="6">
        <v>413</v>
      </c>
      <c r="L893" s="6">
        <v>154</v>
      </c>
      <c r="M893" s="7" t="s">
        <v>43</v>
      </c>
      <c r="N893" s="7" t="s">
        <v>28</v>
      </c>
      <c r="O893" s="7" t="s">
        <v>78</v>
      </c>
      <c r="P893" s="5">
        <v>64</v>
      </c>
      <c r="Q893" s="4">
        <v>4.0999999999999996</v>
      </c>
      <c r="R893" s="7" t="b">
        <v>0</v>
      </c>
      <c r="S893" s="7" t="s">
        <v>30</v>
      </c>
      <c r="T893" s="5">
        <v>732</v>
      </c>
      <c r="U893" s="7" t="s">
        <v>38</v>
      </c>
      <c r="V893" t="s">
        <v>79</v>
      </c>
      <c r="W893" s="7" t="s">
        <v>40</v>
      </c>
    </row>
    <row r="894" spans="1:23" x14ac:dyDescent="0.3">
      <c r="A894" s="6">
        <v>1114</v>
      </c>
      <c r="B894" s="7" t="s">
        <v>325</v>
      </c>
      <c r="C894" s="1">
        <v>44958</v>
      </c>
      <c r="D894" t="s">
        <v>35</v>
      </c>
      <c r="E894" s="8">
        <v>11.99</v>
      </c>
      <c r="F894" s="6">
        <v>75</v>
      </c>
      <c r="G894" s="7" t="s">
        <v>63</v>
      </c>
      <c r="H894" s="6">
        <v>3</v>
      </c>
      <c r="I894" s="6">
        <v>3</v>
      </c>
      <c r="J894" s="7" t="b">
        <v>0</v>
      </c>
      <c r="K894" s="6">
        <v>324</v>
      </c>
      <c r="L894" s="6">
        <v>175</v>
      </c>
      <c r="M894" s="7" t="s">
        <v>27</v>
      </c>
      <c r="N894" s="7" t="s">
        <v>44</v>
      </c>
      <c r="O894" s="7" t="s">
        <v>37</v>
      </c>
      <c r="P894" s="5">
        <v>18</v>
      </c>
      <c r="Q894" s="4">
        <v>3.3</v>
      </c>
      <c r="R894" s="7" t="b">
        <v>0</v>
      </c>
      <c r="S894" s="7" t="s">
        <v>30</v>
      </c>
      <c r="T894" s="5">
        <v>4976</v>
      </c>
      <c r="U894" s="7" t="s">
        <v>76</v>
      </c>
      <c r="V894" t="s">
        <v>69</v>
      </c>
      <c r="W894" s="7" t="s">
        <v>40</v>
      </c>
    </row>
    <row r="895" spans="1:23" x14ac:dyDescent="0.3">
      <c r="A895" s="6">
        <v>6180</v>
      </c>
      <c r="B895" s="7" t="s">
        <v>701</v>
      </c>
      <c r="C895" s="1">
        <v>45543</v>
      </c>
      <c r="D895" s="1">
        <v>45334</v>
      </c>
      <c r="E895" s="8">
        <v>11.99</v>
      </c>
      <c r="F895" s="6">
        <v>154</v>
      </c>
      <c r="G895" s="7" t="s">
        <v>100</v>
      </c>
      <c r="H895" s="6">
        <v>1</v>
      </c>
      <c r="I895" s="6">
        <v>5</v>
      </c>
      <c r="J895" s="7" t="b">
        <v>1</v>
      </c>
      <c r="K895" s="6">
        <v>52</v>
      </c>
      <c r="L895" s="6">
        <v>108</v>
      </c>
      <c r="M895" s="7" t="s">
        <v>74</v>
      </c>
      <c r="N895" s="7" t="s">
        <v>56</v>
      </c>
      <c r="O895" s="7" t="s">
        <v>37</v>
      </c>
      <c r="P895" s="5">
        <v>94</v>
      </c>
      <c r="Q895" s="4">
        <v>4.0999999999999996</v>
      </c>
      <c r="R895" s="7" t="b">
        <v>0</v>
      </c>
      <c r="S895" s="7" t="s">
        <v>30</v>
      </c>
      <c r="T895" s="5">
        <v>4176</v>
      </c>
      <c r="U895" s="7" t="s">
        <v>76</v>
      </c>
      <c r="V895" t="s">
        <v>59</v>
      </c>
      <c r="W895" s="7" t="s">
        <v>33</v>
      </c>
    </row>
    <row r="896" spans="1:23" x14ac:dyDescent="0.3">
      <c r="A896" s="6">
        <v>8237</v>
      </c>
      <c r="B896" s="7" t="s">
        <v>52</v>
      </c>
      <c r="C896" t="s">
        <v>582</v>
      </c>
      <c r="D896" s="1">
        <v>45485</v>
      </c>
      <c r="E896" s="8">
        <v>7.99</v>
      </c>
      <c r="F896" s="6">
        <v>179</v>
      </c>
      <c r="G896" s="7" t="s">
        <v>73</v>
      </c>
      <c r="H896" s="6">
        <v>2</v>
      </c>
      <c r="I896" s="6">
        <v>6</v>
      </c>
      <c r="J896" s="7" t="b">
        <v>0</v>
      </c>
      <c r="K896" s="6">
        <v>680</v>
      </c>
      <c r="L896" s="6">
        <v>50</v>
      </c>
      <c r="M896" s="7" t="s">
        <v>27</v>
      </c>
      <c r="N896" s="7" t="s">
        <v>56</v>
      </c>
      <c r="O896" s="7" t="s">
        <v>64</v>
      </c>
      <c r="P896" s="5">
        <v>52</v>
      </c>
      <c r="Q896" s="4">
        <v>3.4</v>
      </c>
      <c r="R896" s="7" t="b">
        <v>0</v>
      </c>
      <c r="S896" s="7" t="s">
        <v>30</v>
      </c>
      <c r="T896" s="5">
        <v>2919</v>
      </c>
      <c r="U896" s="7" t="s">
        <v>31</v>
      </c>
      <c r="V896" t="s">
        <v>39</v>
      </c>
      <c r="W896" s="7" t="s">
        <v>33</v>
      </c>
    </row>
    <row r="897" spans="1:23" x14ac:dyDescent="0.3">
      <c r="A897" s="6">
        <v>9500</v>
      </c>
      <c r="B897" s="7" t="s">
        <v>703</v>
      </c>
      <c r="C897" t="s">
        <v>570</v>
      </c>
      <c r="D897" s="1">
        <v>45577</v>
      </c>
      <c r="E897" s="8">
        <v>11.99</v>
      </c>
      <c r="F897" s="6">
        <v>147</v>
      </c>
      <c r="G897" s="7" t="s">
        <v>51</v>
      </c>
      <c r="H897" s="6">
        <v>1</v>
      </c>
      <c r="I897" s="6">
        <v>1</v>
      </c>
      <c r="J897" s="7" t="b">
        <v>1</v>
      </c>
      <c r="K897" s="6">
        <v>780</v>
      </c>
      <c r="L897" s="6">
        <v>76</v>
      </c>
      <c r="M897" s="7" t="s">
        <v>27</v>
      </c>
      <c r="N897" s="7" t="s">
        <v>56</v>
      </c>
      <c r="O897" s="7" t="s">
        <v>45</v>
      </c>
      <c r="P897" s="5">
        <v>21</v>
      </c>
      <c r="Q897" s="4">
        <v>4.4000000000000004</v>
      </c>
      <c r="R897" s="7" t="b">
        <v>1</v>
      </c>
      <c r="S897" s="7" t="s">
        <v>30</v>
      </c>
      <c r="T897" s="5">
        <v>3081</v>
      </c>
      <c r="U897" s="7" t="s">
        <v>76</v>
      </c>
      <c r="V897" t="s">
        <v>39</v>
      </c>
      <c r="W897" s="7" t="s">
        <v>33</v>
      </c>
    </row>
    <row r="898" spans="1:23" x14ac:dyDescent="0.3">
      <c r="A898" s="6">
        <v>7476</v>
      </c>
      <c r="B898" s="7" t="s">
        <v>34</v>
      </c>
      <c r="C898" t="s">
        <v>704</v>
      </c>
      <c r="D898" t="s">
        <v>99</v>
      </c>
      <c r="E898" s="8">
        <v>11.99</v>
      </c>
      <c r="F898" s="6">
        <v>235</v>
      </c>
      <c r="G898" s="7" t="s">
        <v>63</v>
      </c>
      <c r="H898" s="6">
        <v>3</v>
      </c>
      <c r="I898" s="6">
        <v>1</v>
      </c>
      <c r="J898" s="7" t="b">
        <v>1</v>
      </c>
      <c r="K898" s="6">
        <v>569</v>
      </c>
      <c r="L898" s="6">
        <v>176</v>
      </c>
      <c r="M898" s="7" t="s">
        <v>92</v>
      </c>
      <c r="N898" s="7" t="s">
        <v>44</v>
      </c>
      <c r="O898" s="7" t="s">
        <v>78</v>
      </c>
      <c r="P898" s="5">
        <v>18</v>
      </c>
      <c r="Q898" s="4">
        <v>3.8</v>
      </c>
      <c r="R898" s="7" t="b">
        <v>1</v>
      </c>
      <c r="S898" s="7" t="s">
        <v>30</v>
      </c>
      <c r="T898" s="5">
        <v>3138</v>
      </c>
      <c r="U898" s="7" t="s">
        <v>38</v>
      </c>
      <c r="V898" t="s">
        <v>32</v>
      </c>
      <c r="W898" s="7" t="s">
        <v>93</v>
      </c>
    </row>
    <row r="899" spans="1:23" x14ac:dyDescent="0.3">
      <c r="A899" s="6">
        <v>9908</v>
      </c>
      <c r="B899" s="7" t="s">
        <v>624</v>
      </c>
      <c r="C899" s="1">
        <v>44986</v>
      </c>
      <c r="D899" s="1">
        <v>45394</v>
      </c>
      <c r="E899" s="8">
        <v>11.99</v>
      </c>
      <c r="F899" s="6">
        <v>390</v>
      </c>
      <c r="G899" s="7" t="s">
        <v>100</v>
      </c>
      <c r="H899" s="6">
        <v>3</v>
      </c>
      <c r="I899" s="6">
        <v>1</v>
      </c>
      <c r="J899" s="7" t="b">
        <v>0</v>
      </c>
      <c r="K899" s="6">
        <v>256</v>
      </c>
      <c r="L899" s="6">
        <v>183</v>
      </c>
      <c r="M899" s="7" t="s">
        <v>74</v>
      </c>
      <c r="N899" s="7" t="s">
        <v>56</v>
      </c>
      <c r="O899" s="7" t="s">
        <v>37</v>
      </c>
      <c r="P899" s="5">
        <v>89</v>
      </c>
      <c r="Q899" s="4">
        <v>3.2</v>
      </c>
      <c r="R899" s="7" t="b">
        <v>1</v>
      </c>
      <c r="S899" s="7" t="s">
        <v>30</v>
      </c>
      <c r="T899" s="5">
        <v>1180</v>
      </c>
      <c r="U899" s="7" t="s">
        <v>58</v>
      </c>
      <c r="V899" t="s">
        <v>69</v>
      </c>
      <c r="W899" s="7" t="s">
        <v>40</v>
      </c>
    </row>
    <row r="900" spans="1:23" x14ac:dyDescent="0.3">
      <c r="A900" s="6">
        <v>1534</v>
      </c>
      <c r="B900" s="7" t="s">
        <v>52</v>
      </c>
      <c r="C900" t="s">
        <v>205</v>
      </c>
      <c r="D900" t="s">
        <v>103</v>
      </c>
      <c r="E900" s="8">
        <v>7.99</v>
      </c>
      <c r="F900" s="6">
        <v>116</v>
      </c>
      <c r="G900" s="7" t="s">
        <v>26</v>
      </c>
      <c r="H900" s="6">
        <v>1</v>
      </c>
      <c r="I900" s="6">
        <v>4</v>
      </c>
      <c r="J900" s="7" t="b">
        <v>0</v>
      </c>
      <c r="K900" s="6">
        <v>799</v>
      </c>
      <c r="L900" s="6">
        <v>137</v>
      </c>
      <c r="M900" s="7" t="s">
        <v>27</v>
      </c>
      <c r="N900" s="7" t="s">
        <v>56</v>
      </c>
      <c r="O900" s="7" t="s">
        <v>45</v>
      </c>
      <c r="P900" s="5">
        <v>78</v>
      </c>
      <c r="Q900" s="4">
        <v>4.5999999999999996</v>
      </c>
      <c r="R900" s="7" t="b">
        <v>1</v>
      </c>
      <c r="S900" s="7" t="s">
        <v>30</v>
      </c>
      <c r="T900" s="5">
        <v>4518</v>
      </c>
      <c r="U900" s="7" t="s">
        <v>38</v>
      </c>
      <c r="V900" t="s">
        <v>79</v>
      </c>
      <c r="W900" s="7" t="s">
        <v>40</v>
      </c>
    </row>
    <row r="901" spans="1:23" x14ac:dyDescent="0.3">
      <c r="A901" s="6">
        <v>4613</v>
      </c>
      <c r="B901" s="7" t="s">
        <v>114</v>
      </c>
      <c r="C901" s="1">
        <v>44988</v>
      </c>
      <c r="D901" s="1">
        <v>45394</v>
      </c>
      <c r="E901" s="8">
        <v>15.99</v>
      </c>
      <c r="F901" s="6">
        <v>492</v>
      </c>
      <c r="G901" s="7" t="s">
        <v>26</v>
      </c>
      <c r="H901" s="6">
        <v>1</v>
      </c>
      <c r="I901" s="6">
        <v>2</v>
      </c>
      <c r="J901" s="7" t="b">
        <v>0</v>
      </c>
      <c r="K901" s="6">
        <v>237</v>
      </c>
      <c r="L901" s="6">
        <v>55</v>
      </c>
      <c r="M901" s="7" t="s">
        <v>68</v>
      </c>
      <c r="N901" s="7" t="s">
        <v>75</v>
      </c>
      <c r="O901" s="7" t="s">
        <v>45</v>
      </c>
      <c r="P901" s="5">
        <v>15</v>
      </c>
      <c r="Q901" s="4">
        <v>4.9000000000000004</v>
      </c>
      <c r="R901" s="7" t="b">
        <v>1</v>
      </c>
      <c r="S901" s="7" t="s">
        <v>30</v>
      </c>
      <c r="T901" s="5">
        <v>3843</v>
      </c>
      <c r="U901" s="7" t="s">
        <v>31</v>
      </c>
      <c r="V901" t="s">
        <v>32</v>
      </c>
      <c r="W901" s="7" t="s">
        <v>40</v>
      </c>
    </row>
    <row r="902" spans="1:23" x14ac:dyDescent="0.3">
      <c r="A902" s="6">
        <v>5063</v>
      </c>
      <c r="B902" s="7" t="s">
        <v>491</v>
      </c>
      <c r="C902" s="1">
        <v>45388</v>
      </c>
      <c r="D902" t="s">
        <v>82</v>
      </c>
      <c r="E902" s="8">
        <v>7.99</v>
      </c>
      <c r="F902" s="6">
        <v>159</v>
      </c>
      <c r="G902" s="7" t="s">
        <v>26</v>
      </c>
      <c r="H902" s="6">
        <v>4</v>
      </c>
      <c r="I902" s="6">
        <v>5</v>
      </c>
      <c r="J902" s="7" t="b">
        <v>1</v>
      </c>
      <c r="K902" s="6">
        <v>138</v>
      </c>
      <c r="L902" s="6">
        <v>3</v>
      </c>
      <c r="M902" s="7" t="s">
        <v>74</v>
      </c>
      <c r="N902" s="7" t="s">
        <v>44</v>
      </c>
      <c r="O902" s="7" t="s">
        <v>29</v>
      </c>
      <c r="P902" s="5">
        <v>12</v>
      </c>
      <c r="Q902" s="4">
        <v>3.9</v>
      </c>
      <c r="R902" s="7" t="b">
        <v>1</v>
      </c>
      <c r="S902" s="7" t="s">
        <v>30</v>
      </c>
      <c r="T902" s="5">
        <v>3604</v>
      </c>
      <c r="U902" s="7" t="s">
        <v>65</v>
      </c>
      <c r="V902" t="s">
        <v>39</v>
      </c>
      <c r="W902" s="7" t="s">
        <v>60</v>
      </c>
    </row>
    <row r="903" spans="1:23" x14ac:dyDescent="0.3">
      <c r="A903" s="6">
        <v>4548</v>
      </c>
      <c r="B903" s="7" t="s">
        <v>244</v>
      </c>
      <c r="C903" s="1">
        <v>45144</v>
      </c>
      <c r="D903" t="s">
        <v>84</v>
      </c>
      <c r="E903" s="8">
        <v>7.99</v>
      </c>
      <c r="F903" s="6">
        <v>279</v>
      </c>
      <c r="G903" s="7" t="s">
        <v>100</v>
      </c>
      <c r="H903" s="6">
        <v>4</v>
      </c>
      <c r="I903" s="6">
        <v>6</v>
      </c>
      <c r="J903" s="7" t="b">
        <v>0</v>
      </c>
      <c r="K903" s="6">
        <v>636</v>
      </c>
      <c r="L903" s="6">
        <v>176</v>
      </c>
      <c r="M903" s="7" t="s">
        <v>92</v>
      </c>
      <c r="N903" s="7" t="s">
        <v>75</v>
      </c>
      <c r="O903" s="7" t="s">
        <v>78</v>
      </c>
      <c r="P903" s="5">
        <v>32</v>
      </c>
      <c r="Q903" s="4">
        <v>3.7</v>
      </c>
      <c r="R903" s="7" t="b">
        <v>1</v>
      </c>
      <c r="S903" s="7" t="s">
        <v>30</v>
      </c>
      <c r="T903" s="5">
        <v>4445</v>
      </c>
      <c r="U903" s="7" t="s">
        <v>31</v>
      </c>
      <c r="V903" t="s">
        <v>39</v>
      </c>
      <c r="W903" s="7" t="s">
        <v>93</v>
      </c>
    </row>
    <row r="904" spans="1:23" x14ac:dyDescent="0.3">
      <c r="A904" s="6">
        <v>7556</v>
      </c>
      <c r="B904" s="7" t="s">
        <v>598</v>
      </c>
      <c r="C904" t="s">
        <v>324</v>
      </c>
      <c r="D904" t="s">
        <v>214</v>
      </c>
      <c r="E904" s="8">
        <v>15.99</v>
      </c>
      <c r="F904" s="6">
        <v>386</v>
      </c>
      <c r="G904" s="7" t="s">
        <v>26</v>
      </c>
      <c r="H904" s="6">
        <v>2</v>
      </c>
      <c r="I904" s="6">
        <v>6</v>
      </c>
      <c r="J904" s="7" t="b">
        <v>1</v>
      </c>
      <c r="K904" s="6">
        <v>461</v>
      </c>
      <c r="L904" s="6">
        <v>178</v>
      </c>
      <c r="M904" s="7" t="s">
        <v>27</v>
      </c>
      <c r="N904" s="7" t="s">
        <v>75</v>
      </c>
      <c r="O904" s="7" t="s">
        <v>29</v>
      </c>
      <c r="P904" s="5">
        <v>79</v>
      </c>
      <c r="Q904" s="4">
        <v>3.7</v>
      </c>
      <c r="R904" s="7" t="b">
        <v>0</v>
      </c>
      <c r="S904" s="7" t="s">
        <v>30</v>
      </c>
      <c r="T904" s="5">
        <v>1587</v>
      </c>
      <c r="U904" s="7" t="s">
        <v>76</v>
      </c>
      <c r="V904" t="s">
        <v>32</v>
      </c>
      <c r="W904" s="7" t="s">
        <v>93</v>
      </c>
    </row>
    <row r="905" spans="1:23" x14ac:dyDescent="0.3">
      <c r="A905" s="6">
        <v>1846</v>
      </c>
      <c r="B905" s="7" t="s">
        <v>705</v>
      </c>
      <c r="C905" t="s">
        <v>392</v>
      </c>
      <c r="D905" s="1">
        <v>45485</v>
      </c>
      <c r="E905" s="8">
        <v>15.99</v>
      </c>
      <c r="F905" s="6">
        <v>332</v>
      </c>
      <c r="G905" s="7" t="s">
        <v>48</v>
      </c>
      <c r="H905" s="6">
        <v>1</v>
      </c>
      <c r="I905" s="6">
        <v>6</v>
      </c>
      <c r="J905" s="7" t="b">
        <v>0</v>
      </c>
      <c r="K905" s="6">
        <v>20</v>
      </c>
      <c r="L905" s="6">
        <v>128</v>
      </c>
      <c r="M905" s="7" t="s">
        <v>68</v>
      </c>
      <c r="N905" s="7" t="s">
        <v>56</v>
      </c>
      <c r="O905" s="7" t="s">
        <v>64</v>
      </c>
      <c r="P905" s="5">
        <v>50</v>
      </c>
      <c r="Q905" s="4">
        <v>5</v>
      </c>
      <c r="R905" s="7" t="b">
        <v>0</v>
      </c>
      <c r="S905" s="7" t="s">
        <v>30</v>
      </c>
      <c r="T905" s="5">
        <v>4400</v>
      </c>
      <c r="U905" s="7" t="s">
        <v>58</v>
      </c>
      <c r="V905" t="s">
        <v>69</v>
      </c>
      <c r="W905" s="7" t="s">
        <v>33</v>
      </c>
    </row>
    <row r="906" spans="1:23" x14ac:dyDescent="0.3">
      <c r="A906" s="6">
        <v>7088</v>
      </c>
      <c r="B906" s="7" t="s">
        <v>120</v>
      </c>
      <c r="C906" s="1">
        <v>45292</v>
      </c>
      <c r="D906" t="s">
        <v>134</v>
      </c>
      <c r="E906" s="8">
        <v>11.99</v>
      </c>
      <c r="F906" s="6">
        <v>176</v>
      </c>
      <c r="G906" s="7" t="s">
        <v>51</v>
      </c>
      <c r="H906" s="6">
        <v>5</v>
      </c>
      <c r="I906" s="6">
        <v>5</v>
      </c>
      <c r="J906" s="7" t="b">
        <v>1</v>
      </c>
      <c r="K906" s="6">
        <v>276</v>
      </c>
      <c r="L906" s="6">
        <v>138</v>
      </c>
      <c r="M906" s="7" t="s">
        <v>68</v>
      </c>
      <c r="N906" s="7" t="s">
        <v>28</v>
      </c>
      <c r="O906" s="7" t="s">
        <v>57</v>
      </c>
      <c r="P906" s="5">
        <v>56</v>
      </c>
      <c r="Q906" s="4">
        <v>4.7</v>
      </c>
      <c r="R906" s="7" t="b">
        <v>0</v>
      </c>
      <c r="S906" s="7" t="s">
        <v>30</v>
      </c>
      <c r="T906" s="5">
        <v>2891</v>
      </c>
      <c r="U906" s="7" t="s">
        <v>31</v>
      </c>
      <c r="V906" t="s">
        <v>59</v>
      </c>
      <c r="W906" s="7" t="s">
        <v>60</v>
      </c>
    </row>
    <row r="907" spans="1:23" x14ac:dyDescent="0.3">
      <c r="A907" s="6">
        <v>1179</v>
      </c>
      <c r="B907" s="7" t="s">
        <v>395</v>
      </c>
      <c r="C907" s="1">
        <v>45479</v>
      </c>
      <c r="D907" t="s">
        <v>103</v>
      </c>
      <c r="E907" s="8">
        <v>11.99</v>
      </c>
      <c r="F907" s="6">
        <v>221</v>
      </c>
      <c r="G907" s="7" t="s">
        <v>100</v>
      </c>
      <c r="H907" s="6">
        <v>4</v>
      </c>
      <c r="I907" s="6">
        <v>1</v>
      </c>
      <c r="J907" s="7" t="b">
        <v>1</v>
      </c>
      <c r="K907" s="6">
        <v>603</v>
      </c>
      <c r="L907" s="6">
        <v>141</v>
      </c>
      <c r="M907" s="7" t="s">
        <v>74</v>
      </c>
      <c r="N907" s="7" t="s">
        <v>75</v>
      </c>
      <c r="O907" s="7" t="s">
        <v>29</v>
      </c>
      <c r="P907" s="5">
        <v>44</v>
      </c>
      <c r="Q907" s="4">
        <v>3.3</v>
      </c>
      <c r="R907" s="7" t="b">
        <v>1</v>
      </c>
      <c r="S907" s="7" t="s">
        <v>30</v>
      </c>
      <c r="T907" s="5">
        <v>1363</v>
      </c>
      <c r="U907" s="7" t="s">
        <v>31</v>
      </c>
      <c r="V907" t="s">
        <v>32</v>
      </c>
      <c r="W907" s="7" t="s">
        <v>93</v>
      </c>
    </row>
    <row r="908" spans="1:23" x14ac:dyDescent="0.3">
      <c r="A908" s="6">
        <v>2190</v>
      </c>
      <c r="B908" s="7" t="s">
        <v>682</v>
      </c>
      <c r="C908" t="s">
        <v>198</v>
      </c>
      <c r="D908" s="1">
        <v>45424</v>
      </c>
      <c r="E908" s="8">
        <v>7.99</v>
      </c>
      <c r="F908" s="6">
        <v>263</v>
      </c>
      <c r="G908" s="7" t="s">
        <v>63</v>
      </c>
      <c r="H908" s="6">
        <v>4</v>
      </c>
      <c r="I908" s="6">
        <v>1</v>
      </c>
      <c r="J908" s="7" t="b">
        <v>1</v>
      </c>
      <c r="K908" s="6">
        <v>799</v>
      </c>
      <c r="L908" s="6">
        <v>14</v>
      </c>
      <c r="M908" s="7" t="s">
        <v>27</v>
      </c>
      <c r="N908" s="7" t="s">
        <v>56</v>
      </c>
      <c r="O908" s="7" t="s">
        <v>45</v>
      </c>
      <c r="P908" s="5">
        <v>32</v>
      </c>
      <c r="Q908" s="4">
        <v>3.3</v>
      </c>
      <c r="R908" s="7" t="b">
        <v>0</v>
      </c>
      <c r="S908" s="7" t="s">
        <v>30</v>
      </c>
      <c r="T908" s="5">
        <v>2323</v>
      </c>
      <c r="U908" s="7" t="s">
        <v>58</v>
      </c>
      <c r="V908" t="s">
        <v>79</v>
      </c>
      <c r="W908" s="7" t="s">
        <v>40</v>
      </c>
    </row>
    <row r="909" spans="1:23" x14ac:dyDescent="0.3">
      <c r="A909" s="6">
        <v>2847</v>
      </c>
      <c r="B909" s="7" t="s">
        <v>98</v>
      </c>
      <c r="C909" t="s">
        <v>616</v>
      </c>
      <c r="D909" t="s">
        <v>99</v>
      </c>
      <c r="E909" s="8">
        <v>15.99</v>
      </c>
      <c r="F909" s="6">
        <v>222</v>
      </c>
      <c r="G909" s="7" t="s">
        <v>51</v>
      </c>
      <c r="H909" s="6">
        <v>1</v>
      </c>
      <c r="I909" s="6">
        <v>3</v>
      </c>
      <c r="J909" s="7" t="b">
        <v>0</v>
      </c>
      <c r="K909" s="6">
        <v>785</v>
      </c>
      <c r="L909" s="6">
        <v>147</v>
      </c>
      <c r="M909" s="7" t="s">
        <v>92</v>
      </c>
      <c r="N909" s="7" t="s">
        <v>56</v>
      </c>
      <c r="O909" s="7" t="s">
        <v>45</v>
      </c>
      <c r="P909" s="5">
        <v>21</v>
      </c>
      <c r="Q909" s="4">
        <v>4.8</v>
      </c>
      <c r="R909" s="7" t="b">
        <v>1</v>
      </c>
      <c r="S909" s="7" t="s">
        <v>30</v>
      </c>
      <c r="T909" s="5">
        <v>4291</v>
      </c>
      <c r="U909" s="7" t="s">
        <v>58</v>
      </c>
      <c r="V909" t="s">
        <v>69</v>
      </c>
      <c r="W909" s="7" t="s">
        <v>60</v>
      </c>
    </row>
    <row r="910" spans="1:23" x14ac:dyDescent="0.3">
      <c r="A910" s="6">
        <v>6570</v>
      </c>
      <c r="B910" s="7" t="s">
        <v>304</v>
      </c>
      <c r="C910" s="1">
        <v>45516</v>
      </c>
      <c r="D910" s="1">
        <v>45638</v>
      </c>
      <c r="E910" s="8">
        <v>11.99</v>
      </c>
      <c r="F910" s="6">
        <v>39</v>
      </c>
      <c r="G910" s="7" t="s">
        <v>100</v>
      </c>
      <c r="H910" s="6">
        <v>5</v>
      </c>
      <c r="I910" s="6">
        <v>3</v>
      </c>
      <c r="J910" s="7" t="b">
        <v>1</v>
      </c>
      <c r="K910" s="6">
        <v>28</v>
      </c>
      <c r="L910" s="6">
        <v>189</v>
      </c>
      <c r="M910" s="7" t="s">
        <v>43</v>
      </c>
      <c r="N910" s="7" t="s">
        <v>56</v>
      </c>
      <c r="O910" s="7" t="s">
        <v>78</v>
      </c>
      <c r="P910" s="5">
        <v>26</v>
      </c>
      <c r="Q910" s="4">
        <v>4.5999999999999996</v>
      </c>
      <c r="R910" s="7" t="b">
        <v>1</v>
      </c>
      <c r="S910" s="7" t="s">
        <v>30</v>
      </c>
      <c r="T910" s="5">
        <v>4938</v>
      </c>
      <c r="U910" s="7" t="s">
        <v>31</v>
      </c>
      <c r="V910" t="s">
        <v>79</v>
      </c>
      <c r="W910" s="7" t="s">
        <v>40</v>
      </c>
    </row>
    <row r="911" spans="1:23" x14ac:dyDescent="0.3">
      <c r="A911" s="6">
        <v>1149</v>
      </c>
      <c r="B911" s="7" t="s">
        <v>157</v>
      </c>
      <c r="C911" t="s">
        <v>397</v>
      </c>
      <c r="D911" t="s">
        <v>105</v>
      </c>
      <c r="E911" s="8">
        <v>11.99</v>
      </c>
      <c r="F911" s="6">
        <v>445</v>
      </c>
      <c r="G911" s="7" t="s">
        <v>26</v>
      </c>
      <c r="H911" s="6">
        <v>3</v>
      </c>
      <c r="I911" s="6">
        <v>2</v>
      </c>
      <c r="J911" s="7" t="b">
        <v>1</v>
      </c>
      <c r="K911" s="6">
        <v>637</v>
      </c>
      <c r="L911" s="6">
        <v>14</v>
      </c>
      <c r="M911" s="7" t="s">
        <v>27</v>
      </c>
      <c r="N911" s="7" t="s">
        <v>44</v>
      </c>
      <c r="O911" s="7" t="s">
        <v>78</v>
      </c>
      <c r="P911" s="5">
        <v>50</v>
      </c>
      <c r="Q911" s="4">
        <v>3.2</v>
      </c>
      <c r="R911" s="7" t="b">
        <v>1</v>
      </c>
      <c r="S911" s="7" t="s">
        <v>30</v>
      </c>
      <c r="T911" s="5">
        <v>913</v>
      </c>
      <c r="U911" s="7" t="s">
        <v>38</v>
      </c>
      <c r="V911" t="s">
        <v>69</v>
      </c>
      <c r="W911" s="7" t="s">
        <v>33</v>
      </c>
    </row>
    <row r="912" spans="1:23" x14ac:dyDescent="0.3">
      <c r="A912" s="6">
        <v>1336</v>
      </c>
      <c r="B912" s="7" t="s">
        <v>153</v>
      </c>
      <c r="C912" t="s">
        <v>371</v>
      </c>
      <c r="D912" s="1">
        <v>45577</v>
      </c>
      <c r="E912" s="8">
        <v>11.99</v>
      </c>
      <c r="F912" s="6">
        <v>164</v>
      </c>
      <c r="G912" s="7" t="s">
        <v>48</v>
      </c>
      <c r="H912" s="6">
        <v>3</v>
      </c>
      <c r="I912" s="6">
        <v>3</v>
      </c>
      <c r="J912" s="7" t="b">
        <v>1</v>
      </c>
      <c r="K912" s="6">
        <v>79</v>
      </c>
      <c r="L912" s="6">
        <v>130</v>
      </c>
      <c r="M912" s="7" t="s">
        <v>43</v>
      </c>
      <c r="N912" s="7" t="s">
        <v>28</v>
      </c>
      <c r="O912" s="7" t="s">
        <v>78</v>
      </c>
      <c r="P912" s="5">
        <v>47</v>
      </c>
      <c r="Q912" s="4">
        <v>3.9</v>
      </c>
      <c r="R912" s="7" t="b">
        <v>0</v>
      </c>
      <c r="S912" s="7" t="s">
        <v>30</v>
      </c>
      <c r="T912" s="5">
        <v>3925</v>
      </c>
      <c r="U912" s="7" t="s">
        <v>65</v>
      </c>
      <c r="V912" t="s">
        <v>79</v>
      </c>
      <c r="W912" s="7" t="s">
        <v>60</v>
      </c>
    </row>
    <row r="913" spans="1:23" x14ac:dyDescent="0.3">
      <c r="A913" s="6">
        <v>6956</v>
      </c>
      <c r="B913" s="7" t="s">
        <v>291</v>
      </c>
      <c r="C913" t="s">
        <v>668</v>
      </c>
      <c r="D913" t="s">
        <v>156</v>
      </c>
      <c r="E913" s="8">
        <v>15.99</v>
      </c>
      <c r="F913" s="6">
        <v>101</v>
      </c>
      <c r="G913" s="7" t="s">
        <v>48</v>
      </c>
      <c r="H913" s="6">
        <v>5</v>
      </c>
      <c r="I913" s="6">
        <v>1</v>
      </c>
      <c r="J913" s="7" t="b">
        <v>1</v>
      </c>
      <c r="K913" s="6">
        <v>175</v>
      </c>
      <c r="L913" s="6">
        <v>125</v>
      </c>
      <c r="M913" s="7" t="s">
        <v>55</v>
      </c>
      <c r="N913" s="7" t="s">
        <v>44</v>
      </c>
      <c r="O913" s="7" t="s">
        <v>45</v>
      </c>
      <c r="P913" s="5">
        <v>44</v>
      </c>
      <c r="Q913" s="4">
        <v>3.6</v>
      </c>
      <c r="R913" s="7" t="b">
        <v>1</v>
      </c>
      <c r="S913" s="7" t="s">
        <v>30</v>
      </c>
      <c r="T913" s="5">
        <v>2517</v>
      </c>
      <c r="U913" s="7" t="s">
        <v>65</v>
      </c>
      <c r="V913" t="s">
        <v>79</v>
      </c>
      <c r="W913" s="7" t="s">
        <v>40</v>
      </c>
    </row>
    <row r="914" spans="1:23" x14ac:dyDescent="0.3">
      <c r="A914" s="6">
        <v>7015</v>
      </c>
      <c r="B914" s="7" t="s">
        <v>675</v>
      </c>
      <c r="C914" s="1">
        <v>45332</v>
      </c>
      <c r="D914" s="1">
        <v>45547</v>
      </c>
      <c r="E914" s="8">
        <v>11.99</v>
      </c>
      <c r="F914" s="6">
        <v>424</v>
      </c>
      <c r="G914" s="7" t="s">
        <v>36</v>
      </c>
      <c r="H914" s="6">
        <v>1</v>
      </c>
      <c r="I914" s="6">
        <v>3</v>
      </c>
      <c r="J914" s="7" t="b">
        <v>1</v>
      </c>
      <c r="K914" s="6">
        <v>684</v>
      </c>
      <c r="L914" s="6">
        <v>127</v>
      </c>
      <c r="M914" s="7" t="s">
        <v>74</v>
      </c>
      <c r="N914" s="7" t="s">
        <v>75</v>
      </c>
      <c r="O914" s="7" t="s">
        <v>45</v>
      </c>
      <c r="P914" s="5">
        <v>97</v>
      </c>
      <c r="Q914" s="4">
        <v>4.5999999999999996</v>
      </c>
      <c r="R914" s="7" t="b">
        <v>0</v>
      </c>
      <c r="S914" s="7" t="s">
        <v>30</v>
      </c>
      <c r="T914" s="5">
        <v>2070</v>
      </c>
      <c r="U914" s="7" t="s">
        <v>65</v>
      </c>
      <c r="V914" t="s">
        <v>39</v>
      </c>
      <c r="W914" s="7" t="s">
        <v>33</v>
      </c>
    </row>
    <row r="915" spans="1:23" x14ac:dyDescent="0.3">
      <c r="A915" s="6">
        <v>4104</v>
      </c>
      <c r="B915" s="7" t="s">
        <v>706</v>
      </c>
      <c r="C915" t="s">
        <v>707</v>
      </c>
      <c r="D915" t="s">
        <v>84</v>
      </c>
      <c r="E915" s="8">
        <v>15.99</v>
      </c>
      <c r="F915" s="6">
        <v>182</v>
      </c>
      <c r="G915" s="7" t="s">
        <v>48</v>
      </c>
      <c r="H915" s="6">
        <v>4</v>
      </c>
      <c r="I915" s="6">
        <v>5</v>
      </c>
      <c r="J915" s="7" t="b">
        <v>0</v>
      </c>
      <c r="K915" s="6">
        <v>247</v>
      </c>
      <c r="L915" s="6">
        <v>197</v>
      </c>
      <c r="M915" s="7" t="s">
        <v>27</v>
      </c>
      <c r="N915" s="7" t="s">
        <v>75</v>
      </c>
      <c r="O915" s="7" t="s">
        <v>78</v>
      </c>
      <c r="P915" s="5">
        <v>90</v>
      </c>
      <c r="Q915" s="4">
        <v>4.7</v>
      </c>
      <c r="R915" s="7" t="b">
        <v>0</v>
      </c>
      <c r="S915" s="7" t="s">
        <v>30</v>
      </c>
      <c r="T915" s="5">
        <v>4726</v>
      </c>
      <c r="U915" s="7" t="s">
        <v>65</v>
      </c>
      <c r="V915" t="s">
        <v>32</v>
      </c>
      <c r="W915" s="7" t="s">
        <v>40</v>
      </c>
    </row>
    <row r="916" spans="1:23" x14ac:dyDescent="0.3">
      <c r="A916" s="6">
        <v>9413</v>
      </c>
      <c r="B916" s="7" t="s">
        <v>128</v>
      </c>
      <c r="C916" t="s">
        <v>708</v>
      </c>
      <c r="D916" s="1">
        <v>45363</v>
      </c>
      <c r="E916" s="8">
        <v>15.99</v>
      </c>
      <c r="F916" s="6">
        <v>115</v>
      </c>
      <c r="G916" s="7" t="s">
        <v>48</v>
      </c>
      <c r="H916" s="6">
        <v>2</v>
      </c>
      <c r="I916" s="6">
        <v>3</v>
      </c>
      <c r="J916" s="7" t="b">
        <v>1</v>
      </c>
      <c r="K916" s="6">
        <v>741</v>
      </c>
      <c r="L916" s="6">
        <v>68</v>
      </c>
      <c r="M916" s="7" t="s">
        <v>27</v>
      </c>
      <c r="N916" s="7" t="s">
        <v>75</v>
      </c>
      <c r="O916" s="7" t="s">
        <v>29</v>
      </c>
      <c r="P916" s="5">
        <v>30</v>
      </c>
      <c r="Q916" s="4">
        <v>5</v>
      </c>
      <c r="R916" s="7" t="b">
        <v>1</v>
      </c>
      <c r="S916" s="7" t="s">
        <v>30</v>
      </c>
      <c r="T916" s="5">
        <v>1536</v>
      </c>
      <c r="U916" s="7" t="s">
        <v>31</v>
      </c>
      <c r="V916" t="s">
        <v>32</v>
      </c>
      <c r="W916" s="7" t="s">
        <v>60</v>
      </c>
    </row>
    <row r="917" spans="1:23" x14ac:dyDescent="0.3">
      <c r="A917" s="6">
        <v>8300</v>
      </c>
      <c r="B917" s="7" t="s">
        <v>260</v>
      </c>
      <c r="C917" t="s">
        <v>571</v>
      </c>
      <c r="D917" t="s">
        <v>25</v>
      </c>
      <c r="E917" s="8">
        <v>15.99</v>
      </c>
      <c r="F917" s="6">
        <v>33</v>
      </c>
      <c r="G917" s="7" t="s">
        <v>51</v>
      </c>
      <c r="H917" s="6">
        <v>1</v>
      </c>
      <c r="I917" s="6">
        <v>4</v>
      </c>
      <c r="J917" s="7" t="b">
        <v>0</v>
      </c>
      <c r="K917" s="6">
        <v>623</v>
      </c>
      <c r="L917" s="6">
        <v>53</v>
      </c>
      <c r="M917" s="7" t="s">
        <v>43</v>
      </c>
      <c r="N917" s="7" t="s">
        <v>56</v>
      </c>
      <c r="O917" s="7" t="s">
        <v>64</v>
      </c>
      <c r="P917" s="5">
        <v>17</v>
      </c>
      <c r="Q917" s="4">
        <v>3.5</v>
      </c>
      <c r="R917" s="7" t="b">
        <v>0</v>
      </c>
      <c r="S917" s="7" t="s">
        <v>30</v>
      </c>
      <c r="T917" s="5">
        <v>2113</v>
      </c>
      <c r="U917" s="7" t="s">
        <v>38</v>
      </c>
      <c r="V917" t="s">
        <v>79</v>
      </c>
      <c r="W917" s="7" t="s">
        <v>93</v>
      </c>
    </row>
    <row r="918" spans="1:23" x14ac:dyDescent="0.3">
      <c r="A918" s="6">
        <v>5126</v>
      </c>
      <c r="B918" s="7" t="s">
        <v>272</v>
      </c>
      <c r="C918" s="1">
        <v>45448</v>
      </c>
      <c r="D918" s="1">
        <v>45363</v>
      </c>
      <c r="E918" s="8">
        <v>7.99</v>
      </c>
      <c r="F918" s="6">
        <v>259</v>
      </c>
      <c r="G918" s="7" t="s">
        <v>36</v>
      </c>
      <c r="H918" s="6">
        <v>1</v>
      </c>
      <c r="I918" s="6">
        <v>1</v>
      </c>
      <c r="J918" s="7" t="b">
        <v>1</v>
      </c>
      <c r="K918" s="6">
        <v>327</v>
      </c>
      <c r="L918" s="6">
        <v>76</v>
      </c>
      <c r="M918" s="7" t="s">
        <v>49</v>
      </c>
      <c r="N918" s="7" t="s">
        <v>28</v>
      </c>
      <c r="O918" s="7" t="s">
        <v>78</v>
      </c>
      <c r="P918" s="5">
        <v>9</v>
      </c>
      <c r="Q918" s="4">
        <v>4.3</v>
      </c>
      <c r="R918" s="7" t="b">
        <v>1</v>
      </c>
      <c r="S918" s="7" t="s">
        <v>30</v>
      </c>
      <c r="T918" s="5">
        <v>428</v>
      </c>
      <c r="U918" s="7" t="s">
        <v>76</v>
      </c>
      <c r="V918" t="s">
        <v>39</v>
      </c>
      <c r="W918" s="7" t="s">
        <v>93</v>
      </c>
    </row>
    <row r="919" spans="1:23" x14ac:dyDescent="0.3">
      <c r="A919" s="6">
        <v>1754</v>
      </c>
      <c r="B919" s="7" t="s">
        <v>70</v>
      </c>
      <c r="C919" t="s">
        <v>108</v>
      </c>
      <c r="D919" t="s">
        <v>84</v>
      </c>
      <c r="E919" s="8">
        <v>15.99</v>
      </c>
      <c r="F919" s="6">
        <v>309</v>
      </c>
      <c r="G919" s="7" t="s">
        <v>100</v>
      </c>
      <c r="H919" s="6">
        <v>5</v>
      </c>
      <c r="I919" s="6">
        <v>6</v>
      </c>
      <c r="J919" s="7" t="b">
        <v>0</v>
      </c>
      <c r="K919" s="6">
        <v>760</v>
      </c>
      <c r="L919" s="6">
        <v>72</v>
      </c>
      <c r="M919" s="7" t="s">
        <v>92</v>
      </c>
      <c r="N919" s="7" t="s">
        <v>56</v>
      </c>
      <c r="O919" s="7" t="s">
        <v>78</v>
      </c>
      <c r="P919" s="5">
        <v>91</v>
      </c>
      <c r="Q919" s="4">
        <v>4.8</v>
      </c>
      <c r="R919" s="7" t="b">
        <v>1</v>
      </c>
      <c r="S919" s="7" t="s">
        <v>30</v>
      </c>
      <c r="T919" s="5">
        <v>2336</v>
      </c>
      <c r="U919" s="7" t="s">
        <v>58</v>
      </c>
      <c r="V919" t="s">
        <v>69</v>
      </c>
      <c r="W919" s="7" t="s">
        <v>93</v>
      </c>
    </row>
    <row r="920" spans="1:23" x14ac:dyDescent="0.3">
      <c r="A920" s="6">
        <v>7089</v>
      </c>
      <c r="B920" s="7" t="s">
        <v>357</v>
      </c>
      <c r="C920" s="1">
        <v>44988</v>
      </c>
      <c r="D920" s="1">
        <v>45608</v>
      </c>
      <c r="E920" s="8">
        <v>7.99</v>
      </c>
      <c r="F920" s="6">
        <v>367</v>
      </c>
      <c r="G920" s="7" t="s">
        <v>100</v>
      </c>
      <c r="H920" s="6">
        <v>1</v>
      </c>
      <c r="I920" s="6">
        <v>3</v>
      </c>
      <c r="J920" s="7" t="b">
        <v>0</v>
      </c>
      <c r="K920" s="6">
        <v>522</v>
      </c>
      <c r="L920" s="6">
        <v>10</v>
      </c>
      <c r="M920" s="7" t="s">
        <v>27</v>
      </c>
      <c r="N920" s="7" t="s">
        <v>28</v>
      </c>
      <c r="O920" s="7" t="s">
        <v>45</v>
      </c>
      <c r="P920" s="5">
        <v>70</v>
      </c>
      <c r="Q920" s="4">
        <v>3.8</v>
      </c>
      <c r="R920" s="7" t="b">
        <v>0</v>
      </c>
      <c r="S920" s="7" t="s">
        <v>30</v>
      </c>
      <c r="T920" s="5">
        <v>2344</v>
      </c>
      <c r="U920" s="7" t="s">
        <v>38</v>
      </c>
      <c r="V920" t="s">
        <v>39</v>
      </c>
      <c r="W920" s="7" t="s">
        <v>60</v>
      </c>
    </row>
    <row r="921" spans="1:23" x14ac:dyDescent="0.3">
      <c r="A921" s="6">
        <v>1697</v>
      </c>
      <c r="B921" s="7" t="s">
        <v>104</v>
      </c>
      <c r="C921" t="s">
        <v>662</v>
      </c>
      <c r="D921" t="s">
        <v>99</v>
      </c>
      <c r="E921" s="8">
        <v>7.99</v>
      </c>
      <c r="F921" s="6">
        <v>472</v>
      </c>
      <c r="G921" s="7" t="s">
        <v>26</v>
      </c>
      <c r="H921" s="6">
        <v>5</v>
      </c>
      <c r="I921" s="6">
        <v>2</v>
      </c>
      <c r="J921" s="7" t="b">
        <v>1</v>
      </c>
      <c r="K921" s="6">
        <v>76</v>
      </c>
      <c r="L921" s="6">
        <v>157</v>
      </c>
      <c r="M921" s="7" t="s">
        <v>27</v>
      </c>
      <c r="N921" s="7" t="s">
        <v>44</v>
      </c>
      <c r="O921" s="7" t="s">
        <v>78</v>
      </c>
      <c r="P921" s="5">
        <v>6</v>
      </c>
      <c r="Q921" s="4">
        <v>3.1</v>
      </c>
      <c r="R921" s="7" t="b">
        <v>1</v>
      </c>
      <c r="S921" s="7" t="s">
        <v>30</v>
      </c>
      <c r="T921" s="5">
        <v>1351</v>
      </c>
      <c r="U921" s="7" t="s">
        <v>65</v>
      </c>
      <c r="V921" t="s">
        <v>79</v>
      </c>
      <c r="W921" s="7" t="s">
        <v>93</v>
      </c>
    </row>
    <row r="922" spans="1:23" x14ac:dyDescent="0.3">
      <c r="A922" s="6">
        <v>4768</v>
      </c>
      <c r="B922" s="7" t="s">
        <v>542</v>
      </c>
      <c r="C922" s="1">
        <v>45028</v>
      </c>
      <c r="D922" t="s">
        <v>109</v>
      </c>
      <c r="E922" s="8">
        <v>15.99</v>
      </c>
      <c r="F922" s="6">
        <v>449</v>
      </c>
      <c r="G922" s="7" t="s">
        <v>51</v>
      </c>
      <c r="H922" s="6">
        <v>5</v>
      </c>
      <c r="I922" s="6">
        <v>4</v>
      </c>
      <c r="J922" s="7" t="b">
        <v>0</v>
      </c>
      <c r="K922" s="6">
        <v>61</v>
      </c>
      <c r="L922" s="6">
        <v>61</v>
      </c>
      <c r="M922" s="7" t="s">
        <v>74</v>
      </c>
      <c r="N922" s="7" t="s">
        <v>44</v>
      </c>
      <c r="O922" s="7" t="s">
        <v>78</v>
      </c>
      <c r="P922" s="5">
        <v>88</v>
      </c>
      <c r="Q922" s="4">
        <v>3.7</v>
      </c>
      <c r="R922" s="7" t="b">
        <v>1</v>
      </c>
      <c r="S922" s="7" t="s">
        <v>30</v>
      </c>
      <c r="T922" s="5">
        <v>165</v>
      </c>
      <c r="U922" s="7" t="s">
        <v>76</v>
      </c>
      <c r="V922" t="s">
        <v>69</v>
      </c>
      <c r="W922" s="7" t="s">
        <v>93</v>
      </c>
    </row>
    <row r="923" spans="1:23" x14ac:dyDescent="0.3">
      <c r="A923" s="6">
        <v>4205</v>
      </c>
      <c r="B923" s="7" t="s">
        <v>257</v>
      </c>
      <c r="C923" t="s">
        <v>528</v>
      </c>
      <c r="D923" s="1">
        <v>45455</v>
      </c>
      <c r="E923" s="8">
        <v>15.99</v>
      </c>
      <c r="F923" s="6">
        <v>302</v>
      </c>
      <c r="G923" s="7" t="s">
        <v>73</v>
      </c>
      <c r="H923" s="6">
        <v>4</v>
      </c>
      <c r="I923" s="6">
        <v>4</v>
      </c>
      <c r="J923" s="7" t="b">
        <v>1</v>
      </c>
      <c r="K923" s="6">
        <v>800</v>
      </c>
      <c r="L923" s="6">
        <v>101</v>
      </c>
      <c r="M923" s="7" t="s">
        <v>27</v>
      </c>
      <c r="N923" s="7" t="s">
        <v>75</v>
      </c>
      <c r="O923" s="7" t="s">
        <v>64</v>
      </c>
      <c r="P923" s="5">
        <v>89</v>
      </c>
      <c r="Q923" s="4">
        <v>4.3</v>
      </c>
      <c r="R923" s="7" t="b">
        <v>0</v>
      </c>
      <c r="S923" s="7" t="s">
        <v>30</v>
      </c>
      <c r="T923" s="5">
        <v>3411</v>
      </c>
      <c r="U923" s="7" t="s">
        <v>38</v>
      </c>
      <c r="V923" t="s">
        <v>79</v>
      </c>
      <c r="W923" s="7" t="s">
        <v>40</v>
      </c>
    </row>
    <row r="924" spans="1:23" x14ac:dyDescent="0.3">
      <c r="A924" s="6">
        <v>8844</v>
      </c>
      <c r="B924" s="7" t="s">
        <v>140</v>
      </c>
      <c r="C924" t="s">
        <v>394</v>
      </c>
      <c r="D924" t="s">
        <v>103</v>
      </c>
      <c r="E924" s="8">
        <v>7.99</v>
      </c>
      <c r="F924" s="6">
        <v>70</v>
      </c>
      <c r="G924" s="7" t="s">
        <v>48</v>
      </c>
      <c r="H924" s="6">
        <v>3</v>
      </c>
      <c r="I924" s="6">
        <v>6</v>
      </c>
      <c r="J924" s="7" t="b">
        <v>1</v>
      </c>
      <c r="K924" s="6">
        <v>226</v>
      </c>
      <c r="L924" s="6">
        <v>104</v>
      </c>
      <c r="M924" s="7" t="s">
        <v>27</v>
      </c>
      <c r="N924" s="7" t="s">
        <v>44</v>
      </c>
      <c r="O924" s="7" t="s">
        <v>37</v>
      </c>
      <c r="P924" s="5">
        <v>59</v>
      </c>
      <c r="Q924" s="4">
        <v>3.3</v>
      </c>
      <c r="R924" s="7" t="b">
        <v>1</v>
      </c>
      <c r="S924" s="7" t="s">
        <v>30</v>
      </c>
      <c r="T924" s="5">
        <v>615</v>
      </c>
      <c r="U924" s="7" t="s">
        <v>65</v>
      </c>
      <c r="V924" t="s">
        <v>69</v>
      </c>
      <c r="W924" s="7" t="s">
        <v>33</v>
      </c>
    </row>
    <row r="925" spans="1:23" x14ac:dyDescent="0.3">
      <c r="A925" s="6">
        <v>1103</v>
      </c>
      <c r="B925" s="7" t="s">
        <v>411</v>
      </c>
      <c r="C925" s="1">
        <v>45143</v>
      </c>
      <c r="D925" s="1">
        <v>45334</v>
      </c>
      <c r="E925" s="8">
        <v>7.99</v>
      </c>
      <c r="F925" s="6">
        <v>157</v>
      </c>
      <c r="G925" s="7" t="s">
        <v>48</v>
      </c>
      <c r="H925" s="6">
        <v>2</v>
      </c>
      <c r="I925" s="6">
        <v>1</v>
      </c>
      <c r="J925" s="7" t="b">
        <v>0</v>
      </c>
      <c r="K925" s="6">
        <v>792</v>
      </c>
      <c r="L925" s="6">
        <v>141</v>
      </c>
      <c r="M925" s="7" t="s">
        <v>43</v>
      </c>
      <c r="N925" s="7" t="s">
        <v>56</v>
      </c>
      <c r="O925" s="7" t="s">
        <v>57</v>
      </c>
      <c r="P925" s="5">
        <v>18</v>
      </c>
      <c r="Q925" s="4">
        <v>4.2</v>
      </c>
      <c r="R925" s="7" t="b">
        <v>0</v>
      </c>
      <c r="S925" s="7" t="s">
        <v>30</v>
      </c>
      <c r="T925" s="5">
        <v>1538</v>
      </c>
      <c r="U925" s="7" t="s">
        <v>31</v>
      </c>
      <c r="V925" t="s">
        <v>79</v>
      </c>
      <c r="W925" s="7" t="s">
        <v>93</v>
      </c>
    </row>
    <row r="926" spans="1:23" x14ac:dyDescent="0.3">
      <c r="A926" s="6">
        <v>2180</v>
      </c>
      <c r="B926" s="7" t="s">
        <v>709</v>
      </c>
      <c r="C926" t="s">
        <v>699</v>
      </c>
      <c r="D926" t="s">
        <v>156</v>
      </c>
      <c r="E926" s="8">
        <v>7.99</v>
      </c>
      <c r="F926" s="6">
        <v>17</v>
      </c>
      <c r="G926" s="7" t="s">
        <v>63</v>
      </c>
      <c r="H926" s="6">
        <v>5</v>
      </c>
      <c r="I926" s="6">
        <v>5</v>
      </c>
      <c r="J926" s="7" t="b">
        <v>0</v>
      </c>
      <c r="K926" s="6">
        <v>498</v>
      </c>
      <c r="L926" s="6">
        <v>67</v>
      </c>
      <c r="M926" s="7" t="s">
        <v>49</v>
      </c>
      <c r="N926" s="7" t="s">
        <v>28</v>
      </c>
      <c r="O926" s="7" t="s">
        <v>45</v>
      </c>
      <c r="P926" s="5">
        <v>67</v>
      </c>
      <c r="Q926" s="4">
        <v>3</v>
      </c>
      <c r="R926" s="7" t="b">
        <v>1</v>
      </c>
      <c r="S926" s="7" t="s">
        <v>30</v>
      </c>
      <c r="T926" s="5">
        <v>1835</v>
      </c>
      <c r="U926" s="7" t="s">
        <v>58</v>
      </c>
      <c r="V926" t="s">
        <v>32</v>
      </c>
      <c r="W926" s="7" t="s">
        <v>33</v>
      </c>
    </row>
    <row r="927" spans="1:23" x14ac:dyDescent="0.3">
      <c r="A927" s="6">
        <v>6607</v>
      </c>
      <c r="B927" s="7" t="s">
        <v>710</v>
      </c>
      <c r="C927" t="s">
        <v>711</v>
      </c>
      <c r="D927" s="1">
        <v>45334</v>
      </c>
      <c r="E927" s="8">
        <v>15.99</v>
      </c>
      <c r="F927" s="6">
        <v>173</v>
      </c>
      <c r="G927" s="7" t="s">
        <v>36</v>
      </c>
      <c r="H927" s="6">
        <v>1</v>
      </c>
      <c r="I927" s="6">
        <v>3</v>
      </c>
      <c r="J927" s="7" t="b">
        <v>1</v>
      </c>
      <c r="K927" s="6">
        <v>950</v>
      </c>
      <c r="L927" s="6">
        <v>163</v>
      </c>
      <c r="M927" s="7" t="s">
        <v>92</v>
      </c>
      <c r="N927" s="7" t="s">
        <v>44</v>
      </c>
      <c r="O927" s="7" t="s">
        <v>78</v>
      </c>
      <c r="P927" s="5">
        <v>96</v>
      </c>
      <c r="Q927" s="4">
        <v>4.9000000000000004</v>
      </c>
      <c r="R927" s="7" t="b">
        <v>1</v>
      </c>
      <c r="S927" s="7" t="s">
        <v>30</v>
      </c>
      <c r="T927" s="5">
        <v>3515</v>
      </c>
      <c r="U927" s="7" t="s">
        <v>58</v>
      </c>
      <c r="V927" t="s">
        <v>32</v>
      </c>
      <c r="W927" s="7" t="s">
        <v>33</v>
      </c>
    </row>
    <row r="928" spans="1:23" x14ac:dyDescent="0.3">
      <c r="A928" s="6">
        <v>7949</v>
      </c>
      <c r="B928" s="7" t="s">
        <v>391</v>
      </c>
      <c r="C928" s="1">
        <v>45231</v>
      </c>
      <c r="D928" t="s">
        <v>134</v>
      </c>
      <c r="E928" s="8">
        <v>11.99</v>
      </c>
      <c r="F928" s="6">
        <v>301</v>
      </c>
      <c r="G928" s="7" t="s">
        <v>73</v>
      </c>
      <c r="H928" s="6">
        <v>5</v>
      </c>
      <c r="I928" s="6">
        <v>4</v>
      </c>
      <c r="J928" s="7" t="b">
        <v>0</v>
      </c>
      <c r="K928" s="6">
        <v>906</v>
      </c>
      <c r="L928" s="6">
        <v>141</v>
      </c>
      <c r="M928" s="7" t="s">
        <v>68</v>
      </c>
      <c r="N928" s="7" t="s">
        <v>56</v>
      </c>
      <c r="O928" s="7" t="s">
        <v>29</v>
      </c>
      <c r="P928" s="5">
        <v>56</v>
      </c>
      <c r="Q928" s="4">
        <v>4.5</v>
      </c>
      <c r="R928" s="7" t="b">
        <v>1</v>
      </c>
      <c r="S928" s="7" t="s">
        <v>30</v>
      </c>
      <c r="T928" s="5">
        <v>1657</v>
      </c>
      <c r="U928" s="7" t="s">
        <v>38</v>
      </c>
      <c r="V928" t="s">
        <v>32</v>
      </c>
      <c r="W928" s="7" t="s">
        <v>93</v>
      </c>
    </row>
    <row r="929" spans="1:23" x14ac:dyDescent="0.3">
      <c r="A929" s="6">
        <v>5337</v>
      </c>
      <c r="B929" s="7" t="s">
        <v>508</v>
      </c>
      <c r="C929" t="s">
        <v>348</v>
      </c>
      <c r="D929" t="s">
        <v>105</v>
      </c>
      <c r="E929" s="8">
        <v>7.99</v>
      </c>
      <c r="F929" s="6">
        <v>357</v>
      </c>
      <c r="G929" s="7" t="s">
        <v>63</v>
      </c>
      <c r="H929" s="6">
        <v>2</v>
      </c>
      <c r="I929" s="6">
        <v>4</v>
      </c>
      <c r="J929" s="7" t="b">
        <v>1</v>
      </c>
      <c r="K929" s="6">
        <v>245</v>
      </c>
      <c r="L929" s="6">
        <v>116</v>
      </c>
      <c r="M929" s="7" t="s">
        <v>92</v>
      </c>
      <c r="N929" s="7" t="s">
        <v>75</v>
      </c>
      <c r="O929" s="7" t="s">
        <v>45</v>
      </c>
      <c r="P929" s="5">
        <v>71</v>
      </c>
      <c r="Q929" s="4">
        <v>4.2</v>
      </c>
      <c r="R929" s="7" t="b">
        <v>1</v>
      </c>
      <c r="S929" s="7" t="s">
        <v>30</v>
      </c>
      <c r="T929" s="5">
        <v>2209</v>
      </c>
      <c r="U929" s="7" t="s">
        <v>31</v>
      </c>
      <c r="V929" t="s">
        <v>59</v>
      </c>
      <c r="W929" s="7" t="s">
        <v>33</v>
      </c>
    </row>
    <row r="930" spans="1:23" x14ac:dyDescent="0.3">
      <c r="A930" s="6">
        <v>8477</v>
      </c>
      <c r="B930" s="7" t="s">
        <v>236</v>
      </c>
      <c r="C930" t="s">
        <v>145</v>
      </c>
      <c r="D930" s="1">
        <v>45334</v>
      </c>
      <c r="E930" s="8">
        <v>7.99</v>
      </c>
      <c r="F930" s="6">
        <v>48</v>
      </c>
      <c r="G930" s="7" t="s">
        <v>36</v>
      </c>
      <c r="H930" s="6">
        <v>4</v>
      </c>
      <c r="I930" s="6">
        <v>2</v>
      </c>
      <c r="J930" s="7" t="b">
        <v>0</v>
      </c>
      <c r="K930" s="6">
        <v>33</v>
      </c>
      <c r="L930" s="6">
        <v>7</v>
      </c>
      <c r="M930" s="7" t="s">
        <v>27</v>
      </c>
      <c r="N930" s="7" t="s">
        <v>28</v>
      </c>
      <c r="O930" s="7" t="s">
        <v>37</v>
      </c>
      <c r="P930" s="5">
        <v>13</v>
      </c>
      <c r="Q930" s="4">
        <v>4.8</v>
      </c>
      <c r="R930" s="7" t="b">
        <v>1</v>
      </c>
      <c r="S930" s="7" t="s">
        <v>30</v>
      </c>
      <c r="T930" s="5">
        <v>1327</v>
      </c>
      <c r="U930" s="7" t="s">
        <v>58</v>
      </c>
      <c r="V930" t="s">
        <v>69</v>
      </c>
      <c r="W930" s="7" t="s">
        <v>60</v>
      </c>
    </row>
    <row r="931" spans="1:23" x14ac:dyDescent="0.3">
      <c r="A931" s="6">
        <v>7673</v>
      </c>
      <c r="B931" s="7" t="s">
        <v>712</v>
      </c>
      <c r="C931" t="s">
        <v>139</v>
      </c>
      <c r="D931" t="s">
        <v>82</v>
      </c>
      <c r="E931" s="8">
        <v>7.99</v>
      </c>
      <c r="F931" s="6">
        <v>351</v>
      </c>
      <c r="G931" s="7" t="s">
        <v>26</v>
      </c>
      <c r="H931" s="6">
        <v>4</v>
      </c>
      <c r="I931" s="6">
        <v>2</v>
      </c>
      <c r="J931" s="7" t="b">
        <v>0</v>
      </c>
      <c r="K931" s="6">
        <v>70</v>
      </c>
      <c r="L931" s="6">
        <v>41</v>
      </c>
      <c r="M931" s="7" t="s">
        <v>74</v>
      </c>
      <c r="N931" s="7" t="s">
        <v>75</v>
      </c>
      <c r="O931" s="7" t="s">
        <v>57</v>
      </c>
      <c r="P931" s="5">
        <v>78</v>
      </c>
      <c r="Q931" s="4">
        <v>3.7</v>
      </c>
      <c r="R931" s="7" t="b">
        <v>0</v>
      </c>
      <c r="S931" s="7" t="s">
        <v>30</v>
      </c>
      <c r="T931" s="5">
        <v>4337</v>
      </c>
      <c r="U931" s="7" t="s">
        <v>31</v>
      </c>
      <c r="V931" t="s">
        <v>79</v>
      </c>
      <c r="W931" s="7" t="s">
        <v>40</v>
      </c>
    </row>
    <row r="932" spans="1:23" x14ac:dyDescent="0.3">
      <c r="A932" s="6">
        <v>6113</v>
      </c>
      <c r="B932" s="7" t="s">
        <v>713</v>
      </c>
      <c r="C932" s="1">
        <v>45088</v>
      </c>
      <c r="D932" t="s">
        <v>42</v>
      </c>
      <c r="E932" s="8">
        <v>11.99</v>
      </c>
      <c r="F932" s="6">
        <v>491</v>
      </c>
      <c r="G932" s="7" t="s">
        <v>73</v>
      </c>
      <c r="H932" s="6">
        <v>3</v>
      </c>
      <c r="I932" s="6">
        <v>4</v>
      </c>
      <c r="J932" s="7" t="b">
        <v>1</v>
      </c>
      <c r="K932" s="6">
        <v>779</v>
      </c>
      <c r="L932" s="6">
        <v>86</v>
      </c>
      <c r="M932" s="7" t="s">
        <v>49</v>
      </c>
      <c r="N932" s="7" t="s">
        <v>75</v>
      </c>
      <c r="O932" s="7" t="s">
        <v>29</v>
      </c>
      <c r="P932" s="5">
        <v>85</v>
      </c>
      <c r="Q932" s="4">
        <v>4.7</v>
      </c>
      <c r="R932" s="7" t="b">
        <v>1</v>
      </c>
      <c r="S932" s="7" t="s">
        <v>30</v>
      </c>
      <c r="T932" s="5">
        <v>398</v>
      </c>
      <c r="U932" s="7" t="s">
        <v>65</v>
      </c>
      <c r="V932" t="s">
        <v>79</v>
      </c>
      <c r="W932" s="7" t="s">
        <v>40</v>
      </c>
    </row>
    <row r="933" spans="1:23" x14ac:dyDescent="0.3">
      <c r="A933" s="6">
        <v>7457</v>
      </c>
      <c r="B933" s="7" t="s">
        <v>498</v>
      </c>
      <c r="C933" s="1">
        <v>45264</v>
      </c>
      <c r="D933" t="s">
        <v>168</v>
      </c>
      <c r="E933" s="8">
        <v>11.99</v>
      </c>
      <c r="F933" s="6">
        <v>164</v>
      </c>
      <c r="G933" s="7" t="s">
        <v>48</v>
      </c>
      <c r="H933" s="6">
        <v>2</v>
      </c>
      <c r="I933" s="6">
        <v>1</v>
      </c>
      <c r="J933" s="7" t="b">
        <v>1</v>
      </c>
      <c r="K933" s="6">
        <v>536</v>
      </c>
      <c r="L933" s="6">
        <v>150</v>
      </c>
      <c r="M933" s="7" t="s">
        <v>49</v>
      </c>
      <c r="N933" s="7" t="s">
        <v>44</v>
      </c>
      <c r="O933" s="7" t="s">
        <v>45</v>
      </c>
      <c r="P933" s="5">
        <v>7</v>
      </c>
      <c r="Q933" s="4">
        <v>3.2</v>
      </c>
      <c r="R933" s="7" t="b">
        <v>1</v>
      </c>
      <c r="S933" s="7" t="s">
        <v>30</v>
      </c>
      <c r="T933" s="5">
        <v>1508</v>
      </c>
      <c r="U933" s="7" t="s">
        <v>31</v>
      </c>
      <c r="V933" t="s">
        <v>69</v>
      </c>
      <c r="W933" s="7" t="s">
        <v>60</v>
      </c>
    </row>
    <row r="934" spans="1:23" x14ac:dyDescent="0.3">
      <c r="A934" s="6">
        <v>6639</v>
      </c>
      <c r="B934" s="7" t="s">
        <v>401</v>
      </c>
      <c r="C934" t="s">
        <v>213</v>
      </c>
      <c r="D934" t="s">
        <v>103</v>
      </c>
      <c r="E934" s="8">
        <v>7.99</v>
      </c>
      <c r="F934" s="6">
        <v>304</v>
      </c>
      <c r="G934" s="7" t="s">
        <v>26</v>
      </c>
      <c r="H934" s="6">
        <v>1</v>
      </c>
      <c r="I934" s="6">
        <v>6</v>
      </c>
      <c r="J934" s="7" t="b">
        <v>1</v>
      </c>
      <c r="K934" s="6">
        <v>902</v>
      </c>
      <c r="L934" s="6">
        <v>20</v>
      </c>
      <c r="M934" s="7" t="s">
        <v>74</v>
      </c>
      <c r="N934" s="7" t="s">
        <v>28</v>
      </c>
      <c r="O934" s="7" t="s">
        <v>45</v>
      </c>
      <c r="P934" s="5">
        <v>62</v>
      </c>
      <c r="Q934" s="4">
        <v>3.9</v>
      </c>
      <c r="R934" s="7" t="b">
        <v>1</v>
      </c>
      <c r="S934" s="7" t="s">
        <v>30</v>
      </c>
      <c r="T934" s="5">
        <v>249</v>
      </c>
      <c r="U934" s="7" t="s">
        <v>38</v>
      </c>
      <c r="V934" t="s">
        <v>32</v>
      </c>
      <c r="W934" s="7" t="s">
        <v>40</v>
      </c>
    </row>
    <row r="935" spans="1:23" x14ac:dyDescent="0.3">
      <c r="A935" s="6">
        <v>5220</v>
      </c>
      <c r="B935" s="7" t="s">
        <v>212</v>
      </c>
      <c r="C935" t="s">
        <v>714</v>
      </c>
      <c r="D935" s="1">
        <v>45516</v>
      </c>
      <c r="E935" s="8">
        <v>7.99</v>
      </c>
      <c r="F935" s="6">
        <v>166</v>
      </c>
      <c r="G935" s="7" t="s">
        <v>63</v>
      </c>
      <c r="H935" s="6">
        <v>2</v>
      </c>
      <c r="I935" s="6">
        <v>3</v>
      </c>
      <c r="J935" s="7" t="b">
        <v>1</v>
      </c>
      <c r="K935" s="6">
        <v>493</v>
      </c>
      <c r="L935" s="6">
        <v>168</v>
      </c>
      <c r="M935" s="7" t="s">
        <v>27</v>
      </c>
      <c r="N935" s="7" t="s">
        <v>28</v>
      </c>
      <c r="O935" s="7" t="s">
        <v>64</v>
      </c>
      <c r="P935" s="5">
        <v>55</v>
      </c>
      <c r="Q935" s="4">
        <v>3.4</v>
      </c>
      <c r="R935" s="7" t="b">
        <v>1</v>
      </c>
      <c r="S935" s="7" t="s">
        <v>30</v>
      </c>
      <c r="T935" s="5">
        <v>954</v>
      </c>
      <c r="U935" s="7" t="s">
        <v>65</v>
      </c>
      <c r="V935" t="s">
        <v>59</v>
      </c>
      <c r="W935" s="7" t="s">
        <v>40</v>
      </c>
    </row>
    <row r="936" spans="1:23" x14ac:dyDescent="0.3">
      <c r="A936" s="6">
        <v>6970</v>
      </c>
      <c r="B936" s="7" t="s">
        <v>367</v>
      </c>
      <c r="C936" t="s">
        <v>72</v>
      </c>
      <c r="D936" s="1">
        <v>45424</v>
      </c>
      <c r="E936" s="8">
        <v>7.99</v>
      </c>
      <c r="F936" s="6">
        <v>225</v>
      </c>
      <c r="G936" s="7" t="s">
        <v>100</v>
      </c>
      <c r="H936" s="6">
        <v>3</v>
      </c>
      <c r="I936" s="6">
        <v>3</v>
      </c>
      <c r="J936" s="7" t="b">
        <v>1</v>
      </c>
      <c r="K936" s="6">
        <v>589</v>
      </c>
      <c r="L936" s="6">
        <v>103</v>
      </c>
      <c r="M936" s="7" t="s">
        <v>43</v>
      </c>
      <c r="N936" s="7" t="s">
        <v>56</v>
      </c>
      <c r="O936" s="7" t="s">
        <v>29</v>
      </c>
      <c r="P936" s="5">
        <v>93</v>
      </c>
      <c r="Q936" s="4">
        <v>3.2</v>
      </c>
      <c r="R936" s="7" t="b">
        <v>1</v>
      </c>
      <c r="S936" s="7" t="s">
        <v>30</v>
      </c>
      <c r="T936" s="5">
        <v>3313</v>
      </c>
      <c r="U936" s="7" t="s">
        <v>58</v>
      </c>
      <c r="V936" t="s">
        <v>32</v>
      </c>
      <c r="W936" s="7" t="s">
        <v>60</v>
      </c>
    </row>
    <row r="937" spans="1:23" x14ac:dyDescent="0.3">
      <c r="A937" s="6">
        <v>6705</v>
      </c>
      <c r="B937" s="7" t="s">
        <v>126</v>
      </c>
      <c r="C937" t="s">
        <v>715</v>
      </c>
      <c r="D937" s="1">
        <v>45547</v>
      </c>
      <c r="E937" s="8">
        <v>7.99</v>
      </c>
      <c r="F937" s="6">
        <v>163</v>
      </c>
      <c r="G937" s="7" t="s">
        <v>100</v>
      </c>
      <c r="H937" s="6">
        <v>2</v>
      </c>
      <c r="I937" s="6">
        <v>6</v>
      </c>
      <c r="J937" s="7" t="b">
        <v>1</v>
      </c>
      <c r="K937" s="6">
        <v>206</v>
      </c>
      <c r="L937" s="6">
        <v>132</v>
      </c>
      <c r="M937" s="7" t="s">
        <v>74</v>
      </c>
      <c r="N937" s="7" t="s">
        <v>44</v>
      </c>
      <c r="O937" s="7" t="s">
        <v>29</v>
      </c>
      <c r="P937" s="5">
        <v>63</v>
      </c>
      <c r="Q937" s="4">
        <v>3.5</v>
      </c>
      <c r="R937" s="7" t="b">
        <v>1</v>
      </c>
      <c r="S937" s="7" t="s">
        <v>30</v>
      </c>
      <c r="T937" s="5">
        <v>1790</v>
      </c>
      <c r="U937" s="7" t="s">
        <v>38</v>
      </c>
      <c r="V937" t="s">
        <v>32</v>
      </c>
      <c r="W937" s="7" t="s">
        <v>40</v>
      </c>
    </row>
    <row r="938" spans="1:23" x14ac:dyDescent="0.3">
      <c r="A938" s="6">
        <v>2477</v>
      </c>
      <c r="B938" s="7" t="s">
        <v>365</v>
      </c>
      <c r="C938" t="s">
        <v>306</v>
      </c>
      <c r="D938" t="s">
        <v>214</v>
      </c>
      <c r="E938" s="8">
        <v>15.99</v>
      </c>
      <c r="F938" s="6">
        <v>419</v>
      </c>
      <c r="G938" s="7" t="s">
        <v>48</v>
      </c>
      <c r="H938" s="6">
        <v>2</v>
      </c>
      <c r="I938" s="6">
        <v>6</v>
      </c>
      <c r="J938" s="7" t="b">
        <v>1</v>
      </c>
      <c r="K938" s="6">
        <v>752</v>
      </c>
      <c r="L938" s="6">
        <v>21</v>
      </c>
      <c r="M938" s="7" t="s">
        <v>27</v>
      </c>
      <c r="N938" s="7" t="s">
        <v>44</v>
      </c>
      <c r="O938" s="7" t="s">
        <v>29</v>
      </c>
      <c r="P938" s="5">
        <v>94</v>
      </c>
      <c r="Q938" s="4">
        <v>3.9</v>
      </c>
      <c r="R938" s="7" t="b">
        <v>0</v>
      </c>
      <c r="S938" s="7" t="s">
        <v>30</v>
      </c>
      <c r="T938" s="5">
        <v>2864</v>
      </c>
      <c r="U938" s="7" t="s">
        <v>38</v>
      </c>
      <c r="V938" t="s">
        <v>32</v>
      </c>
      <c r="W938" s="7" t="s">
        <v>93</v>
      </c>
    </row>
    <row r="939" spans="1:23" x14ac:dyDescent="0.3">
      <c r="A939" s="6">
        <v>6236</v>
      </c>
      <c r="B939" s="7" t="s">
        <v>657</v>
      </c>
      <c r="C939" t="s">
        <v>561</v>
      </c>
      <c r="D939" t="s">
        <v>82</v>
      </c>
      <c r="E939" s="8">
        <v>11.99</v>
      </c>
      <c r="F939" s="6">
        <v>293</v>
      </c>
      <c r="G939" s="7" t="s">
        <v>26</v>
      </c>
      <c r="H939" s="6">
        <v>2</v>
      </c>
      <c r="I939" s="6">
        <v>3</v>
      </c>
      <c r="J939" s="7" t="b">
        <v>0</v>
      </c>
      <c r="K939" s="6">
        <v>514</v>
      </c>
      <c r="L939" s="6">
        <v>68</v>
      </c>
      <c r="M939" s="7" t="s">
        <v>55</v>
      </c>
      <c r="N939" s="7" t="s">
        <v>56</v>
      </c>
      <c r="O939" s="7" t="s">
        <v>45</v>
      </c>
      <c r="P939" s="5">
        <v>4</v>
      </c>
      <c r="Q939" s="4">
        <v>4.7</v>
      </c>
      <c r="R939" s="7" t="b">
        <v>0</v>
      </c>
      <c r="S939" s="7" t="s">
        <v>30</v>
      </c>
      <c r="T939" s="5">
        <v>1872</v>
      </c>
      <c r="U939" s="7" t="s">
        <v>76</v>
      </c>
      <c r="V939" t="s">
        <v>39</v>
      </c>
      <c r="W939" s="7" t="s">
        <v>33</v>
      </c>
    </row>
    <row r="940" spans="1:23" x14ac:dyDescent="0.3">
      <c r="A940" s="6">
        <v>4079</v>
      </c>
      <c r="B940" s="7" t="s">
        <v>716</v>
      </c>
      <c r="C940" t="s">
        <v>655</v>
      </c>
      <c r="D940" t="s">
        <v>35</v>
      </c>
      <c r="E940" s="8">
        <v>7.99</v>
      </c>
      <c r="F940" s="6">
        <v>171</v>
      </c>
      <c r="G940" s="7" t="s">
        <v>63</v>
      </c>
      <c r="H940" s="6">
        <v>3</v>
      </c>
      <c r="I940" s="6">
        <v>6</v>
      </c>
      <c r="J940" s="7" t="b">
        <v>1</v>
      </c>
      <c r="K940" s="6">
        <v>858</v>
      </c>
      <c r="L940" s="6">
        <v>58</v>
      </c>
      <c r="M940" s="7" t="s">
        <v>74</v>
      </c>
      <c r="N940" s="7" t="s">
        <v>44</v>
      </c>
      <c r="O940" s="7" t="s">
        <v>37</v>
      </c>
      <c r="P940" s="5">
        <v>21</v>
      </c>
      <c r="Q940" s="4">
        <v>4.5</v>
      </c>
      <c r="R940" s="7" t="b">
        <v>1</v>
      </c>
      <c r="S940" s="7" t="s">
        <v>30</v>
      </c>
      <c r="T940" s="5">
        <v>2521</v>
      </c>
      <c r="U940" s="7" t="s">
        <v>31</v>
      </c>
      <c r="V940" t="s">
        <v>69</v>
      </c>
      <c r="W940" s="7" t="s">
        <v>93</v>
      </c>
    </row>
    <row r="941" spans="1:23" x14ac:dyDescent="0.3">
      <c r="A941" s="6">
        <v>7927</v>
      </c>
      <c r="B941" s="7" t="s">
        <v>592</v>
      </c>
      <c r="C941" s="1">
        <v>45231</v>
      </c>
      <c r="D941" t="s">
        <v>84</v>
      </c>
      <c r="E941" s="8">
        <v>7.99</v>
      </c>
      <c r="F941" s="6">
        <v>438</v>
      </c>
      <c r="G941" s="7" t="s">
        <v>51</v>
      </c>
      <c r="H941" s="6">
        <v>4</v>
      </c>
      <c r="I941" s="6">
        <v>3</v>
      </c>
      <c r="J941" s="7" t="b">
        <v>0</v>
      </c>
      <c r="K941" s="6">
        <v>970</v>
      </c>
      <c r="L941" s="6">
        <v>59</v>
      </c>
      <c r="M941" s="7" t="s">
        <v>74</v>
      </c>
      <c r="N941" s="7" t="s">
        <v>56</v>
      </c>
      <c r="O941" s="7" t="s">
        <v>57</v>
      </c>
      <c r="P941" s="5">
        <v>78</v>
      </c>
      <c r="Q941" s="4">
        <v>4.5999999999999996</v>
      </c>
      <c r="R941" s="7" t="b">
        <v>1</v>
      </c>
      <c r="S941" s="7" t="s">
        <v>30</v>
      </c>
      <c r="T941" s="5">
        <v>4426</v>
      </c>
      <c r="U941" s="7" t="s">
        <v>76</v>
      </c>
      <c r="V941" t="s">
        <v>79</v>
      </c>
      <c r="W941" s="7" t="s">
        <v>33</v>
      </c>
    </row>
    <row r="942" spans="1:23" x14ac:dyDescent="0.3">
      <c r="A942" s="6">
        <v>5059</v>
      </c>
      <c r="B942" s="7" t="s">
        <v>41</v>
      </c>
      <c r="C942" s="1">
        <v>45360</v>
      </c>
      <c r="D942" t="s">
        <v>99</v>
      </c>
      <c r="E942" s="8">
        <v>11.99</v>
      </c>
      <c r="F942" s="6">
        <v>247</v>
      </c>
      <c r="G942" s="7" t="s">
        <v>73</v>
      </c>
      <c r="H942" s="6">
        <v>4</v>
      </c>
      <c r="I942" s="6">
        <v>4</v>
      </c>
      <c r="J942" s="7" t="b">
        <v>0</v>
      </c>
      <c r="K942" s="6">
        <v>510</v>
      </c>
      <c r="L942" s="6">
        <v>87</v>
      </c>
      <c r="M942" s="7" t="s">
        <v>68</v>
      </c>
      <c r="N942" s="7" t="s">
        <v>44</v>
      </c>
      <c r="O942" s="7" t="s">
        <v>45</v>
      </c>
      <c r="P942" s="5">
        <v>99</v>
      </c>
      <c r="Q942" s="4">
        <v>3.5</v>
      </c>
      <c r="R942" s="7" t="b">
        <v>0</v>
      </c>
      <c r="S942" s="7" t="s">
        <v>30</v>
      </c>
      <c r="T942" s="5">
        <v>3100</v>
      </c>
      <c r="U942" s="7" t="s">
        <v>58</v>
      </c>
      <c r="V942" t="s">
        <v>69</v>
      </c>
      <c r="W942" s="7" t="s">
        <v>93</v>
      </c>
    </row>
    <row r="943" spans="1:23" x14ac:dyDescent="0.3">
      <c r="A943" s="6">
        <v>4210</v>
      </c>
      <c r="B943" s="7" t="s">
        <v>284</v>
      </c>
      <c r="C943" t="s">
        <v>717</v>
      </c>
      <c r="D943" t="s">
        <v>214</v>
      </c>
      <c r="E943" s="8">
        <v>11.99</v>
      </c>
      <c r="F943" s="6">
        <v>85</v>
      </c>
      <c r="G943" s="7" t="s">
        <v>63</v>
      </c>
      <c r="H943" s="6">
        <v>1</v>
      </c>
      <c r="I943" s="6">
        <v>2</v>
      </c>
      <c r="J943" s="7" t="b">
        <v>0</v>
      </c>
      <c r="K943" s="6">
        <v>770</v>
      </c>
      <c r="L943" s="6">
        <v>132</v>
      </c>
      <c r="M943" s="7" t="s">
        <v>49</v>
      </c>
      <c r="N943" s="7" t="s">
        <v>44</v>
      </c>
      <c r="O943" s="7" t="s">
        <v>57</v>
      </c>
      <c r="P943" s="5">
        <v>99</v>
      </c>
      <c r="Q943" s="4">
        <v>4.4000000000000004</v>
      </c>
      <c r="R943" s="7" t="b">
        <v>0</v>
      </c>
      <c r="S943" s="7" t="s">
        <v>30</v>
      </c>
      <c r="T943" s="5">
        <v>4273</v>
      </c>
      <c r="U943" s="7" t="s">
        <v>76</v>
      </c>
      <c r="V943" t="s">
        <v>32</v>
      </c>
      <c r="W943" s="7" t="s">
        <v>60</v>
      </c>
    </row>
    <row r="944" spans="1:23" x14ac:dyDescent="0.3">
      <c r="A944" s="6">
        <v>5054</v>
      </c>
      <c r="B944" s="7" t="s">
        <v>41</v>
      </c>
      <c r="C944" s="1">
        <v>45231</v>
      </c>
      <c r="D944" t="s">
        <v>90</v>
      </c>
      <c r="E944" s="8">
        <v>11.99</v>
      </c>
      <c r="F944" s="6">
        <v>203</v>
      </c>
      <c r="G944" s="7" t="s">
        <v>51</v>
      </c>
      <c r="H944" s="6">
        <v>5</v>
      </c>
      <c r="I944" s="6">
        <v>2</v>
      </c>
      <c r="J944" s="7" t="b">
        <v>0</v>
      </c>
      <c r="K944" s="6">
        <v>903</v>
      </c>
      <c r="L944" s="6">
        <v>19</v>
      </c>
      <c r="M944" s="7" t="s">
        <v>43</v>
      </c>
      <c r="N944" s="7" t="s">
        <v>56</v>
      </c>
      <c r="O944" s="7" t="s">
        <v>29</v>
      </c>
      <c r="P944" s="5">
        <v>76</v>
      </c>
      <c r="Q944" s="4">
        <v>4.5999999999999996</v>
      </c>
      <c r="R944" s="7" t="b">
        <v>0</v>
      </c>
      <c r="S944" s="7" t="s">
        <v>30</v>
      </c>
      <c r="T944" s="5">
        <v>1254</v>
      </c>
      <c r="U944" s="7" t="s">
        <v>65</v>
      </c>
      <c r="V944" t="s">
        <v>69</v>
      </c>
      <c r="W944" s="7" t="s">
        <v>60</v>
      </c>
    </row>
    <row r="945" spans="1:23" x14ac:dyDescent="0.3">
      <c r="A945" s="6">
        <v>5836</v>
      </c>
      <c r="B945" s="7" t="s">
        <v>504</v>
      </c>
      <c r="C945" s="1">
        <v>45512</v>
      </c>
      <c r="D945" t="s">
        <v>134</v>
      </c>
      <c r="E945" s="8">
        <v>15.99</v>
      </c>
      <c r="F945" s="6">
        <v>219</v>
      </c>
      <c r="G945" s="7" t="s">
        <v>48</v>
      </c>
      <c r="H945" s="6">
        <v>1</v>
      </c>
      <c r="I945" s="6">
        <v>5</v>
      </c>
      <c r="J945" s="7" t="b">
        <v>1</v>
      </c>
      <c r="K945" s="6">
        <v>347</v>
      </c>
      <c r="L945" s="6">
        <v>55</v>
      </c>
      <c r="M945" s="7" t="s">
        <v>92</v>
      </c>
      <c r="N945" s="7" t="s">
        <v>75</v>
      </c>
      <c r="O945" s="7" t="s">
        <v>45</v>
      </c>
      <c r="P945" s="5">
        <v>64</v>
      </c>
      <c r="Q945" s="4">
        <v>4.5999999999999996</v>
      </c>
      <c r="R945" s="7" t="b">
        <v>1</v>
      </c>
      <c r="S945" s="7" t="s">
        <v>30</v>
      </c>
      <c r="T945" s="5">
        <v>4817</v>
      </c>
      <c r="U945" s="7" t="s">
        <v>58</v>
      </c>
      <c r="V945" t="s">
        <v>32</v>
      </c>
      <c r="W945" s="7" t="s">
        <v>40</v>
      </c>
    </row>
    <row r="946" spans="1:23" x14ac:dyDescent="0.3">
      <c r="A946" s="6">
        <v>8612</v>
      </c>
      <c r="B946" s="7" t="s">
        <v>304</v>
      </c>
      <c r="C946" t="s">
        <v>331</v>
      </c>
      <c r="D946" t="s">
        <v>103</v>
      </c>
      <c r="E946" s="8">
        <v>7.99</v>
      </c>
      <c r="F946" s="6">
        <v>285</v>
      </c>
      <c r="G946" s="7" t="s">
        <v>73</v>
      </c>
      <c r="H946" s="6">
        <v>5</v>
      </c>
      <c r="I946" s="6">
        <v>5</v>
      </c>
      <c r="J946" s="7" t="b">
        <v>0</v>
      </c>
      <c r="K946" s="6">
        <v>600</v>
      </c>
      <c r="L946" s="6">
        <v>109</v>
      </c>
      <c r="M946" s="7" t="s">
        <v>74</v>
      </c>
      <c r="N946" s="7" t="s">
        <v>75</v>
      </c>
      <c r="O946" s="7" t="s">
        <v>45</v>
      </c>
      <c r="P946" s="5">
        <v>76</v>
      </c>
      <c r="Q946" s="4">
        <v>4</v>
      </c>
      <c r="R946" s="7" t="b">
        <v>0</v>
      </c>
      <c r="S946" s="7" t="s">
        <v>30</v>
      </c>
      <c r="T946" s="5">
        <v>2330</v>
      </c>
      <c r="U946" s="7" t="s">
        <v>31</v>
      </c>
      <c r="V946" t="s">
        <v>39</v>
      </c>
      <c r="W946" s="7" t="s">
        <v>60</v>
      </c>
    </row>
    <row r="947" spans="1:23" x14ac:dyDescent="0.3">
      <c r="A947" s="6">
        <v>7445</v>
      </c>
      <c r="B947" s="7" t="s">
        <v>125</v>
      </c>
      <c r="C947" t="s">
        <v>111</v>
      </c>
      <c r="D947" t="s">
        <v>109</v>
      </c>
      <c r="E947" s="8">
        <v>15.99</v>
      </c>
      <c r="F947" s="6">
        <v>115</v>
      </c>
      <c r="G947" s="7" t="s">
        <v>63</v>
      </c>
      <c r="H947" s="6">
        <v>2</v>
      </c>
      <c r="I947" s="6">
        <v>6</v>
      </c>
      <c r="J947" s="7" t="b">
        <v>1</v>
      </c>
      <c r="K947" s="6">
        <v>583</v>
      </c>
      <c r="L947" s="6">
        <v>127</v>
      </c>
      <c r="M947" s="7" t="s">
        <v>27</v>
      </c>
      <c r="N947" s="7" t="s">
        <v>56</v>
      </c>
      <c r="O947" s="7" t="s">
        <v>64</v>
      </c>
      <c r="P947" s="5">
        <v>0</v>
      </c>
      <c r="Q947" s="4">
        <v>3.6</v>
      </c>
      <c r="R947" s="7" t="b">
        <v>0</v>
      </c>
      <c r="S947" s="7" t="s">
        <v>30</v>
      </c>
      <c r="T947" s="5">
        <v>244</v>
      </c>
      <c r="U947" s="7" t="s">
        <v>38</v>
      </c>
      <c r="V947" t="s">
        <v>32</v>
      </c>
      <c r="W947" s="7" t="s">
        <v>33</v>
      </c>
    </row>
    <row r="948" spans="1:23" x14ac:dyDescent="0.3">
      <c r="A948" s="6">
        <v>6135</v>
      </c>
      <c r="B948" s="7" t="s">
        <v>112</v>
      </c>
      <c r="C948" s="1">
        <v>45575</v>
      </c>
      <c r="D948" t="s">
        <v>134</v>
      </c>
      <c r="E948" s="8">
        <v>7.99</v>
      </c>
      <c r="F948" s="6">
        <v>322</v>
      </c>
      <c r="G948" s="7" t="s">
        <v>36</v>
      </c>
      <c r="H948" s="6">
        <v>1</v>
      </c>
      <c r="I948" s="6">
        <v>5</v>
      </c>
      <c r="J948" s="7" t="b">
        <v>1</v>
      </c>
      <c r="K948" s="6">
        <v>446</v>
      </c>
      <c r="L948" s="6">
        <v>114</v>
      </c>
      <c r="M948" s="7" t="s">
        <v>68</v>
      </c>
      <c r="N948" s="7" t="s">
        <v>56</v>
      </c>
      <c r="O948" s="7" t="s">
        <v>64</v>
      </c>
      <c r="P948" s="5">
        <v>84</v>
      </c>
      <c r="Q948" s="4">
        <v>4.5</v>
      </c>
      <c r="R948" s="7" t="b">
        <v>1</v>
      </c>
      <c r="S948" s="7" t="s">
        <v>30</v>
      </c>
      <c r="T948" s="5">
        <v>1539</v>
      </c>
      <c r="U948" s="7" t="s">
        <v>76</v>
      </c>
      <c r="V948" t="s">
        <v>39</v>
      </c>
      <c r="W948" s="7" t="s">
        <v>33</v>
      </c>
    </row>
    <row r="949" spans="1:23" x14ac:dyDescent="0.3">
      <c r="A949" s="6">
        <v>3168</v>
      </c>
      <c r="B949" s="7" t="s">
        <v>373</v>
      </c>
      <c r="C949" s="1">
        <v>45477</v>
      </c>
      <c r="D949" t="s">
        <v>134</v>
      </c>
      <c r="E949" s="8">
        <v>7.99</v>
      </c>
      <c r="F949" s="6">
        <v>348</v>
      </c>
      <c r="G949" s="7" t="s">
        <v>26</v>
      </c>
      <c r="H949" s="6">
        <v>2</v>
      </c>
      <c r="I949" s="6">
        <v>2</v>
      </c>
      <c r="J949" s="7" t="b">
        <v>1</v>
      </c>
      <c r="K949" s="6">
        <v>797</v>
      </c>
      <c r="L949" s="6">
        <v>81</v>
      </c>
      <c r="M949" s="7" t="s">
        <v>68</v>
      </c>
      <c r="N949" s="7" t="s">
        <v>28</v>
      </c>
      <c r="O949" s="7" t="s">
        <v>57</v>
      </c>
      <c r="P949" s="5">
        <v>12</v>
      </c>
      <c r="Q949" s="4">
        <v>5</v>
      </c>
      <c r="R949" s="7" t="b">
        <v>1</v>
      </c>
      <c r="S949" s="7" t="s">
        <v>30</v>
      </c>
      <c r="T949" s="5">
        <v>2657</v>
      </c>
      <c r="U949" s="7" t="s">
        <v>58</v>
      </c>
      <c r="V949" t="s">
        <v>69</v>
      </c>
      <c r="W949" s="7" t="s">
        <v>60</v>
      </c>
    </row>
    <row r="950" spans="1:23" x14ac:dyDescent="0.3">
      <c r="A950" s="6">
        <v>2981</v>
      </c>
      <c r="B950" s="7" t="s">
        <v>718</v>
      </c>
      <c r="C950" s="1">
        <v>45478</v>
      </c>
      <c r="D950" s="1">
        <v>45363</v>
      </c>
      <c r="E950" s="8">
        <v>11.99</v>
      </c>
      <c r="F950" s="6">
        <v>482</v>
      </c>
      <c r="G950" s="7" t="s">
        <v>48</v>
      </c>
      <c r="H950" s="6">
        <v>5</v>
      </c>
      <c r="I950" s="6">
        <v>2</v>
      </c>
      <c r="J950" s="7" t="b">
        <v>1</v>
      </c>
      <c r="K950" s="6">
        <v>665</v>
      </c>
      <c r="L950" s="6">
        <v>96</v>
      </c>
      <c r="M950" s="7" t="s">
        <v>92</v>
      </c>
      <c r="N950" s="7" t="s">
        <v>44</v>
      </c>
      <c r="O950" s="7" t="s">
        <v>57</v>
      </c>
      <c r="P950" s="5">
        <v>24</v>
      </c>
      <c r="Q950" s="4">
        <v>4.7</v>
      </c>
      <c r="R950" s="7" t="b">
        <v>1</v>
      </c>
      <c r="S950" s="7" t="s">
        <v>30</v>
      </c>
      <c r="T950" s="5">
        <v>4851</v>
      </c>
      <c r="U950" s="7" t="s">
        <v>31</v>
      </c>
      <c r="V950" t="s">
        <v>59</v>
      </c>
      <c r="W950" s="7" t="s">
        <v>93</v>
      </c>
    </row>
    <row r="951" spans="1:23" x14ac:dyDescent="0.3">
      <c r="A951" s="6">
        <v>7739</v>
      </c>
      <c r="B951" s="7" t="s">
        <v>254</v>
      </c>
      <c r="C951" s="1">
        <v>45263</v>
      </c>
      <c r="D951" s="1">
        <v>45608</v>
      </c>
      <c r="E951" s="8">
        <v>7.99</v>
      </c>
      <c r="F951" s="6">
        <v>384</v>
      </c>
      <c r="G951" s="7" t="s">
        <v>48</v>
      </c>
      <c r="H951" s="6">
        <v>4</v>
      </c>
      <c r="I951" s="6">
        <v>3</v>
      </c>
      <c r="J951" s="7" t="b">
        <v>1</v>
      </c>
      <c r="K951" s="6">
        <v>188</v>
      </c>
      <c r="L951" s="6">
        <v>140</v>
      </c>
      <c r="M951" s="7" t="s">
        <v>92</v>
      </c>
      <c r="N951" s="7" t="s">
        <v>75</v>
      </c>
      <c r="O951" s="7" t="s">
        <v>78</v>
      </c>
      <c r="P951" s="5">
        <v>78</v>
      </c>
      <c r="Q951" s="4">
        <v>3.9</v>
      </c>
      <c r="R951" s="7" t="b">
        <v>0</v>
      </c>
      <c r="S951" s="7" t="s">
        <v>30</v>
      </c>
      <c r="T951" s="5">
        <v>2341</v>
      </c>
      <c r="U951" s="7" t="s">
        <v>31</v>
      </c>
      <c r="V951" t="s">
        <v>39</v>
      </c>
      <c r="W951" s="7" t="s">
        <v>93</v>
      </c>
    </row>
    <row r="952" spans="1:23" x14ac:dyDescent="0.3">
      <c r="A952" s="6">
        <v>5905</v>
      </c>
      <c r="B952" s="7" t="s">
        <v>345</v>
      </c>
      <c r="C952" s="1">
        <v>45446</v>
      </c>
      <c r="D952" s="1">
        <v>45547</v>
      </c>
      <c r="E952" s="8">
        <v>15.99</v>
      </c>
      <c r="F952" s="6">
        <v>178</v>
      </c>
      <c r="G952" s="7" t="s">
        <v>73</v>
      </c>
      <c r="H952" s="6">
        <v>5</v>
      </c>
      <c r="I952" s="6">
        <v>5</v>
      </c>
      <c r="J952" s="7" t="b">
        <v>0</v>
      </c>
      <c r="K952" s="6">
        <v>489</v>
      </c>
      <c r="L952" s="6">
        <v>6</v>
      </c>
      <c r="M952" s="7" t="s">
        <v>55</v>
      </c>
      <c r="N952" s="7" t="s">
        <v>28</v>
      </c>
      <c r="O952" s="7" t="s">
        <v>57</v>
      </c>
      <c r="P952" s="5">
        <v>72</v>
      </c>
      <c r="Q952" s="4">
        <v>4.5</v>
      </c>
      <c r="R952" s="7" t="b">
        <v>0</v>
      </c>
      <c r="S952" s="7" t="s">
        <v>30</v>
      </c>
      <c r="T952" s="5">
        <v>3356</v>
      </c>
      <c r="U952" s="7" t="s">
        <v>76</v>
      </c>
      <c r="V952" t="s">
        <v>79</v>
      </c>
      <c r="W952" s="7" t="s">
        <v>33</v>
      </c>
    </row>
    <row r="953" spans="1:23" x14ac:dyDescent="0.3">
      <c r="A953" s="6">
        <v>1443</v>
      </c>
      <c r="B953" s="7" t="s">
        <v>369</v>
      </c>
      <c r="C953" t="s">
        <v>719</v>
      </c>
      <c r="D953" t="s">
        <v>72</v>
      </c>
      <c r="E953" s="8">
        <v>11.99</v>
      </c>
      <c r="F953" s="6">
        <v>91</v>
      </c>
      <c r="G953" s="7" t="s">
        <v>36</v>
      </c>
      <c r="H953" s="6">
        <v>1</v>
      </c>
      <c r="I953" s="6">
        <v>2</v>
      </c>
      <c r="J953" s="7" t="b">
        <v>0</v>
      </c>
      <c r="K953" s="6">
        <v>377</v>
      </c>
      <c r="L953" s="6">
        <v>14</v>
      </c>
      <c r="M953" s="7" t="s">
        <v>27</v>
      </c>
      <c r="N953" s="7" t="s">
        <v>56</v>
      </c>
      <c r="O953" s="7" t="s">
        <v>37</v>
      </c>
      <c r="P953" s="5">
        <v>53</v>
      </c>
      <c r="Q953" s="4">
        <v>4.5999999999999996</v>
      </c>
      <c r="R953" s="7" t="b">
        <v>0</v>
      </c>
      <c r="S953" s="7" t="s">
        <v>30</v>
      </c>
      <c r="T953" s="5">
        <v>228</v>
      </c>
      <c r="U953" s="7" t="s">
        <v>76</v>
      </c>
      <c r="V953" t="s">
        <v>79</v>
      </c>
      <c r="W953" s="7" t="s">
        <v>33</v>
      </c>
    </row>
    <row r="954" spans="1:23" x14ac:dyDescent="0.3">
      <c r="A954" s="6">
        <v>6181</v>
      </c>
      <c r="B954" s="7" t="s">
        <v>608</v>
      </c>
      <c r="C954" s="1">
        <v>45303</v>
      </c>
      <c r="D954" s="1">
        <v>45424</v>
      </c>
      <c r="E954" s="8">
        <v>11.99</v>
      </c>
      <c r="F954" s="6">
        <v>175</v>
      </c>
      <c r="G954" s="7" t="s">
        <v>63</v>
      </c>
      <c r="H954" s="6">
        <v>4</v>
      </c>
      <c r="I954" s="6">
        <v>3</v>
      </c>
      <c r="J954" s="7" t="b">
        <v>1</v>
      </c>
      <c r="K954" s="6">
        <v>424</v>
      </c>
      <c r="L954" s="6">
        <v>125</v>
      </c>
      <c r="M954" s="7" t="s">
        <v>49</v>
      </c>
      <c r="N954" s="7" t="s">
        <v>56</v>
      </c>
      <c r="O954" s="7" t="s">
        <v>78</v>
      </c>
      <c r="P954" s="5">
        <v>13</v>
      </c>
      <c r="Q954" s="4">
        <v>4.7</v>
      </c>
      <c r="R954" s="7" t="b">
        <v>1</v>
      </c>
      <c r="S954" s="7" t="s">
        <v>30</v>
      </c>
      <c r="T954" s="5">
        <v>2821</v>
      </c>
      <c r="U954" s="7" t="s">
        <v>58</v>
      </c>
      <c r="V954" t="s">
        <v>32</v>
      </c>
      <c r="W954" s="7" t="s">
        <v>40</v>
      </c>
    </row>
    <row r="955" spans="1:23" x14ac:dyDescent="0.3">
      <c r="A955" s="6">
        <v>8406</v>
      </c>
      <c r="B955" s="7" t="s">
        <v>720</v>
      </c>
      <c r="C955" t="s">
        <v>111</v>
      </c>
      <c r="D955" t="s">
        <v>42</v>
      </c>
      <c r="E955" s="8">
        <v>11.99</v>
      </c>
      <c r="F955" s="6">
        <v>187</v>
      </c>
      <c r="G955" s="7" t="s">
        <v>26</v>
      </c>
      <c r="H955" s="6">
        <v>5</v>
      </c>
      <c r="I955" s="6">
        <v>5</v>
      </c>
      <c r="J955" s="7" t="b">
        <v>1</v>
      </c>
      <c r="K955" s="6">
        <v>491</v>
      </c>
      <c r="L955" s="6">
        <v>197</v>
      </c>
      <c r="M955" s="7" t="s">
        <v>49</v>
      </c>
      <c r="N955" s="7" t="s">
        <v>28</v>
      </c>
      <c r="O955" s="7" t="s">
        <v>78</v>
      </c>
      <c r="P955" s="5">
        <v>54</v>
      </c>
      <c r="Q955" s="4">
        <v>3.3</v>
      </c>
      <c r="R955" s="7" t="b">
        <v>1</v>
      </c>
      <c r="S955" s="7" t="s">
        <v>30</v>
      </c>
      <c r="T955" s="5">
        <v>4380</v>
      </c>
      <c r="U955" s="7" t="s">
        <v>31</v>
      </c>
      <c r="V955" t="s">
        <v>32</v>
      </c>
      <c r="W955" s="7" t="s">
        <v>33</v>
      </c>
    </row>
    <row r="956" spans="1:23" x14ac:dyDescent="0.3">
      <c r="A956" s="6">
        <v>5389</v>
      </c>
      <c r="B956" s="7" t="s">
        <v>721</v>
      </c>
      <c r="C956" t="s">
        <v>722</v>
      </c>
      <c r="D956" t="s">
        <v>168</v>
      </c>
      <c r="E956" s="8">
        <v>11.99</v>
      </c>
      <c r="F956" s="6">
        <v>352</v>
      </c>
      <c r="G956" s="7" t="s">
        <v>36</v>
      </c>
      <c r="H956" s="6">
        <v>4</v>
      </c>
      <c r="I956" s="6">
        <v>1</v>
      </c>
      <c r="J956" s="7" t="b">
        <v>0</v>
      </c>
      <c r="K956" s="6">
        <v>521</v>
      </c>
      <c r="L956" s="6">
        <v>128</v>
      </c>
      <c r="M956" s="7" t="s">
        <v>74</v>
      </c>
      <c r="N956" s="7" t="s">
        <v>75</v>
      </c>
      <c r="O956" s="7" t="s">
        <v>64</v>
      </c>
      <c r="P956" s="5">
        <v>59</v>
      </c>
      <c r="Q956" s="4">
        <v>4.5999999999999996</v>
      </c>
      <c r="R956" s="7" t="b">
        <v>1</v>
      </c>
      <c r="S956" s="7" t="s">
        <v>30</v>
      </c>
      <c r="T956" s="5">
        <v>2131</v>
      </c>
      <c r="U956" s="7" t="s">
        <v>38</v>
      </c>
      <c r="V956" t="s">
        <v>69</v>
      </c>
      <c r="W956" s="7" t="s">
        <v>93</v>
      </c>
    </row>
    <row r="957" spans="1:23" x14ac:dyDescent="0.3">
      <c r="A957" s="6">
        <v>4586</v>
      </c>
      <c r="B957" s="7" t="s">
        <v>723</v>
      </c>
      <c r="C957" t="s">
        <v>216</v>
      </c>
      <c r="D957" s="1">
        <v>45303</v>
      </c>
      <c r="E957" s="8">
        <v>7.99</v>
      </c>
      <c r="F957" s="6">
        <v>448</v>
      </c>
      <c r="G957" s="7" t="s">
        <v>26</v>
      </c>
      <c r="H957" s="6">
        <v>3</v>
      </c>
      <c r="I957" s="6">
        <v>4</v>
      </c>
      <c r="J957" s="7" t="b">
        <v>1</v>
      </c>
      <c r="K957" s="6">
        <v>506</v>
      </c>
      <c r="L957" s="6">
        <v>193</v>
      </c>
      <c r="M957" s="7" t="s">
        <v>74</v>
      </c>
      <c r="N957" s="7" t="s">
        <v>44</v>
      </c>
      <c r="O957" s="7" t="s">
        <v>57</v>
      </c>
      <c r="P957" s="5">
        <v>79</v>
      </c>
      <c r="Q957" s="4">
        <v>4.3</v>
      </c>
      <c r="R957" s="7" t="b">
        <v>0</v>
      </c>
      <c r="S957" s="7" t="s">
        <v>30</v>
      </c>
      <c r="T957" s="5">
        <v>3589</v>
      </c>
      <c r="U957" s="7" t="s">
        <v>58</v>
      </c>
      <c r="V957" t="s">
        <v>39</v>
      </c>
      <c r="W957" s="7" t="s">
        <v>33</v>
      </c>
    </row>
    <row r="958" spans="1:23" x14ac:dyDescent="0.3">
      <c r="A958" s="6">
        <v>4020</v>
      </c>
      <c r="B958" s="7" t="s">
        <v>691</v>
      </c>
      <c r="C958" t="s">
        <v>540</v>
      </c>
      <c r="D958" s="1">
        <v>45334</v>
      </c>
      <c r="E958" s="8">
        <v>15.99</v>
      </c>
      <c r="F958" s="6">
        <v>81</v>
      </c>
      <c r="G958" s="7" t="s">
        <v>48</v>
      </c>
      <c r="H958" s="6">
        <v>1</v>
      </c>
      <c r="I958" s="6">
        <v>6</v>
      </c>
      <c r="J958" s="7" t="b">
        <v>0</v>
      </c>
      <c r="K958" s="6">
        <v>390</v>
      </c>
      <c r="L958" s="6">
        <v>43</v>
      </c>
      <c r="M958" s="7" t="s">
        <v>49</v>
      </c>
      <c r="N958" s="7" t="s">
        <v>44</v>
      </c>
      <c r="O958" s="7" t="s">
        <v>45</v>
      </c>
      <c r="P958" s="5">
        <v>33</v>
      </c>
      <c r="Q958" s="4">
        <v>4</v>
      </c>
      <c r="R958" s="7" t="b">
        <v>0</v>
      </c>
      <c r="S958" s="7" t="s">
        <v>30</v>
      </c>
      <c r="T958" s="5">
        <v>4162</v>
      </c>
      <c r="U958" s="7" t="s">
        <v>38</v>
      </c>
      <c r="V958" t="s">
        <v>69</v>
      </c>
      <c r="W958" s="7" t="s">
        <v>93</v>
      </c>
    </row>
    <row r="959" spans="1:23" x14ac:dyDescent="0.3">
      <c r="A959" s="6">
        <v>1635</v>
      </c>
      <c r="B959" s="7" t="s">
        <v>434</v>
      </c>
      <c r="C959" t="s">
        <v>432</v>
      </c>
      <c r="D959" s="1">
        <v>45424</v>
      </c>
      <c r="E959" s="8">
        <v>15.99</v>
      </c>
      <c r="F959" s="6">
        <v>321</v>
      </c>
      <c r="G959" s="7" t="s">
        <v>48</v>
      </c>
      <c r="H959" s="6">
        <v>1</v>
      </c>
      <c r="I959" s="6">
        <v>5</v>
      </c>
      <c r="J959" s="7" t="b">
        <v>1</v>
      </c>
      <c r="K959" s="6">
        <v>276</v>
      </c>
      <c r="L959" s="6">
        <v>182</v>
      </c>
      <c r="M959" s="7" t="s">
        <v>68</v>
      </c>
      <c r="N959" s="7" t="s">
        <v>75</v>
      </c>
      <c r="O959" s="7" t="s">
        <v>45</v>
      </c>
      <c r="P959" s="5">
        <v>52</v>
      </c>
      <c r="Q959" s="4">
        <v>4.9000000000000004</v>
      </c>
      <c r="R959" s="7" t="b">
        <v>1</v>
      </c>
      <c r="S959" s="7" t="s">
        <v>30</v>
      </c>
      <c r="T959" s="5">
        <v>1013</v>
      </c>
      <c r="U959" s="7" t="s">
        <v>58</v>
      </c>
      <c r="V959" t="s">
        <v>32</v>
      </c>
      <c r="W959" s="7" t="s">
        <v>93</v>
      </c>
    </row>
    <row r="960" spans="1:23" x14ac:dyDescent="0.3">
      <c r="A960" s="6">
        <v>9257</v>
      </c>
      <c r="B960" s="7" t="s">
        <v>177</v>
      </c>
      <c r="C960" s="1">
        <v>45418</v>
      </c>
      <c r="D960" t="s">
        <v>168</v>
      </c>
      <c r="E960" s="8">
        <v>7.99</v>
      </c>
      <c r="F960" s="6">
        <v>114</v>
      </c>
      <c r="G960" s="7" t="s">
        <v>63</v>
      </c>
      <c r="H960" s="6">
        <v>1</v>
      </c>
      <c r="I960" s="6">
        <v>1</v>
      </c>
      <c r="J960" s="7" t="b">
        <v>1</v>
      </c>
      <c r="K960" s="6">
        <v>896</v>
      </c>
      <c r="L960" s="6">
        <v>9</v>
      </c>
      <c r="M960" s="7" t="s">
        <v>68</v>
      </c>
      <c r="N960" s="7" t="s">
        <v>44</v>
      </c>
      <c r="O960" s="7" t="s">
        <v>45</v>
      </c>
      <c r="P960" s="5">
        <v>60</v>
      </c>
      <c r="Q960" s="4">
        <v>3.2</v>
      </c>
      <c r="R960" s="7" t="b">
        <v>0</v>
      </c>
      <c r="S960" s="7" t="s">
        <v>30</v>
      </c>
      <c r="T960" s="5">
        <v>2731</v>
      </c>
      <c r="U960" s="7" t="s">
        <v>38</v>
      </c>
      <c r="V960" t="s">
        <v>59</v>
      </c>
      <c r="W960" s="7" t="s">
        <v>60</v>
      </c>
    </row>
    <row r="961" spans="1:23" x14ac:dyDescent="0.3">
      <c r="A961" s="6">
        <v>6380</v>
      </c>
      <c r="B961" s="7" t="s">
        <v>88</v>
      </c>
      <c r="C961" s="1">
        <v>45020</v>
      </c>
      <c r="D961" t="s">
        <v>42</v>
      </c>
      <c r="E961" s="8">
        <v>7.99</v>
      </c>
      <c r="F961" s="6">
        <v>493</v>
      </c>
      <c r="G961" s="7" t="s">
        <v>36</v>
      </c>
      <c r="H961" s="6">
        <v>5</v>
      </c>
      <c r="I961" s="6">
        <v>2</v>
      </c>
      <c r="J961" s="7" t="b">
        <v>1</v>
      </c>
      <c r="K961" s="6">
        <v>29</v>
      </c>
      <c r="L961" s="6">
        <v>82</v>
      </c>
      <c r="M961" s="7" t="s">
        <v>55</v>
      </c>
      <c r="N961" s="7" t="s">
        <v>75</v>
      </c>
      <c r="O961" s="7" t="s">
        <v>29</v>
      </c>
      <c r="P961" s="5">
        <v>64</v>
      </c>
      <c r="Q961" s="4">
        <v>3.4</v>
      </c>
      <c r="R961" s="7" t="b">
        <v>0</v>
      </c>
      <c r="S961" s="7" t="s">
        <v>30</v>
      </c>
      <c r="T961" s="5">
        <v>833</v>
      </c>
      <c r="U961" s="7" t="s">
        <v>31</v>
      </c>
      <c r="V961" t="s">
        <v>59</v>
      </c>
      <c r="W961" s="7" t="s">
        <v>40</v>
      </c>
    </row>
    <row r="962" spans="1:23" x14ac:dyDescent="0.3">
      <c r="A962" s="6">
        <v>6385</v>
      </c>
      <c r="B962" s="7" t="s">
        <v>508</v>
      </c>
      <c r="C962" t="s">
        <v>670</v>
      </c>
      <c r="D962" t="s">
        <v>105</v>
      </c>
      <c r="E962" s="8">
        <v>11.99</v>
      </c>
      <c r="F962" s="6">
        <v>475</v>
      </c>
      <c r="G962" s="7" t="s">
        <v>51</v>
      </c>
      <c r="H962" s="6">
        <v>1</v>
      </c>
      <c r="I962" s="6">
        <v>5</v>
      </c>
      <c r="J962" s="7" t="b">
        <v>0</v>
      </c>
      <c r="K962" s="6">
        <v>523</v>
      </c>
      <c r="L962" s="6">
        <v>30</v>
      </c>
      <c r="M962" s="7" t="s">
        <v>74</v>
      </c>
      <c r="N962" s="7" t="s">
        <v>75</v>
      </c>
      <c r="O962" s="7" t="s">
        <v>37</v>
      </c>
      <c r="P962" s="5">
        <v>2</v>
      </c>
      <c r="Q962" s="4">
        <v>4.8</v>
      </c>
      <c r="R962" s="7" t="b">
        <v>0</v>
      </c>
      <c r="S962" s="7" t="s">
        <v>30</v>
      </c>
      <c r="T962" s="5">
        <v>2428</v>
      </c>
      <c r="U962" s="7" t="s">
        <v>31</v>
      </c>
      <c r="V962" t="s">
        <v>59</v>
      </c>
      <c r="W962" s="7" t="s">
        <v>33</v>
      </c>
    </row>
    <row r="963" spans="1:23" x14ac:dyDescent="0.3">
      <c r="A963" s="6">
        <v>6858</v>
      </c>
      <c r="B963" s="7" t="s">
        <v>318</v>
      </c>
      <c r="C963" t="s">
        <v>724</v>
      </c>
      <c r="D963" s="1">
        <v>45638</v>
      </c>
      <c r="E963" s="8">
        <v>11.99</v>
      </c>
      <c r="F963" s="6">
        <v>287</v>
      </c>
      <c r="G963" s="7" t="s">
        <v>51</v>
      </c>
      <c r="H963" s="6">
        <v>1</v>
      </c>
      <c r="I963" s="6">
        <v>2</v>
      </c>
      <c r="J963" s="7" t="b">
        <v>0</v>
      </c>
      <c r="K963" s="6">
        <v>918</v>
      </c>
      <c r="L963" s="6">
        <v>82</v>
      </c>
      <c r="M963" s="7" t="s">
        <v>55</v>
      </c>
      <c r="N963" s="7" t="s">
        <v>44</v>
      </c>
      <c r="O963" s="7" t="s">
        <v>37</v>
      </c>
      <c r="P963" s="5">
        <v>81</v>
      </c>
      <c r="Q963" s="4">
        <v>3.2</v>
      </c>
      <c r="R963" s="7" t="b">
        <v>0</v>
      </c>
      <c r="S963" s="7" t="s">
        <v>30</v>
      </c>
      <c r="T963" s="5">
        <v>4555</v>
      </c>
      <c r="U963" s="7" t="s">
        <v>58</v>
      </c>
      <c r="V963" t="s">
        <v>79</v>
      </c>
      <c r="W963" s="7" t="s">
        <v>93</v>
      </c>
    </row>
    <row r="964" spans="1:23" x14ac:dyDescent="0.3">
      <c r="A964" s="6">
        <v>8875</v>
      </c>
      <c r="B964" s="7" t="s">
        <v>434</v>
      </c>
      <c r="C964" t="s">
        <v>81</v>
      </c>
      <c r="D964" t="s">
        <v>72</v>
      </c>
      <c r="E964" s="8">
        <v>15.99</v>
      </c>
      <c r="F964" s="6">
        <v>138</v>
      </c>
      <c r="G964" s="7" t="s">
        <v>26</v>
      </c>
      <c r="H964" s="6">
        <v>5</v>
      </c>
      <c r="I964" s="6">
        <v>2</v>
      </c>
      <c r="J964" s="7" t="b">
        <v>0</v>
      </c>
      <c r="K964" s="6">
        <v>40</v>
      </c>
      <c r="L964" s="6">
        <v>166</v>
      </c>
      <c r="M964" s="7" t="s">
        <v>49</v>
      </c>
      <c r="N964" s="7" t="s">
        <v>75</v>
      </c>
      <c r="O964" s="7" t="s">
        <v>78</v>
      </c>
      <c r="P964" s="5">
        <v>83</v>
      </c>
      <c r="Q964" s="4">
        <v>4.2</v>
      </c>
      <c r="R964" s="7" t="b">
        <v>0</v>
      </c>
      <c r="S964" s="7" t="s">
        <v>30</v>
      </c>
      <c r="T964" s="5">
        <v>4777</v>
      </c>
      <c r="U964" s="7" t="s">
        <v>76</v>
      </c>
      <c r="V964" t="s">
        <v>39</v>
      </c>
      <c r="W964" s="7" t="s">
        <v>60</v>
      </c>
    </row>
    <row r="965" spans="1:23" x14ac:dyDescent="0.3">
      <c r="A965" s="6">
        <v>3334</v>
      </c>
      <c r="B965" s="7" t="s">
        <v>286</v>
      </c>
      <c r="C965" s="1">
        <v>45477</v>
      </c>
      <c r="D965" s="1">
        <v>45424</v>
      </c>
      <c r="E965" s="8">
        <v>15.99</v>
      </c>
      <c r="F965" s="6">
        <v>198</v>
      </c>
      <c r="G965" s="7" t="s">
        <v>26</v>
      </c>
      <c r="H965" s="6">
        <v>3</v>
      </c>
      <c r="I965" s="6">
        <v>1</v>
      </c>
      <c r="J965" s="7" t="b">
        <v>1</v>
      </c>
      <c r="K965" s="6">
        <v>614</v>
      </c>
      <c r="L965" s="6">
        <v>69</v>
      </c>
      <c r="M965" s="7" t="s">
        <v>92</v>
      </c>
      <c r="N965" s="7" t="s">
        <v>28</v>
      </c>
      <c r="O965" s="7" t="s">
        <v>57</v>
      </c>
      <c r="P965" s="5">
        <v>27</v>
      </c>
      <c r="Q965" s="4">
        <v>3.6</v>
      </c>
      <c r="R965" s="7" t="b">
        <v>1</v>
      </c>
      <c r="S965" s="7" t="s">
        <v>30</v>
      </c>
      <c r="T965" s="5">
        <v>459</v>
      </c>
      <c r="U965" s="7" t="s">
        <v>31</v>
      </c>
      <c r="V965" t="s">
        <v>39</v>
      </c>
      <c r="W965" s="7" t="s">
        <v>33</v>
      </c>
    </row>
    <row r="966" spans="1:23" x14ac:dyDescent="0.3">
      <c r="A966" s="6">
        <v>5850</v>
      </c>
      <c r="B966" s="7" t="s">
        <v>126</v>
      </c>
      <c r="C966" s="1">
        <v>45115</v>
      </c>
      <c r="D966" s="1">
        <v>45608</v>
      </c>
      <c r="E966" s="8">
        <v>15.99</v>
      </c>
      <c r="F966" s="6">
        <v>164</v>
      </c>
      <c r="G966" s="7" t="s">
        <v>26</v>
      </c>
      <c r="H966" s="6">
        <v>2</v>
      </c>
      <c r="I966" s="6">
        <v>1</v>
      </c>
      <c r="J966" s="7" t="b">
        <v>0</v>
      </c>
      <c r="K966" s="6">
        <v>833</v>
      </c>
      <c r="L966" s="6">
        <v>89</v>
      </c>
      <c r="M966" s="7" t="s">
        <v>92</v>
      </c>
      <c r="N966" s="7" t="s">
        <v>75</v>
      </c>
      <c r="O966" s="7" t="s">
        <v>57</v>
      </c>
      <c r="P966" s="5">
        <v>32</v>
      </c>
      <c r="Q966" s="4">
        <v>4.9000000000000004</v>
      </c>
      <c r="R966" s="7" t="b">
        <v>0</v>
      </c>
      <c r="S966" s="7" t="s">
        <v>30</v>
      </c>
      <c r="T966" s="5">
        <v>2644</v>
      </c>
      <c r="U966" s="7" t="s">
        <v>58</v>
      </c>
      <c r="V966" t="s">
        <v>59</v>
      </c>
      <c r="W966" s="7" t="s">
        <v>40</v>
      </c>
    </row>
    <row r="967" spans="1:23" x14ac:dyDescent="0.3">
      <c r="A967" s="6">
        <v>8593</v>
      </c>
      <c r="B967" s="7" t="s">
        <v>153</v>
      </c>
      <c r="C967" t="s">
        <v>467</v>
      </c>
      <c r="D967" s="1">
        <v>45577</v>
      </c>
      <c r="E967" s="8">
        <v>15.99</v>
      </c>
      <c r="F967" s="6">
        <v>65</v>
      </c>
      <c r="G967" s="7" t="s">
        <v>63</v>
      </c>
      <c r="H967" s="6">
        <v>4</v>
      </c>
      <c r="I967" s="6">
        <v>3</v>
      </c>
      <c r="J967" s="7" t="b">
        <v>0</v>
      </c>
      <c r="K967" s="6">
        <v>238</v>
      </c>
      <c r="L967" s="6">
        <v>39</v>
      </c>
      <c r="M967" s="7" t="s">
        <v>92</v>
      </c>
      <c r="N967" s="7" t="s">
        <v>75</v>
      </c>
      <c r="O967" s="7" t="s">
        <v>37</v>
      </c>
      <c r="P967" s="5">
        <v>23</v>
      </c>
      <c r="Q967" s="4">
        <v>4.7</v>
      </c>
      <c r="R967" s="7" t="b">
        <v>0</v>
      </c>
      <c r="S967" s="7" t="s">
        <v>30</v>
      </c>
      <c r="T967" s="5">
        <v>2678</v>
      </c>
      <c r="U967" s="7" t="s">
        <v>58</v>
      </c>
      <c r="V967" t="s">
        <v>69</v>
      </c>
      <c r="W967" s="7" t="s">
        <v>40</v>
      </c>
    </row>
    <row r="968" spans="1:23" x14ac:dyDescent="0.3">
      <c r="A968" s="6">
        <v>6278</v>
      </c>
      <c r="B968" s="7" t="s">
        <v>357</v>
      </c>
      <c r="C968" t="s">
        <v>314</v>
      </c>
      <c r="D968" t="s">
        <v>87</v>
      </c>
      <c r="E968" s="8">
        <v>7.99</v>
      </c>
      <c r="F968" s="6">
        <v>388</v>
      </c>
      <c r="G968" s="7" t="s">
        <v>36</v>
      </c>
      <c r="H968" s="6">
        <v>1</v>
      </c>
      <c r="I968" s="6">
        <v>6</v>
      </c>
      <c r="J968" s="7" t="b">
        <v>1</v>
      </c>
      <c r="K968" s="6">
        <v>861</v>
      </c>
      <c r="L968" s="6">
        <v>59</v>
      </c>
      <c r="M968" s="7" t="s">
        <v>27</v>
      </c>
      <c r="N968" s="7" t="s">
        <v>44</v>
      </c>
      <c r="O968" s="7" t="s">
        <v>29</v>
      </c>
      <c r="P968" s="5">
        <v>42</v>
      </c>
      <c r="Q968" s="4">
        <v>4.4000000000000004</v>
      </c>
      <c r="R968" s="7" t="b">
        <v>0</v>
      </c>
      <c r="S968" s="7" t="s">
        <v>30</v>
      </c>
      <c r="T968" s="5">
        <v>1129</v>
      </c>
      <c r="U968" s="7" t="s">
        <v>65</v>
      </c>
      <c r="V968" t="s">
        <v>69</v>
      </c>
      <c r="W968" s="7" t="s">
        <v>60</v>
      </c>
    </row>
    <row r="969" spans="1:23" x14ac:dyDescent="0.3">
      <c r="A969" s="6">
        <v>1388</v>
      </c>
      <c r="B969" s="7" t="s">
        <v>157</v>
      </c>
      <c r="C969" t="s">
        <v>415</v>
      </c>
      <c r="D969" s="1">
        <v>45577</v>
      </c>
      <c r="E969" s="8">
        <v>15.99</v>
      </c>
      <c r="F969" s="6">
        <v>412</v>
      </c>
      <c r="G969" s="7" t="s">
        <v>100</v>
      </c>
      <c r="H969" s="6">
        <v>3</v>
      </c>
      <c r="I969" s="6">
        <v>3</v>
      </c>
      <c r="J969" s="7" t="b">
        <v>1</v>
      </c>
      <c r="K969" s="6">
        <v>999</v>
      </c>
      <c r="L969" s="6">
        <v>127</v>
      </c>
      <c r="M969" s="7" t="s">
        <v>27</v>
      </c>
      <c r="N969" s="7" t="s">
        <v>75</v>
      </c>
      <c r="O969" s="7" t="s">
        <v>29</v>
      </c>
      <c r="P969" s="5">
        <v>4</v>
      </c>
      <c r="Q969" s="4">
        <v>4</v>
      </c>
      <c r="R969" s="7" t="b">
        <v>0</v>
      </c>
      <c r="S969" s="7" t="s">
        <v>30</v>
      </c>
      <c r="T969" s="5">
        <v>1258</v>
      </c>
      <c r="U969" s="7" t="s">
        <v>38</v>
      </c>
      <c r="V969" t="s">
        <v>59</v>
      </c>
      <c r="W969" s="7" t="s">
        <v>33</v>
      </c>
    </row>
    <row r="970" spans="1:23" x14ac:dyDescent="0.3">
      <c r="A970" s="6">
        <v>2521</v>
      </c>
      <c r="B970" s="7" t="s">
        <v>143</v>
      </c>
      <c r="C970" t="s">
        <v>725</v>
      </c>
      <c r="D970" t="s">
        <v>99</v>
      </c>
      <c r="E970" s="8">
        <v>15.99</v>
      </c>
      <c r="F970" s="6">
        <v>267</v>
      </c>
      <c r="G970" s="7" t="s">
        <v>26</v>
      </c>
      <c r="H970" s="6">
        <v>4</v>
      </c>
      <c r="I970" s="6">
        <v>4</v>
      </c>
      <c r="J970" s="7" t="b">
        <v>0</v>
      </c>
      <c r="K970" s="6">
        <v>118</v>
      </c>
      <c r="L970" s="6">
        <v>6</v>
      </c>
      <c r="M970" s="7" t="s">
        <v>27</v>
      </c>
      <c r="N970" s="7" t="s">
        <v>75</v>
      </c>
      <c r="O970" s="7" t="s">
        <v>64</v>
      </c>
      <c r="P970" s="5">
        <v>57</v>
      </c>
      <c r="Q970" s="4">
        <v>5</v>
      </c>
      <c r="R970" s="7" t="b">
        <v>0</v>
      </c>
      <c r="S970" s="7" t="s">
        <v>30</v>
      </c>
      <c r="T970" s="5">
        <v>3213</v>
      </c>
      <c r="U970" s="7" t="s">
        <v>31</v>
      </c>
      <c r="V970" t="s">
        <v>79</v>
      </c>
      <c r="W970" s="7" t="s">
        <v>40</v>
      </c>
    </row>
    <row r="971" spans="1:23" x14ac:dyDescent="0.3">
      <c r="A971" s="6">
        <v>1269</v>
      </c>
      <c r="B971" s="7" t="s">
        <v>726</v>
      </c>
      <c r="C971" s="1">
        <v>45170</v>
      </c>
      <c r="D971" t="s">
        <v>168</v>
      </c>
      <c r="E971" s="8">
        <v>15.99</v>
      </c>
      <c r="F971" s="6">
        <v>29</v>
      </c>
      <c r="G971" s="7" t="s">
        <v>26</v>
      </c>
      <c r="H971" s="6">
        <v>3</v>
      </c>
      <c r="I971" s="6">
        <v>2</v>
      </c>
      <c r="J971" s="7" t="b">
        <v>0</v>
      </c>
      <c r="K971" s="6">
        <v>404</v>
      </c>
      <c r="L971" s="6">
        <v>177</v>
      </c>
      <c r="M971" s="7" t="s">
        <v>27</v>
      </c>
      <c r="N971" s="7" t="s">
        <v>75</v>
      </c>
      <c r="O971" s="7" t="s">
        <v>57</v>
      </c>
      <c r="P971" s="5">
        <v>81</v>
      </c>
      <c r="Q971" s="4">
        <v>4.4000000000000004</v>
      </c>
      <c r="R971" s="7" t="b">
        <v>0</v>
      </c>
      <c r="S971" s="7" t="s">
        <v>30</v>
      </c>
      <c r="T971" s="5">
        <v>4127</v>
      </c>
      <c r="U971" s="7" t="s">
        <v>76</v>
      </c>
      <c r="V971" t="s">
        <v>59</v>
      </c>
      <c r="W971" s="7" t="s">
        <v>40</v>
      </c>
    </row>
    <row r="972" spans="1:23" x14ac:dyDescent="0.3">
      <c r="A972" s="6">
        <v>9959</v>
      </c>
      <c r="B972" s="7" t="s">
        <v>266</v>
      </c>
      <c r="C972" s="1">
        <v>45605</v>
      </c>
      <c r="D972" s="1">
        <v>45577</v>
      </c>
      <c r="E972" s="8">
        <v>15.99</v>
      </c>
      <c r="F972" s="6">
        <v>454</v>
      </c>
      <c r="G972" s="7" t="s">
        <v>26</v>
      </c>
      <c r="H972" s="6">
        <v>5</v>
      </c>
      <c r="I972" s="6">
        <v>6</v>
      </c>
      <c r="J972" s="7" t="b">
        <v>1</v>
      </c>
      <c r="K972" s="6">
        <v>938</v>
      </c>
      <c r="L972" s="6">
        <v>75</v>
      </c>
      <c r="M972" s="7" t="s">
        <v>74</v>
      </c>
      <c r="N972" s="7" t="s">
        <v>44</v>
      </c>
      <c r="O972" s="7" t="s">
        <v>37</v>
      </c>
      <c r="P972" s="5">
        <v>51</v>
      </c>
      <c r="Q972" s="4">
        <v>3.1</v>
      </c>
      <c r="R972" s="7" t="b">
        <v>0</v>
      </c>
      <c r="S972" s="7" t="s">
        <v>30</v>
      </c>
      <c r="T972" s="5">
        <v>1961</v>
      </c>
      <c r="U972" s="7" t="s">
        <v>58</v>
      </c>
      <c r="V972" t="s">
        <v>39</v>
      </c>
      <c r="W972" s="7" t="s">
        <v>93</v>
      </c>
    </row>
    <row r="973" spans="1:23" x14ac:dyDescent="0.3">
      <c r="A973" s="6">
        <v>7549</v>
      </c>
      <c r="B973" s="7" t="s">
        <v>720</v>
      </c>
      <c r="C973" t="s">
        <v>265</v>
      </c>
      <c r="D973" t="s">
        <v>105</v>
      </c>
      <c r="E973" s="8">
        <v>15.99</v>
      </c>
      <c r="F973" s="6">
        <v>119</v>
      </c>
      <c r="G973" s="7" t="s">
        <v>100</v>
      </c>
      <c r="H973" s="6">
        <v>1</v>
      </c>
      <c r="I973" s="6">
        <v>5</v>
      </c>
      <c r="J973" s="7" t="b">
        <v>1</v>
      </c>
      <c r="K973" s="6">
        <v>112</v>
      </c>
      <c r="L973" s="6">
        <v>181</v>
      </c>
      <c r="M973" s="7" t="s">
        <v>92</v>
      </c>
      <c r="N973" s="7" t="s">
        <v>56</v>
      </c>
      <c r="O973" s="7" t="s">
        <v>37</v>
      </c>
      <c r="P973" s="5">
        <v>47</v>
      </c>
      <c r="Q973" s="4">
        <v>3.2</v>
      </c>
      <c r="R973" s="7" t="b">
        <v>1</v>
      </c>
      <c r="S973" s="7" t="s">
        <v>30</v>
      </c>
      <c r="T973" s="5">
        <v>1708</v>
      </c>
      <c r="U973" s="7" t="s">
        <v>38</v>
      </c>
      <c r="V973" t="s">
        <v>59</v>
      </c>
      <c r="W973" s="7" t="s">
        <v>93</v>
      </c>
    </row>
    <row r="974" spans="1:23" x14ac:dyDescent="0.3">
      <c r="A974" s="6">
        <v>4747</v>
      </c>
      <c r="B974" s="7" t="s">
        <v>224</v>
      </c>
      <c r="C974" s="1">
        <v>45567</v>
      </c>
      <c r="D974" s="1">
        <v>45547</v>
      </c>
      <c r="E974" s="8">
        <v>11.99</v>
      </c>
      <c r="F974" s="6">
        <v>311</v>
      </c>
      <c r="G974" s="7" t="s">
        <v>26</v>
      </c>
      <c r="H974" s="6">
        <v>5</v>
      </c>
      <c r="I974" s="6">
        <v>1</v>
      </c>
      <c r="J974" s="7" t="b">
        <v>1</v>
      </c>
      <c r="K974" s="6">
        <v>430</v>
      </c>
      <c r="L974" s="6">
        <v>188</v>
      </c>
      <c r="M974" s="7" t="s">
        <v>49</v>
      </c>
      <c r="N974" s="7" t="s">
        <v>56</v>
      </c>
      <c r="O974" s="7" t="s">
        <v>78</v>
      </c>
      <c r="P974" s="5">
        <v>78</v>
      </c>
      <c r="Q974" s="4">
        <v>4.4000000000000004</v>
      </c>
      <c r="R974" s="7" t="b">
        <v>1</v>
      </c>
      <c r="S974" s="7" t="s">
        <v>30</v>
      </c>
      <c r="T974" s="5">
        <v>2288</v>
      </c>
      <c r="U974" s="7" t="s">
        <v>58</v>
      </c>
      <c r="V974" t="s">
        <v>79</v>
      </c>
      <c r="W974" s="7" t="s">
        <v>60</v>
      </c>
    </row>
    <row r="975" spans="1:23" x14ac:dyDescent="0.3">
      <c r="A975" s="6">
        <v>8320</v>
      </c>
      <c r="B975" s="7" t="s">
        <v>549</v>
      </c>
      <c r="C975" s="1">
        <v>45323</v>
      </c>
      <c r="D975" s="1">
        <v>45547</v>
      </c>
      <c r="E975" s="8">
        <v>15.99</v>
      </c>
      <c r="F975" s="6">
        <v>122</v>
      </c>
      <c r="G975" s="7" t="s">
        <v>73</v>
      </c>
      <c r="H975" s="6">
        <v>2</v>
      </c>
      <c r="I975" s="6">
        <v>2</v>
      </c>
      <c r="J975" s="7" t="b">
        <v>0</v>
      </c>
      <c r="K975" s="6">
        <v>626</v>
      </c>
      <c r="L975" s="6">
        <v>69</v>
      </c>
      <c r="M975" s="7" t="s">
        <v>27</v>
      </c>
      <c r="N975" s="7" t="s">
        <v>28</v>
      </c>
      <c r="O975" s="7" t="s">
        <v>45</v>
      </c>
      <c r="P975" s="5">
        <v>17</v>
      </c>
      <c r="Q975" s="4">
        <v>4.2</v>
      </c>
      <c r="R975" s="7" t="b">
        <v>1</v>
      </c>
      <c r="S975" s="7" t="s">
        <v>30</v>
      </c>
      <c r="T975" s="5">
        <v>4570</v>
      </c>
      <c r="U975" s="7" t="s">
        <v>65</v>
      </c>
      <c r="V975" t="s">
        <v>32</v>
      </c>
      <c r="W975" s="7" t="s">
        <v>60</v>
      </c>
    </row>
    <row r="976" spans="1:23" x14ac:dyDescent="0.3">
      <c r="A976" s="6">
        <v>1333</v>
      </c>
      <c r="B976" s="7" t="s">
        <v>106</v>
      </c>
      <c r="C976" t="s">
        <v>727</v>
      </c>
      <c r="D976" t="s">
        <v>54</v>
      </c>
      <c r="E976" s="8">
        <v>15.99</v>
      </c>
      <c r="F976" s="6">
        <v>300</v>
      </c>
      <c r="G976" s="7" t="s">
        <v>48</v>
      </c>
      <c r="H976" s="6">
        <v>5</v>
      </c>
      <c r="I976" s="6">
        <v>4</v>
      </c>
      <c r="J976" s="7" t="b">
        <v>1</v>
      </c>
      <c r="K976" s="6">
        <v>819</v>
      </c>
      <c r="L976" s="6">
        <v>143</v>
      </c>
      <c r="M976" s="7" t="s">
        <v>43</v>
      </c>
      <c r="N976" s="7" t="s">
        <v>56</v>
      </c>
      <c r="O976" s="7" t="s">
        <v>37</v>
      </c>
      <c r="P976" s="5">
        <v>23</v>
      </c>
      <c r="Q976" s="4">
        <v>5</v>
      </c>
      <c r="R976" s="7" t="b">
        <v>0</v>
      </c>
      <c r="S976" s="7" t="s">
        <v>30</v>
      </c>
      <c r="T976" s="5">
        <v>2547</v>
      </c>
      <c r="U976" s="7" t="s">
        <v>38</v>
      </c>
      <c r="V976" t="s">
        <v>69</v>
      </c>
      <c r="W976" s="7" t="s">
        <v>40</v>
      </c>
    </row>
    <row r="977" spans="1:23" x14ac:dyDescent="0.3">
      <c r="A977" s="6">
        <v>5254</v>
      </c>
      <c r="B977" s="7" t="s">
        <v>542</v>
      </c>
      <c r="C977" s="1">
        <v>45605</v>
      </c>
      <c r="D977" t="s">
        <v>90</v>
      </c>
      <c r="E977" s="8">
        <v>15.99</v>
      </c>
      <c r="F977" s="6">
        <v>59</v>
      </c>
      <c r="G977" s="7" t="s">
        <v>100</v>
      </c>
      <c r="H977" s="6">
        <v>4</v>
      </c>
      <c r="I977" s="6">
        <v>3</v>
      </c>
      <c r="J977" s="7" t="b">
        <v>0</v>
      </c>
      <c r="K977" s="6">
        <v>718</v>
      </c>
      <c r="L977" s="6">
        <v>3</v>
      </c>
      <c r="M977" s="7" t="s">
        <v>43</v>
      </c>
      <c r="N977" s="7" t="s">
        <v>44</v>
      </c>
      <c r="O977" s="7" t="s">
        <v>37</v>
      </c>
      <c r="P977" s="5">
        <v>43</v>
      </c>
      <c r="Q977" s="4">
        <v>4.2</v>
      </c>
      <c r="R977" s="7" t="b">
        <v>1</v>
      </c>
      <c r="S977" s="7" t="s">
        <v>30</v>
      </c>
      <c r="T977" s="5">
        <v>4655</v>
      </c>
      <c r="U977" s="7" t="s">
        <v>38</v>
      </c>
      <c r="V977" t="s">
        <v>59</v>
      </c>
      <c r="W977" s="7" t="s">
        <v>33</v>
      </c>
    </row>
    <row r="978" spans="1:23" x14ac:dyDescent="0.3">
      <c r="A978" s="6">
        <v>6842</v>
      </c>
      <c r="B978" s="7" t="s">
        <v>648</v>
      </c>
      <c r="C978" t="s">
        <v>127</v>
      </c>
      <c r="D978" s="1">
        <v>45516</v>
      </c>
      <c r="E978" s="8">
        <v>15.99</v>
      </c>
      <c r="F978" s="6">
        <v>34</v>
      </c>
      <c r="G978" s="7" t="s">
        <v>36</v>
      </c>
      <c r="H978" s="6">
        <v>1</v>
      </c>
      <c r="I978" s="6">
        <v>4</v>
      </c>
      <c r="J978" s="7" t="b">
        <v>1</v>
      </c>
      <c r="K978" s="6">
        <v>109</v>
      </c>
      <c r="L978" s="6">
        <v>174</v>
      </c>
      <c r="M978" s="7" t="s">
        <v>43</v>
      </c>
      <c r="N978" s="7" t="s">
        <v>44</v>
      </c>
      <c r="O978" s="7" t="s">
        <v>29</v>
      </c>
      <c r="P978" s="5">
        <v>74</v>
      </c>
      <c r="Q978" s="4">
        <v>4.4000000000000004</v>
      </c>
      <c r="R978" s="7" t="b">
        <v>1</v>
      </c>
      <c r="S978" s="7" t="s">
        <v>30</v>
      </c>
      <c r="T978" s="5">
        <v>1656</v>
      </c>
      <c r="U978" s="7" t="s">
        <v>76</v>
      </c>
      <c r="V978" t="s">
        <v>79</v>
      </c>
      <c r="W978" s="7" t="s">
        <v>33</v>
      </c>
    </row>
    <row r="979" spans="1:23" x14ac:dyDescent="0.3">
      <c r="A979" s="6">
        <v>9333</v>
      </c>
      <c r="B979" s="7" t="s">
        <v>635</v>
      </c>
      <c r="C979" t="s">
        <v>728</v>
      </c>
      <c r="D979" t="s">
        <v>72</v>
      </c>
      <c r="E979" s="8">
        <v>11.99</v>
      </c>
      <c r="F979" s="6">
        <v>23</v>
      </c>
      <c r="G979" s="7" t="s">
        <v>73</v>
      </c>
      <c r="H979" s="6">
        <v>2</v>
      </c>
      <c r="I979" s="6">
        <v>1</v>
      </c>
      <c r="J979" s="7" t="b">
        <v>0</v>
      </c>
      <c r="K979" s="6">
        <v>544</v>
      </c>
      <c r="L979" s="6">
        <v>25</v>
      </c>
      <c r="M979" s="7" t="s">
        <v>55</v>
      </c>
      <c r="N979" s="7" t="s">
        <v>75</v>
      </c>
      <c r="O979" s="7" t="s">
        <v>37</v>
      </c>
      <c r="P979" s="5">
        <v>47</v>
      </c>
      <c r="Q979" s="4">
        <v>3.6</v>
      </c>
      <c r="R979" s="7" t="b">
        <v>0</v>
      </c>
      <c r="S979" s="7" t="s">
        <v>30</v>
      </c>
      <c r="T979" s="5">
        <v>2761</v>
      </c>
      <c r="U979" s="7" t="s">
        <v>65</v>
      </c>
      <c r="V979" t="s">
        <v>39</v>
      </c>
      <c r="W979" s="7" t="s">
        <v>40</v>
      </c>
    </row>
    <row r="980" spans="1:23" x14ac:dyDescent="0.3">
      <c r="A980" s="6">
        <v>9122</v>
      </c>
      <c r="B980" s="7" t="s">
        <v>729</v>
      </c>
      <c r="C980" s="1">
        <v>45359</v>
      </c>
      <c r="D980" s="1">
        <v>45608</v>
      </c>
      <c r="E980" s="8">
        <v>15.99</v>
      </c>
      <c r="F980" s="6">
        <v>168</v>
      </c>
      <c r="G980" s="7" t="s">
        <v>26</v>
      </c>
      <c r="H980" s="6">
        <v>3</v>
      </c>
      <c r="I980" s="6">
        <v>2</v>
      </c>
      <c r="J980" s="7" t="b">
        <v>1</v>
      </c>
      <c r="K980" s="6">
        <v>25</v>
      </c>
      <c r="L980" s="6">
        <v>171</v>
      </c>
      <c r="M980" s="7" t="s">
        <v>92</v>
      </c>
      <c r="N980" s="7" t="s">
        <v>28</v>
      </c>
      <c r="O980" s="7" t="s">
        <v>29</v>
      </c>
      <c r="P980" s="5">
        <v>79</v>
      </c>
      <c r="Q980" s="4">
        <v>4</v>
      </c>
      <c r="R980" s="7" t="b">
        <v>0</v>
      </c>
      <c r="S980" s="7" t="s">
        <v>30</v>
      </c>
      <c r="T980" s="5">
        <v>773</v>
      </c>
      <c r="U980" s="7" t="s">
        <v>38</v>
      </c>
      <c r="V980" t="s">
        <v>39</v>
      </c>
      <c r="W980" s="7" t="s">
        <v>40</v>
      </c>
    </row>
    <row r="981" spans="1:23" x14ac:dyDescent="0.3">
      <c r="A981" s="6">
        <v>6221</v>
      </c>
      <c r="B981" s="7" t="s">
        <v>143</v>
      </c>
      <c r="C981" t="s">
        <v>317</v>
      </c>
      <c r="D981" t="s">
        <v>87</v>
      </c>
      <c r="E981" s="8">
        <v>11.99</v>
      </c>
      <c r="F981" s="6">
        <v>306</v>
      </c>
      <c r="G981" s="7" t="s">
        <v>26</v>
      </c>
      <c r="H981" s="6">
        <v>5</v>
      </c>
      <c r="I981" s="6">
        <v>1</v>
      </c>
      <c r="J981" s="7" t="b">
        <v>1</v>
      </c>
      <c r="K981" s="6">
        <v>513</v>
      </c>
      <c r="L981" s="6">
        <v>70</v>
      </c>
      <c r="M981" s="7" t="s">
        <v>27</v>
      </c>
      <c r="N981" s="7" t="s">
        <v>56</v>
      </c>
      <c r="O981" s="7" t="s">
        <v>57</v>
      </c>
      <c r="P981" s="5">
        <v>86</v>
      </c>
      <c r="Q981" s="4">
        <v>3.7</v>
      </c>
      <c r="R981" s="7" t="b">
        <v>0</v>
      </c>
      <c r="S981" s="7" t="s">
        <v>30</v>
      </c>
      <c r="T981" s="5">
        <v>1652</v>
      </c>
      <c r="U981" s="7" t="s">
        <v>38</v>
      </c>
      <c r="V981" t="s">
        <v>59</v>
      </c>
      <c r="W981" s="7" t="s">
        <v>33</v>
      </c>
    </row>
    <row r="982" spans="1:23" x14ac:dyDescent="0.3">
      <c r="A982" s="6">
        <v>9957</v>
      </c>
      <c r="B982" s="7" t="s">
        <v>357</v>
      </c>
      <c r="C982" s="1">
        <v>45149</v>
      </c>
      <c r="D982" t="s">
        <v>25</v>
      </c>
      <c r="E982" s="8">
        <v>15.99</v>
      </c>
      <c r="F982" s="6">
        <v>433</v>
      </c>
      <c r="G982" s="7" t="s">
        <v>51</v>
      </c>
      <c r="H982" s="6">
        <v>2</v>
      </c>
      <c r="I982" s="6">
        <v>6</v>
      </c>
      <c r="J982" s="7" t="b">
        <v>1</v>
      </c>
      <c r="K982" s="6">
        <v>1000</v>
      </c>
      <c r="L982" s="6">
        <v>48</v>
      </c>
      <c r="M982" s="7" t="s">
        <v>92</v>
      </c>
      <c r="N982" s="7" t="s">
        <v>44</v>
      </c>
      <c r="O982" s="7" t="s">
        <v>57</v>
      </c>
      <c r="P982" s="5">
        <v>92</v>
      </c>
      <c r="Q982" s="4">
        <v>3.7</v>
      </c>
      <c r="R982" s="7" t="b">
        <v>0</v>
      </c>
      <c r="S982" s="7" t="s">
        <v>30</v>
      </c>
      <c r="T982" s="5">
        <v>1037</v>
      </c>
      <c r="U982" s="7" t="s">
        <v>76</v>
      </c>
      <c r="V982" t="s">
        <v>79</v>
      </c>
      <c r="W982" s="7" t="s">
        <v>33</v>
      </c>
    </row>
    <row r="983" spans="1:23" x14ac:dyDescent="0.3">
      <c r="A983" s="6">
        <v>4680</v>
      </c>
      <c r="B983" s="7" t="s">
        <v>730</v>
      </c>
      <c r="C983" t="s">
        <v>129</v>
      </c>
      <c r="D983" s="1">
        <v>45608</v>
      </c>
      <c r="E983" s="8">
        <v>11.99</v>
      </c>
      <c r="F983" s="6">
        <v>221</v>
      </c>
      <c r="G983" s="7" t="s">
        <v>100</v>
      </c>
      <c r="H983" s="6">
        <v>5</v>
      </c>
      <c r="I983" s="6">
        <v>5</v>
      </c>
      <c r="J983" s="7" t="b">
        <v>1</v>
      </c>
      <c r="K983" s="6">
        <v>749</v>
      </c>
      <c r="L983" s="6">
        <v>66</v>
      </c>
      <c r="M983" s="7" t="s">
        <v>27</v>
      </c>
      <c r="N983" s="7" t="s">
        <v>75</v>
      </c>
      <c r="O983" s="7" t="s">
        <v>37</v>
      </c>
      <c r="P983" s="5">
        <v>37</v>
      </c>
      <c r="Q983" s="4">
        <v>3.3</v>
      </c>
      <c r="R983" s="7" t="b">
        <v>1</v>
      </c>
      <c r="S983" s="7" t="s">
        <v>30</v>
      </c>
      <c r="T983" s="5">
        <v>4505</v>
      </c>
      <c r="U983" s="7" t="s">
        <v>58</v>
      </c>
      <c r="V983" t="s">
        <v>32</v>
      </c>
      <c r="W983" s="7" t="s">
        <v>93</v>
      </c>
    </row>
    <row r="984" spans="1:23" x14ac:dyDescent="0.3">
      <c r="A984" s="6">
        <v>5974</v>
      </c>
      <c r="B984" s="7" t="s">
        <v>731</v>
      </c>
      <c r="C984" t="s">
        <v>203</v>
      </c>
      <c r="D984" t="s">
        <v>109</v>
      </c>
      <c r="E984" s="8">
        <v>15.99</v>
      </c>
      <c r="F984" s="6">
        <v>236</v>
      </c>
      <c r="G984" s="7" t="s">
        <v>51</v>
      </c>
      <c r="H984" s="6">
        <v>3</v>
      </c>
      <c r="I984" s="6">
        <v>5</v>
      </c>
      <c r="J984" s="7" t="b">
        <v>1</v>
      </c>
      <c r="K984" s="6">
        <v>600</v>
      </c>
      <c r="L984" s="6">
        <v>199</v>
      </c>
      <c r="M984" s="7" t="s">
        <v>49</v>
      </c>
      <c r="N984" s="7" t="s">
        <v>75</v>
      </c>
      <c r="O984" s="7" t="s">
        <v>37</v>
      </c>
      <c r="P984" s="5">
        <v>56</v>
      </c>
      <c r="Q984" s="4">
        <v>3.7</v>
      </c>
      <c r="R984" s="7" t="b">
        <v>0</v>
      </c>
      <c r="S984" s="7" t="s">
        <v>30</v>
      </c>
      <c r="T984" s="5">
        <v>3648</v>
      </c>
      <c r="U984" s="7" t="s">
        <v>76</v>
      </c>
      <c r="V984" t="s">
        <v>59</v>
      </c>
      <c r="W984" s="7" t="s">
        <v>40</v>
      </c>
    </row>
    <row r="985" spans="1:23" x14ac:dyDescent="0.3">
      <c r="A985" s="6">
        <v>6938</v>
      </c>
      <c r="B985" s="7" t="s">
        <v>382</v>
      </c>
      <c r="C985" s="1">
        <v>45417</v>
      </c>
      <c r="D985" s="1">
        <v>45638</v>
      </c>
      <c r="E985" s="8">
        <v>11.99</v>
      </c>
      <c r="F985" s="6">
        <v>75</v>
      </c>
      <c r="G985" s="7" t="s">
        <v>26</v>
      </c>
      <c r="H985" s="6">
        <v>4</v>
      </c>
      <c r="I985" s="6">
        <v>6</v>
      </c>
      <c r="J985" s="7" t="b">
        <v>0</v>
      </c>
      <c r="K985" s="6">
        <v>897</v>
      </c>
      <c r="L985" s="6">
        <v>59</v>
      </c>
      <c r="M985" s="7" t="s">
        <v>74</v>
      </c>
      <c r="N985" s="7" t="s">
        <v>56</v>
      </c>
      <c r="O985" s="7" t="s">
        <v>29</v>
      </c>
      <c r="P985" s="5">
        <v>11</v>
      </c>
      <c r="Q985" s="4">
        <v>3.4</v>
      </c>
      <c r="R985" s="7" t="b">
        <v>0</v>
      </c>
      <c r="S985" s="7" t="s">
        <v>30</v>
      </c>
      <c r="T985" s="5">
        <v>4015</v>
      </c>
      <c r="U985" s="7" t="s">
        <v>38</v>
      </c>
      <c r="V985" t="s">
        <v>59</v>
      </c>
      <c r="W985" s="7" t="s">
        <v>93</v>
      </c>
    </row>
    <row r="986" spans="1:23" x14ac:dyDescent="0.3">
      <c r="A986" s="6">
        <v>1175</v>
      </c>
      <c r="B986" s="7" t="s">
        <v>584</v>
      </c>
      <c r="C986" s="1">
        <v>45629</v>
      </c>
      <c r="D986" t="s">
        <v>134</v>
      </c>
      <c r="E986" s="8">
        <v>15.99</v>
      </c>
      <c r="F986" s="6">
        <v>325</v>
      </c>
      <c r="G986" s="7" t="s">
        <v>73</v>
      </c>
      <c r="H986" s="6">
        <v>3</v>
      </c>
      <c r="I986" s="6">
        <v>6</v>
      </c>
      <c r="J986" s="7" t="b">
        <v>1</v>
      </c>
      <c r="K986" s="6">
        <v>412</v>
      </c>
      <c r="L986" s="6">
        <v>117</v>
      </c>
      <c r="M986" s="7" t="s">
        <v>74</v>
      </c>
      <c r="N986" s="7" t="s">
        <v>56</v>
      </c>
      <c r="O986" s="7" t="s">
        <v>29</v>
      </c>
      <c r="P986" s="5">
        <v>48</v>
      </c>
      <c r="Q986" s="4">
        <v>4</v>
      </c>
      <c r="R986" s="7" t="b">
        <v>1</v>
      </c>
      <c r="S986" s="7" t="s">
        <v>30</v>
      </c>
      <c r="T986" s="5">
        <v>2050</v>
      </c>
      <c r="U986" s="7" t="s">
        <v>76</v>
      </c>
      <c r="V986" t="s">
        <v>39</v>
      </c>
      <c r="W986" s="7" t="s">
        <v>93</v>
      </c>
    </row>
    <row r="987" spans="1:23" x14ac:dyDescent="0.3">
      <c r="A987" s="6">
        <v>1260</v>
      </c>
      <c r="B987" s="7" t="s">
        <v>453</v>
      </c>
      <c r="C987" s="1">
        <v>45629</v>
      </c>
      <c r="D987" s="1">
        <v>45363</v>
      </c>
      <c r="E987" s="8">
        <v>7.99</v>
      </c>
      <c r="F987" s="6">
        <v>217</v>
      </c>
      <c r="G987" s="7" t="s">
        <v>51</v>
      </c>
      <c r="H987" s="6">
        <v>5</v>
      </c>
      <c r="I987" s="6">
        <v>2</v>
      </c>
      <c r="J987" s="7" t="b">
        <v>0</v>
      </c>
      <c r="K987" s="6">
        <v>669</v>
      </c>
      <c r="L987" s="6">
        <v>155</v>
      </c>
      <c r="M987" s="7" t="s">
        <v>74</v>
      </c>
      <c r="N987" s="7" t="s">
        <v>44</v>
      </c>
      <c r="O987" s="7" t="s">
        <v>45</v>
      </c>
      <c r="P987" s="5">
        <v>40</v>
      </c>
      <c r="Q987" s="4">
        <v>4.8</v>
      </c>
      <c r="R987" s="7" t="b">
        <v>1</v>
      </c>
      <c r="S987" s="7" t="s">
        <v>30</v>
      </c>
      <c r="T987" s="5">
        <v>2390</v>
      </c>
      <c r="U987" s="7" t="s">
        <v>76</v>
      </c>
      <c r="V987" t="s">
        <v>32</v>
      </c>
      <c r="W987" s="7" t="s">
        <v>33</v>
      </c>
    </row>
    <row r="988" spans="1:23" x14ac:dyDescent="0.3">
      <c r="A988" s="6">
        <v>4645</v>
      </c>
      <c r="B988" s="7" t="s">
        <v>130</v>
      </c>
      <c r="C988" t="s">
        <v>732</v>
      </c>
      <c r="D988" t="s">
        <v>42</v>
      </c>
      <c r="E988" s="8">
        <v>7.99</v>
      </c>
      <c r="F988" s="6">
        <v>178</v>
      </c>
      <c r="G988" s="7" t="s">
        <v>26</v>
      </c>
      <c r="H988" s="6">
        <v>4</v>
      </c>
      <c r="I988" s="6">
        <v>5</v>
      </c>
      <c r="J988" s="7" t="b">
        <v>1</v>
      </c>
      <c r="K988" s="6">
        <v>323</v>
      </c>
      <c r="L988" s="6">
        <v>130</v>
      </c>
      <c r="M988" s="7" t="s">
        <v>74</v>
      </c>
      <c r="N988" s="7" t="s">
        <v>75</v>
      </c>
      <c r="O988" s="7" t="s">
        <v>78</v>
      </c>
      <c r="P988" s="5">
        <v>29</v>
      </c>
      <c r="Q988" s="4">
        <v>3</v>
      </c>
      <c r="R988" s="7" t="b">
        <v>1</v>
      </c>
      <c r="S988" s="7" t="s">
        <v>30</v>
      </c>
      <c r="T988" s="5">
        <v>3079</v>
      </c>
      <c r="U988" s="7" t="s">
        <v>38</v>
      </c>
      <c r="V988" t="s">
        <v>32</v>
      </c>
      <c r="W988" s="7" t="s">
        <v>93</v>
      </c>
    </row>
    <row r="989" spans="1:23" x14ac:dyDescent="0.3">
      <c r="A989" s="6">
        <v>1637</v>
      </c>
      <c r="B989" s="7" t="s">
        <v>122</v>
      </c>
      <c r="C989" s="1">
        <v>45416</v>
      </c>
      <c r="D989" t="s">
        <v>54</v>
      </c>
      <c r="E989" s="8">
        <v>15.99</v>
      </c>
      <c r="F989" s="6">
        <v>74</v>
      </c>
      <c r="G989" s="7" t="s">
        <v>48</v>
      </c>
      <c r="H989" s="6">
        <v>4</v>
      </c>
      <c r="I989" s="6">
        <v>3</v>
      </c>
      <c r="J989" s="7" t="b">
        <v>1</v>
      </c>
      <c r="K989" s="6">
        <v>646</v>
      </c>
      <c r="L989" s="6">
        <v>38</v>
      </c>
      <c r="M989" s="7" t="s">
        <v>49</v>
      </c>
      <c r="N989" s="7" t="s">
        <v>75</v>
      </c>
      <c r="O989" s="7" t="s">
        <v>29</v>
      </c>
      <c r="P989" s="5">
        <v>37</v>
      </c>
      <c r="Q989" s="4">
        <v>4.0999999999999996</v>
      </c>
      <c r="R989" s="7" t="b">
        <v>0</v>
      </c>
      <c r="S989" s="7" t="s">
        <v>30</v>
      </c>
      <c r="T989" s="5">
        <v>4111</v>
      </c>
      <c r="U989" s="7" t="s">
        <v>76</v>
      </c>
      <c r="V989" t="s">
        <v>69</v>
      </c>
      <c r="W989" s="7" t="s">
        <v>33</v>
      </c>
    </row>
    <row r="990" spans="1:23" x14ac:dyDescent="0.3">
      <c r="A990" s="6">
        <v>7960</v>
      </c>
      <c r="B990" s="7" t="s">
        <v>521</v>
      </c>
      <c r="C990" s="1">
        <v>45170</v>
      </c>
      <c r="D990" t="s">
        <v>82</v>
      </c>
      <c r="E990" s="8">
        <v>15.99</v>
      </c>
      <c r="F990" s="6">
        <v>373</v>
      </c>
      <c r="G990" s="7" t="s">
        <v>73</v>
      </c>
      <c r="H990" s="6">
        <v>1</v>
      </c>
      <c r="I990" s="6">
        <v>3</v>
      </c>
      <c r="J990" s="7" t="b">
        <v>0</v>
      </c>
      <c r="K990" s="6">
        <v>507</v>
      </c>
      <c r="L990" s="6">
        <v>130</v>
      </c>
      <c r="M990" s="7" t="s">
        <v>43</v>
      </c>
      <c r="N990" s="7" t="s">
        <v>56</v>
      </c>
      <c r="O990" s="7" t="s">
        <v>64</v>
      </c>
      <c r="P990" s="5">
        <v>41</v>
      </c>
      <c r="Q990" s="4">
        <v>3.3</v>
      </c>
      <c r="R990" s="7" t="b">
        <v>1</v>
      </c>
      <c r="S990" s="7" t="s">
        <v>30</v>
      </c>
      <c r="T990" s="5">
        <v>3221</v>
      </c>
      <c r="U990" s="7" t="s">
        <v>31</v>
      </c>
      <c r="V990" t="s">
        <v>59</v>
      </c>
      <c r="W990" s="7" t="s">
        <v>60</v>
      </c>
    </row>
    <row r="991" spans="1:23" x14ac:dyDescent="0.3">
      <c r="A991" s="6">
        <v>9693</v>
      </c>
      <c r="B991" s="7" t="s">
        <v>733</v>
      </c>
      <c r="C991" t="s">
        <v>123</v>
      </c>
      <c r="D991" t="s">
        <v>90</v>
      </c>
      <c r="E991" s="8">
        <v>15.99</v>
      </c>
      <c r="F991" s="6">
        <v>64</v>
      </c>
      <c r="G991" s="7" t="s">
        <v>73</v>
      </c>
      <c r="H991" s="6">
        <v>5</v>
      </c>
      <c r="I991" s="6">
        <v>1</v>
      </c>
      <c r="J991" s="7" t="b">
        <v>0</v>
      </c>
      <c r="K991" s="6">
        <v>881</v>
      </c>
      <c r="L991" s="6">
        <v>15</v>
      </c>
      <c r="M991" s="7" t="s">
        <v>49</v>
      </c>
      <c r="N991" s="7" t="s">
        <v>28</v>
      </c>
      <c r="O991" s="7" t="s">
        <v>45</v>
      </c>
      <c r="P991" s="5">
        <v>22</v>
      </c>
      <c r="Q991" s="4">
        <v>3.6</v>
      </c>
      <c r="R991" s="7" t="b">
        <v>0</v>
      </c>
      <c r="S991" s="7" t="s">
        <v>30</v>
      </c>
      <c r="T991" s="5">
        <v>2461</v>
      </c>
      <c r="U991" s="7" t="s">
        <v>76</v>
      </c>
      <c r="V991" t="s">
        <v>59</v>
      </c>
      <c r="W991" s="7" t="s">
        <v>93</v>
      </c>
    </row>
    <row r="992" spans="1:23" x14ac:dyDescent="0.3">
      <c r="A992" s="6">
        <v>8743</v>
      </c>
      <c r="B992" s="7" t="s">
        <v>201</v>
      </c>
      <c r="C992" t="s">
        <v>121</v>
      </c>
      <c r="D992" t="s">
        <v>87</v>
      </c>
      <c r="E992" s="8">
        <v>11.99</v>
      </c>
      <c r="F992" s="6">
        <v>129</v>
      </c>
      <c r="G992" s="7" t="s">
        <v>26</v>
      </c>
      <c r="H992" s="6">
        <v>3</v>
      </c>
      <c r="I992" s="6">
        <v>5</v>
      </c>
      <c r="J992" s="7" t="b">
        <v>1</v>
      </c>
      <c r="K992" s="6">
        <v>594</v>
      </c>
      <c r="L992" s="6">
        <v>127</v>
      </c>
      <c r="M992" s="7" t="s">
        <v>55</v>
      </c>
      <c r="N992" s="7" t="s">
        <v>28</v>
      </c>
      <c r="O992" s="7" t="s">
        <v>37</v>
      </c>
      <c r="P992" s="5">
        <v>79</v>
      </c>
      <c r="Q992" s="4">
        <v>3.9</v>
      </c>
      <c r="R992" s="7" t="b">
        <v>0</v>
      </c>
      <c r="S992" s="7" t="s">
        <v>30</v>
      </c>
      <c r="T992" s="5">
        <v>2858</v>
      </c>
      <c r="U992" s="7" t="s">
        <v>31</v>
      </c>
      <c r="V992" t="s">
        <v>69</v>
      </c>
      <c r="W992" s="7" t="s">
        <v>60</v>
      </c>
    </row>
    <row r="993" spans="1:23" x14ac:dyDescent="0.3">
      <c r="A993" s="6">
        <v>3379</v>
      </c>
      <c r="B993" s="7" t="s">
        <v>695</v>
      </c>
      <c r="C993" s="1">
        <v>45147</v>
      </c>
      <c r="D993" s="1">
        <v>45638</v>
      </c>
      <c r="E993" s="8">
        <v>15.99</v>
      </c>
      <c r="F993" s="6">
        <v>297</v>
      </c>
      <c r="G993" s="7" t="s">
        <v>48</v>
      </c>
      <c r="H993" s="6">
        <v>3</v>
      </c>
      <c r="I993" s="6">
        <v>1</v>
      </c>
      <c r="J993" s="7" t="b">
        <v>1</v>
      </c>
      <c r="K993" s="6">
        <v>667</v>
      </c>
      <c r="L993" s="6">
        <v>75</v>
      </c>
      <c r="M993" s="7" t="s">
        <v>55</v>
      </c>
      <c r="N993" s="7" t="s">
        <v>28</v>
      </c>
      <c r="O993" s="7" t="s">
        <v>37</v>
      </c>
      <c r="P993" s="5">
        <v>89</v>
      </c>
      <c r="Q993" s="4">
        <v>4.5</v>
      </c>
      <c r="R993" s="7" t="b">
        <v>0</v>
      </c>
      <c r="S993" s="7" t="s">
        <v>30</v>
      </c>
      <c r="T993" s="5">
        <v>4076</v>
      </c>
      <c r="U993" s="7" t="s">
        <v>76</v>
      </c>
      <c r="V993" t="s">
        <v>79</v>
      </c>
      <c r="W993" s="7" t="s">
        <v>93</v>
      </c>
    </row>
    <row r="994" spans="1:23" x14ac:dyDescent="0.3">
      <c r="A994" s="6">
        <v>7696</v>
      </c>
      <c r="B994" s="7" t="s">
        <v>224</v>
      </c>
      <c r="C994" s="1">
        <v>45118</v>
      </c>
      <c r="D994" t="s">
        <v>90</v>
      </c>
      <c r="E994" s="8">
        <v>15.99</v>
      </c>
      <c r="F994" s="6">
        <v>235</v>
      </c>
      <c r="G994" s="7" t="s">
        <v>26</v>
      </c>
      <c r="H994" s="6">
        <v>2</v>
      </c>
      <c r="I994" s="6">
        <v>5</v>
      </c>
      <c r="J994" s="7" t="b">
        <v>0</v>
      </c>
      <c r="K994" s="6">
        <v>709</v>
      </c>
      <c r="L994" s="6">
        <v>151</v>
      </c>
      <c r="M994" s="7" t="s">
        <v>49</v>
      </c>
      <c r="N994" s="7" t="s">
        <v>44</v>
      </c>
      <c r="O994" s="7" t="s">
        <v>37</v>
      </c>
      <c r="P994" s="5">
        <v>72</v>
      </c>
      <c r="Q994" s="4">
        <v>3.7</v>
      </c>
      <c r="R994" s="7" t="b">
        <v>0</v>
      </c>
      <c r="S994" s="7" t="s">
        <v>30</v>
      </c>
      <c r="T994" s="5">
        <v>2163</v>
      </c>
      <c r="U994" s="7" t="s">
        <v>65</v>
      </c>
      <c r="V994" t="s">
        <v>69</v>
      </c>
      <c r="W994" s="7" t="s">
        <v>93</v>
      </c>
    </row>
    <row r="995" spans="1:23" x14ac:dyDescent="0.3">
      <c r="A995" s="6">
        <v>8552</v>
      </c>
      <c r="B995" s="7" t="s">
        <v>23</v>
      </c>
      <c r="C995" t="s">
        <v>734</v>
      </c>
      <c r="D995" t="s">
        <v>99</v>
      </c>
      <c r="E995" s="8">
        <v>15.99</v>
      </c>
      <c r="F995" s="6">
        <v>390</v>
      </c>
      <c r="G995" s="7" t="s">
        <v>26</v>
      </c>
      <c r="H995" s="6">
        <v>2</v>
      </c>
      <c r="I995" s="6">
        <v>4</v>
      </c>
      <c r="J995" s="7" t="b">
        <v>0</v>
      </c>
      <c r="K995" s="6">
        <v>537</v>
      </c>
      <c r="L995" s="6">
        <v>101</v>
      </c>
      <c r="M995" s="7" t="s">
        <v>49</v>
      </c>
      <c r="N995" s="7" t="s">
        <v>44</v>
      </c>
      <c r="O995" s="7" t="s">
        <v>57</v>
      </c>
      <c r="P995" s="5">
        <v>64</v>
      </c>
      <c r="Q995" s="4">
        <v>3</v>
      </c>
      <c r="R995" s="7" t="b">
        <v>1</v>
      </c>
      <c r="S995" s="7" t="s">
        <v>30</v>
      </c>
      <c r="T995" s="5">
        <v>3726</v>
      </c>
      <c r="U995" s="7" t="s">
        <v>38</v>
      </c>
      <c r="V995" t="s">
        <v>79</v>
      </c>
      <c r="W995" s="7" t="s">
        <v>60</v>
      </c>
    </row>
    <row r="996" spans="1:23" x14ac:dyDescent="0.3">
      <c r="A996" s="6">
        <v>5065</v>
      </c>
      <c r="B996" s="7" t="s">
        <v>257</v>
      </c>
      <c r="C996" t="s">
        <v>381</v>
      </c>
      <c r="D996" t="s">
        <v>90</v>
      </c>
      <c r="E996" s="8">
        <v>11.99</v>
      </c>
      <c r="F996" s="6">
        <v>362</v>
      </c>
      <c r="G996" s="7" t="s">
        <v>100</v>
      </c>
      <c r="H996" s="6">
        <v>2</v>
      </c>
      <c r="I996" s="6">
        <v>6</v>
      </c>
      <c r="J996" s="7" t="b">
        <v>1</v>
      </c>
      <c r="K996" s="6">
        <v>490</v>
      </c>
      <c r="L996" s="6">
        <v>22</v>
      </c>
      <c r="M996" s="7" t="s">
        <v>49</v>
      </c>
      <c r="N996" s="7" t="s">
        <v>75</v>
      </c>
      <c r="O996" s="7" t="s">
        <v>37</v>
      </c>
      <c r="P996" s="5">
        <v>62</v>
      </c>
      <c r="Q996" s="4">
        <v>4.7</v>
      </c>
      <c r="R996" s="7" t="b">
        <v>1</v>
      </c>
      <c r="S996" s="7" t="s">
        <v>30</v>
      </c>
      <c r="T996" s="5">
        <v>47</v>
      </c>
      <c r="U996" s="7" t="s">
        <v>38</v>
      </c>
      <c r="V996" t="s">
        <v>79</v>
      </c>
      <c r="W996" s="7" t="s">
        <v>93</v>
      </c>
    </row>
    <row r="997" spans="1:23" x14ac:dyDescent="0.3">
      <c r="A997" s="6">
        <v>6878</v>
      </c>
      <c r="B997" s="7" t="s">
        <v>52</v>
      </c>
      <c r="C997" t="s">
        <v>735</v>
      </c>
      <c r="D997" t="s">
        <v>99</v>
      </c>
      <c r="E997" s="8">
        <v>7.99</v>
      </c>
      <c r="F997" s="6">
        <v>136</v>
      </c>
      <c r="G997" s="7" t="s">
        <v>48</v>
      </c>
      <c r="H997" s="6">
        <v>5</v>
      </c>
      <c r="I997" s="6">
        <v>5</v>
      </c>
      <c r="J997" s="7" t="b">
        <v>1</v>
      </c>
      <c r="K997" s="6">
        <v>20</v>
      </c>
      <c r="L997" s="6">
        <v>18</v>
      </c>
      <c r="M997" s="7" t="s">
        <v>43</v>
      </c>
      <c r="N997" s="7" t="s">
        <v>44</v>
      </c>
      <c r="O997" s="7" t="s">
        <v>29</v>
      </c>
      <c r="P997" s="5">
        <v>7</v>
      </c>
      <c r="Q997" s="4">
        <v>4.4000000000000004</v>
      </c>
      <c r="R997" s="7" t="b">
        <v>1</v>
      </c>
      <c r="S997" s="7" t="s">
        <v>30</v>
      </c>
      <c r="T997" s="5">
        <v>4742</v>
      </c>
      <c r="U997" s="7" t="s">
        <v>76</v>
      </c>
      <c r="V997" t="s">
        <v>32</v>
      </c>
      <c r="W997" s="7" t="s">
        <v>33</v>
      </c>
    </row>
    <row r="998" spans="1:23" x14ac:dyDescent="0.3">
      <c r="A998" s="6">
        <v>5681</v>
      </c>
      <c r="B998" s="7" t="s">
        <v>254</v>
      </c>
      <c r="C998" s="1">
        <v>45509</v>
      </c>
      <c r="D998" s="1">
        <v>45516</v>
      </c>
      <c r="E998" s="8">
        <v>11.99</v>
      </c>
      <c r="F998" s="6">
        <v>159</v>
      </c>
      <c r="G998" s="7" t="s">
        <v>100</v>
      </c>
      <c r="H998" s="6">
        <v>4</v>
      </c>
      <c r="I998" s="6">
        <v>6</v>
      </c>
      <c r="J998" s="7" t="b">
        <v>1</v>
      </c>
      <c r="K998" s="6">
        <v>824</v>
      </c>
      <c r="L998" s="6">
        <v>31</v>
      </c>
      <c r="M998" s="7" t="s">
        <v>55</v>
      </c>
      <c r="N998" s="7" t="s">
        <v>75</v>
      </c>
      <c r="O998" s="7" t="s">
        <v>64</v>
      </c>
      <c r="P998" s="5">
        <v>13</v>
      </c>
      <c r="Q998" s="4">
        <v>3.3</v>
      </c>
      <c r="R998" s="7" t="b">
        <v>0</v>
      </c>
      <c r="S998" s="7" t="s">
        <v>30</v>
      </c>
      <c r="T998" s="5">
        <v>2910</v>
      </c>
      <c r="U998" s="7" t="s">
        <v>38</v>
      </c>
      <c r="V998" t="s">
        <v>59</v>
      </c>
      <c r="W998" s="7" t="s">
        <v>60</v>
      </c>
    </row>
    <row r="999" spans="1:23" x14ac:dyDescent="0.3">
      <c r="A999" s="6">
        <v>4448</v>
      </c>
      <c r="B999" s="7" t="s">
        <v>179</v>
      </c>
      <c r="C999" t="s">
        <v>362</v>
      </c>
      <c r="D999" t="s">
        <v>129</v>
      </c>
      <c r="E999" s="8">
        <v>11.99</v>
      </c>
      <c r="F999" s="6">
        <v>99</v>
      </c>
      <c r="G999" s="7" t="s">
        <v>48</v>
      </c>
      <c r="H999" s="6">
        <v>4</v>
      </c>
      <c r="I999" s="6">
        <v>2</v>
      </c>
      <c r="J999" s="7" t="b">
        <v>0</v>
      </c>
      <c r="K999" s="6">
        <v>319</v>
      </c>
      <c r="L999" s="6">
        <v>187</v>
      </c>
      <c r="M999" s="7" t="s">
        <v>68</v>
      </c>
      <c r="N999" s="7" t="s">
        <v>56</v>
      </c>
      <c r="O999" s="7" t="s">
        <v>64</v>
      </c>
      <c r="P999" s="5">
        <v>58</v>
      </c>
      <c r="Q999" s="4">
        <v>3.6</v>
      </c>
      <c r="R999" s="7" t="b">
        <v>0</v>
      </c>
      <c r="S999" s="7" t="s">
        <v>30</v>
      </c>
      <c r="T999" s="5">
        <v>1180</v>
      </c>
      <c r="U999" s="7" t="s">
        <v>76</v>
      </c>
      <c r="V999" t="s">
        <v>32</v>
      </c>
      <c r="W999" s="7" t="s">
        <v>60</v>
      </c>
    </row>
    <row r="1000" spans="1:23" x14ac:dyDescent="0.3">
      <c r="A1000" s="6">
        <v>5795</v>
      </c>
      <c r="B1000" s="7" t="s">
        <v>224</v>
      </c>
      <c r="C1000" t="s">
        <v>736</v>
      </c>
      <c r="D1000" t="s">
        <v>25</v>
      </c>
      <c r="E1000" s="8">
        <v>11.99</v>
      </c>
      <c r="F1000" s="6">
        <v>157</v>
      </c>
      <c r="G1000" s="7" t="s">
        <v>26</v>
      </c>
      <c r="H1000" s="6">
        <v>4</v>
      </c>
      <c r="I1000" s="6">
        <v>2</v>
      </c>
      <c r="J1000" s="7" t="b">
        <v>0</v>
      </c>
      <c r="K1000" s="6">
        <v>754</v>
      </c>
      <c r="L1000" s="6">
        <v>23</v>
      </c>
      <c r="M1000" s="7" t="s">
        <v>74</v>
      </c>
      <c r="N1000" s="7" t="s">
        <v>44</v>
      </c>
      <c r="O1000" s="7" t="s">
        <v>57</v>
      </c>
      <c r="P1000" s="5">
        <v>43</v>
      </c>
      <c r="Q1000" s="4">
        <v>4.4000000000000004</v>
      </c>
      <c r="R1000" s="7" t="b">
        <v>0</v>
      </c>
      <c r="S1000" s="7" t="s">
        <v>30</v>
      </c>
      <c r="T1000" s="5">
        <v>1965</v>
      </c>
      <c r="U1000" s="7" t="s">
        <v>65</v>
      </c>
      <c r="V1000" t="s">
        <v>39</v>
      </c>
      <c r="W1000" s="7" t="s">
        <v>60</v>
      </c>
    </row>
    <row r="1001" spans="1:23" x14ac:dyDescent="0.3">
      <c r="A1001" s="6">
        <v>5320</v>
      </c>
      <c r="B1001" s="7" t="s">
        <v>201</v>
      </c>
      <c r="C1001" t="s">
        <v>516</v>
      </c>
      <c r="D1001" s="1">
        <v>45547</v>
      </c>
      <c r="E1001" s="8">
        <v>11.99</v>
      </c>
      <c r="F1001" s="6">
        <v>123</v>
      </c>
      <c r="G1001" s="7" t="s">
        <v>51</v>
      </c>
      <c r="H1001" s="6">
        <v>1</v>
      </c>
      <c r="I1001" s="6">
        <v>6</v>
      </c>
      <c r="J1001" s="7" t="b">
        <v>0</v>
      </c>
      <c r="K1001" s="6">
        <v>718</v>
      </c>
      <c r="L1001" s="6">
        <v>25</v>
      </c>
      <c r="M1001" s="7" t="s">
        <v>27</v>
      </c>
      <c r="N1001" s="7" t="s">
        <v>28</v>
      </c>
      <c r="O1001" s="7" t="s">
        <v>37</v>
      </c>
      <c r="P1001" s="5">
        <v>73</v>
      </c>
      <c r="Q1001" s="4">
        <v>4.4000000000000004</v>
      </c>
      <c r="R1001" s="7" t="b">
        <v>0</v>
      </c>
      <c r="S1001" s="7" t="s">
        <v>30</v>
      </c>
      <c r="T1001" s="5">
        <v>3179</v>
      </c>
      <c r="U1001" s="7" t="s">
        <v>58</v>
      </c>
      <c r="V1001" t="s">
        <v>39</v>
      </c>
      <c r="W1001" s="7" t="s">
        <v>60</v>
      </c>
    </row>
  </sheetData>
  <autoFilter ref="A1:W1001" xr:uid="{BF6FBE9E-6487-4E5B-88D4-D8D0B09623F6}"/>
  <conditionalFormatting sqref="A2:A1001">
    <cfRule type="duplicateValues" dxfId="8" priority="2"/>
  </conditionalFormatting>
  <conditionalFormatting sqref="B2:B1001">
    <cfRule type="duplicateValues" dxfId="7" priority="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18871-0B01-4184-93CB-CA8B88DC552F}">
  <dimension ref="A1:AA41"/>
  <sheetViews>
    <sheetView showGridLines="0" tabSelected="1" zoomScale="70" zoomScaleNormal="70" workbookViewId="0">
      <selection activeCell="A8" sqref="A8:B8"/>
    </sheetView>
  </sheetViews>
  <sheetFormatPr defaultRowHeight="14.4" x14ac:dyDescent="0.3"/>
  <cols>
    <col min="1" max="1" width="8.109375" bestFit="1" customWidth="1"/>
    <col min="2" max="2" width="20.6640625" customWidth="1"/>
    <col min="3" max="3" width="55" customWidth="1"/>
    <col min="4" max="4" width="15" customWidth="1"/>
    <col min="5" max="5" width="13.77734375" bestFit="1" customWidth="1"/>
    <col min="6" max="6" width="12.77734375" bestFit="1" customWidth="1"/>
    <col min="7" max="7" width="14.77734375" bestFit="1" customWidth="1"/>
    <col min="8" max="8" width="14.33203125" bestFit="1" customWidth="1"/>
    <col min="9" max="9" width="13" bestFit="1" customWidth="1"/>
    <col min="10" max="10" width="16.77734375" bestFit="1" customWidth="1"/>
    <col min="11" max="11" width="21.88671875" bestFit="1" customWidth="1"/>
    <col min="12" max="12" width="20.77734375" bestFit="1" customWidth="1"/>
    <col min="13" max="13" width="9" bestFit="1" customWidth="1"/>
    <col min="14" max="14" width="17" bestFit="1" customWidth="1"/>
    <col min="15" max="15" width="20.109375" bestFit="1" customWidth="1"/>
    <col min="16" max="16" width="29.109375" bestFit="1" customWidth="1"/>
    <col min="17" max="17" width="21.109375" bestFit="1" customWidth="1"/>
    <col min="18" max="18" width="24.77734375" bestFit="1" customWidth="1"/>
    <col min="19" max="19" width="18.88671875" bestFit="1" customWidth="1"/>
    <col min="20" max="20" width="13.6640625" bestFit="1" customWidth="1"/>
    <col min="21" max="21" width="17.44140625" bestFit="1" customWidth="1"/>
    <col min="22" max="22" width="10.88671875" bestFit="1" customWidth="1"/>
    <col min="23" max="23" width="20" bestFit="1" customWidth="1"/>
    <col min="24" max="24" width="12" bestFit="1" customWidth="1"/>
    <col min="25" max="25" width="10.44140625" bestFit="1" customWidth="1"/>
    <col min="26" max="26" width="62" bestFit="1" customWidth="1"/>
    <col min="27" max="27" width="57.6640625" bestFit="1" customWidth="1"/>
  </cols>
  <sheetData>
    <row r="1" spans="1:17" x14ac:dyDescent="0.3">
      <c r="A1" s="6"/>
    </row>
    <row r="2" spans="1:17" ht="25.8" x14ac:dyDescent="0.5">
      <c r="A2" s="68" t="s">
        <v>846</v>
      </c>
    </row>
    <row r="4" spans="1:17" x14ac:dyDescent="0.3">
      <c r="A4" s="95" t="s">
        <v>843</v>
      </c>
      <c r="B4" s="95" t="s">
        <v>840</v>
      </c>
    </row>
    <row r="5" spans="1:17" x14ac:dyDescent="0.3">
      <c r="A5" s="95" t="s">
        <v>844</v>
      </c>
      <c r="B5" s="95" t="s">
        <v>841</v>
      </c>
    </row>
    <row r="6" spans="1:17" x14ac:dyDescent="0.3">
      <c r="A6" s="19"/>
    </row>
    <row r="7" spans="1:17" x14ac:dyDescent="0.3">
      <c r="A7" s="95" t="s">
        <v>843</v>
      </c>
      <c r="B7" s="95" t="s">
        <v>842</v>
      </c>
    </row>
    <row r="8" spans="1:17" x14ac:dyDescent="0.3">
      <c r="A8" s="95" t="s">
        <v>844</v>
      </c>
      <c r="B8" s="95" t="s">
        <v>845</v>
      </c>
    </row>
    <row r="9" spans="1:17" x14ac:dyDescent="0.3">
      <c r="A9" s="20"/>
    </row>
    <row r="10" spans="1:17" ht="25.8" x14ac:dyDescent="0.5">
      <c r="A10" s="68" t="s">
        <v>847</v>
      </c>
      <c r="P10" t="s">
        <v>830</v>
      </c>
      <c r="Q10" t="s">
        <v>839</v>
      </c>
    </row>
    <row r="11" spans="1:17" x14ac:dyDescent="0.3">
      <c r="D11" s="12"/>
      <c r="E11" s="12"/>
      <c r="F11" s="12"/>
      <c r="G11" s="12"/>
      <c r="H11" s="12"/>
      <c r="I11" s="12"/>
      <c r="J11" s="12"/>
      <c r="K11" s="12"/>
      <c r="P11" s="49">
        <v>40</v>
      </c>
      <c r="Q11" s="50" t="s">
        <v>831</v>
      </c>
    </row>
    <row r="12" spans="1:17" ht="19.95" customHeight="1" x14ac:dyDescent="0.3">
      <c r="A12" s="69" t="s">
        <v>849</v>
      </c>
      <c r="B12" s="69" t="s">
        <v>850</v>
      </c>
      <c r="C12" s="69" t="s">
        <v>851</v>
      </c>
      <c r="D12" s="69" t="s">
        <v>852</v>
      </c>
      <c r="E12" s="12"/>
      <c r="F12" s="12"/>
      <c r="G12" s="12"/>
      <c r="H12" s="12"/>
      <c r="I12" s="12"/>
      <c r="P12" s="49">
        <v>39</v>
      </c>
      <c r="Q12" s="51"/>
    </row>
    <row r="13" spans="1:17" ht="19.95" customHeight="1" x14ac:dyDescent="0.3">
      <c r="A13" s="69">
        <v>1</v>
      </c>
      <c r="B13" s="69" t="s">
        <v>737</v>
      </c>
      <c r="C13" s="69" t="s">
        <v>848</v>
      </c>
      <c r="D13" s="69" t="s">
        <v>853</v>
      </c>
      <c r="P13" s="49">
        <v>38</v>
      </c>
      <c r="Q13" s="50" t="s">
        <v>832</v>
      </c>
    </row>
    <row r="14" spans="1:17" ht="67.8" customHeight="1" x14ac:dyDescent="0.3">
      <c r="A14" s="69">
        <v>2</v>
      </c>
      <c r="B14" s="69" t="s">
        <v>738</v>
      </c>
      <c r="C14" s="70" t="s">
        <v>856</v>
      </c>
      <c r="D14" s="70" t="s">
        <v>854</v>
      </c>
      <c r="P14" s="49">
        <v>37</v>
      </c>
      <c r="Q14" s="51"/>
    </row>
    <row r="15" spans="1:17" ht="76.2" customHeight="1" x14ac:dyDescent="0.3">
      <c r="A15" s="69">
        <v>3</v>
      </c>
      <c r="B15" s="69" t="s">
        <v>781</v>
      </c>
      <c r="C15" s="70" t="s">
        <v>855</v>
      </c>
      <c r="D15" s="69"/>
      <c r="E15" s="69"/>
      <c r="P15" s="49">
        <v>36</v>
      </c>
      <c r="Q15" s="50" t="s">
        <v>833</v>
      </c>
    </row>
    <row r="16" spans="1:17" ht="105.6" customHeight="1" x14ac:dyDescent="0.3">
      <c r="A16" s="69">
        <v>4</v>
      </c>
      <c r="B16" s="69" t="s">
        <v>784</v>
      </c>
      <c r="C16" s="70" t="s">
        <v>857</v>
      </c>
      <c r="D16" s="70" t="s">
        <v>858</v>
      </c>
      <c r="P16" s="49">
        <v>35</v>
      </c>
      <c r="Q16" s="51"/>
    </row>
    <row r="17" spans="1:27" ht="54.6" customHeight="1" x14ac:dyDescent="0.3">
      <c r="A17" s="69">
        <v>5</v>
      </c>
      <c r="B17" s="69" t="s">
        <v>785</v>
      </c>
      <c r="C17" s="70" t="s">
        <v>859</v>
      </c>
      <c r="D17" s="70" t="s">
        <v>860</v>
      </c>
      <c r="E17" t="s">
        <v>863</v>
      </c>
      <c r="P17" s="49">
        <v>34</v>
      </c>
      <c r="Q17" s="50" t="s">
        <v>834</v>
      </c>
    </row>
    <row r="18" spans="1:27" ht="158.4" customHeight="1" x14ac:dyDescent="0.3">
      <c r="A18" s="69">
        <v>6</v>
      </c>
      <c r="B18" s="69" t="s">
        <v>780</v>
      </c>
      <c r="C18" s="70" t="s">
        <v>861</v>
      </c>
      <c r="D18" s="70" t="s">
        <v>862</v>
      </c>
      <c r="E18" t="s">
        <v>863</v>
      </c>
      <c r="P18" s="49">
        <v>33</v>
      </c>
      <c r="Q18" s="50"/>
    </row>
    <row r="19" spans="1:27" ht="19.95" customHeight="1" x14ac:dyDescent="0.3">
      <c r="P19" s="49">
        <v>32</v>
      </c>
      <c r="Q19" s="50" t="s">
        <v>835</v>
      </c>
    </row>
    <row r="20" spans="1:27" ht="19.95" customHeight="1" x14ac:dyDescent="0.3">
      <c r="P20" s="49">
        <v>31</v>
      </c>
      <c r="Q20" s="51"/>
    </row>
    <row r="21" spans="1:27" ht="19.95" customHeight="1" x14ac:dyDescent="0.3">
      <c r="A21" s="72" t="s">
        <v>0</v>
      </c>
      <c r="B21" s="72" t="s">
        <v>1</v>
      </c>
      <c r="C21" s="73" t="s">
        <v>2</v>
      </c>
      <c r="D21" s="73" t="s">
        <v>3</v>
      </c>
      <c r="E21" s="72" t="s">
        <v>4</v>
      </c>
      <c r="F21" s="72" t="s">
        <v>5</v>
      </c>
      <c r="G21" s="72" t="s">
        <v>6</v>
      </c>
      <c r="H21" s="72" t="s">
        <v>7</v>
      </c>
      <c r="I21" s="72" t="s">
        <v>8</v>
      </c>
      <c r="J21" s="72" t="s">
        <v>9</v>
      </c>
      <c r="K21" s="72" t="s">
        <v>10</v>
      </c>
      <c r="L21" s="72" t="s">
        <v>11</v>
      </c>
      <c r="M21" s="72" t="s">
        <v>12</v>
      </c>
      <c r="N21" s="72" t="s">
        <v>13</v>
      </c>
      <c r="O21" s="72" t="s">
        <v>14</v>
      </c>
      <c r="P21" s="72" t="s">
        <v>15</v>
      </c>
      <c r="Q21" s="72" t="s">
        <v>16</v>
      </c>
      <c r="R21" s="72" t="s">
        <v>17</v>
      </c>
      <c r="S21" s="72" t="s">
        <v>18</v>
      </c>
      <c r="T21" s="72" t="s">
        <v>19</v>
      </c>
      <c r="U21" s="72" t="s">
        <v>20</v>
      </c>
      <c r="V21" s="74" t="s">
        <v>21</v>
      </c>
      <c r="W21" s="72" t="s">
        <v>22</v>
      </c>
      <c r="X21" s="75" t="s">
        <v>737</v>
      </c>
      <c r="Y21" s="75" t="s">
        <v>738</v>
      </c>
      <c r="Z21" s="75" t="s">
        <v>778</v>
      </c>
      <c r="AA21" s="76" t="s">
        <v>838</v>
      </c>
    </row>
    <row r="22" spans="1:27" ht="19.95" customHeight="1" x14ac:dyDescent="0.3">
      <c r="A22" s="77">
        <v>9597</v>
      </c>
      <c r="B22" s="78" t="s">
        <v>125</v>
      </c>
      <c r="C22" s="79">
        <v>45632</v>
      </c>
      <c r="D22" s="79">
        <v>45628</v>
      </c>
      <c r="E22" s="80">
        <v>11.99</v>
      </c>
      <c r="F22" s="77">
        <v>447</v>
      </c>
      <c r="G22" s="78" t="s">
        <v>100</v>
      </c>
      <c r="H22" s="77">
        <v>5</v>
      </c>
      <c r="I22" s="77">
        <v>5</v>
      </c>
      <c r="J22" s="78" t="b">
        <v>0</v>
      </c>
      <c r="K22" s="77">
        <v>73</v>
      </c>
      <c r="L22" s="77">
        <v>138</v>
      </c>
      <c r="M22" s="78" t="s">
        <v>74</v>
      </c>
      <c r="N22" s="78" t="s">
        <v>44</v>
      </c>
      <c r="O22" s="78" t="s">
        <v>29</v>
      </c>
      <c r="P22" s="77">
        <v>84</v>
      </c>
      <c r="Q22" s="81">
        <v>4.0999999999999996</v>
      </c>
      <c r="R22" s="78" t="b">
        <v>0</v>
      </c>
      <c r="S22" s="78" t="s">
        <v>30</v>
      </c>
      <c r="T22" s="77">
        <v>784</v>
      </c>
      <c r="U22" s="78" t="s">
        <v>31</v>
      </c>
      <c r="V22" s="46" t="s">
        <v>39</v>
      </c>
      <c r="W22" s="78" t="s">
        <v>93</v>
      </c>
      <c r="X22" s="77">
        <v>-4</v>
      </c>
      <c r="Y22" s="46" t="s">
        <v>743</v>
      </c>
      <c r="Z22" s="71">
        <v>-782.25</v>
      </c>
      <c r="AA22" s="46" t="s">
        <v>836</v>
      </c>
    </row>
    <row r="23" spans="1:27" ht="19.95" customHeight="1" x14ac:dyDescent="0.3">
      <c r="A23" s="77">
        <v>4668</v>
      </c>
      <c r="B23" s="78" t="s">
        <v>251</v>
      </c>
      <c r="C23" s="79">
        <v>45643</v>
      </c>
      <c r="D23" s="79">
        <v>45635</v>
      </c>
      <c r="E23" s="80">
        <v>11.99</v>
      </c>
      <c r="F23" s="77">
        <v>396</v>
      </c>
      <c r="G23" s="78" t="s">
        <v>48</v>
      </c>
      <c r="H23" s="77">
        <v>5</v>
      </c>
      <c r="I23" s="77">
        <v>5</v>
      </c>
      <c r="J23" s="78" t="b">
        <v>1</v>
      </c>
      <c r="K23" s="77">
        <v>549</v>
      </c>
      <c r="L23" s="77">
        <v>35</v>
      </c>
      <c r="M23" s="78" t="s">
        <v>43</v>
      </c>
      <c r="N23" s="78" t="s">
        <v>28</v>
      </c>
      <c r="O23" s="78" t="s">
        <v>37</v>
      </c>
      <c r="P23" s="77">
        <v>66</v>
      </c>
      <c r="Q23" s="81">
        <v>3.6</v>
      </c>
      <c r="R23" s="78" t="b">
        <v>1</v>
      </c>
      <c r="S23" s="78" t="s">
        <v>30</v>
      </c>
      <c r="T23" s="77">
        <v>4293</v>
      </c>
      <c r="U23" s="78" t="s">
        <v>65</v>
      </c>
      <c r="V23" s="46" t="s">
        <v>79</v>
      </c>
      <c r="W23" s="78" t="s">
        <v>60</v>
      </c>
      <c r="X23" s="77">
        <v>-8</v>
      </c>
      <c r="Y23" s="46" t="s">
        <v>743</v>
      </c>
      <c r="Z23" s="71">
        <v>-346.5</v>
      </c>
      <c r="AA23" s="46" t="s">
        <v>836</v>
      </c>
    </row>
    <row r="24" spans="1:27" ht="19.95" customHeight="1" x14ac:dyDescent="0.3">
      <c r="A24" s="77">
        <v>8068</v>
      </c>
      <c r="B24" s="78" t="s">
        <v>260</v>
      </c>
      <c r="C24" s="79">
        <v>45640</v>
      </c>
      <c r="D24" s="79">
        <v>45619</v>
      </c>
      <c r="E24" s="80">
        <v>15.99</v>
      </c>
      <c r="F24" s="77">
        <v>77</v>
      </c>
      <c r="G24" s="78" t="s">
        <v>36</v>
      </c>
      <c r="H24" s="77">
        <v>5</v>
      </c>
      <c r="I24" s="77">
        <v>3</v>
      </c>
      <c r="J24" s="78" t="b">
        <v>0</v>
      </c>
      <c r="K24" s="77">
        <v>780</v>
      </c>
      <c r="L24" s="77">
        <v>138</v>
      </c>
      <c r="M24" s="78" t="s">
        <v>55</v>
      </c>
      <c r="N24" s="78" t="s">
        <v>75</v>
      </c>
      <c r="O24" s="78" t="s">
        <v>78</v>
      </c>
      <c r="P24" s="77">
        <v>66</v>
      </c>
      <c r="Q24" s="81">
        <v>3.4</v>
      </c>
      <c r="R24" s="78" t="b">
        <v>0</v>
      </c>
      <c r="S24" s="78" t="s">
        <v>30</v>
      </c>
      <c r="T24" s="77">
        <v>1752</v>
      </c>
      <c r="U24" s="78" t="s">
        <v>76</v>
      </c>
      <c r="V24" s="46" t="s">
        <v>59</v>
      </c>
      <c r="W24" s="78" t="s">
        <v>93</v>
      </c>
      <c r="X24" s="77">
        <v>-21</v>
      </c>
      <c r="Y24" s="46" t="s">
        <v>742</v>
      </c>
      <c r="Z24" s="71">
        <v>-25.666666666666668</v>
      </c>
      <c r="AA24" s="46" t="s">
        <v>836</v>
      </c>
    </row>
    <row r="25" spans="1:27" ht="19.95" customHeight="1" x14ac:dyDescent="0.3">
      <c r="A25" s="77">
        <v>1003</v>
      </c>
      <c r="B25" s="78" t="s">
        <v>276</v>
      </c>
      <c r="C25" s="79">
        <v>45638</v>
      </c>
      <c r="D25" s="79">
        <v>45618</v>
      </c>
      <c r="E25" s="80">
        <v>11.99</v>
      </c>
      <c r="F25" s="77">
        <v>433</v>
      </c>
      <c r="G25" s="78" t="s">
        <v>63</v>
      </c>
      <c r="H25" s="77">
        <v>5</v>
      </c>
      <c r="I25" s="77">
        <v>4</v>
      </c>
      <c r="J25" s="78" t="b">
        <v>0</v>
      </c>
      <c r="K25" s="77">
        <v>350</v>
      </c>
      <c r="L25" s="77">
        <v>2</v>
      </c>
      <c r="M25" s="78" t="s">
        <v>74</v>
      </c>
      <c r="N25" s="78" t="s">
        <v>75</v>
      </c>
      <c r="O25" s="78" t="s">
        <v>57</v>
      </c>
      <c r="P25" s="77">
        <v>41</v>
      </c>
      <c r="Q25" s="81">
        <v>3.1</v>
      </c>
      <c r="R25" s="78" t="b">
        <v>1</v>
      </c>
      <c r="S25" s="78" t="s">
        <v>30</v>
      </c>
      <c r="T25" s="77">
        <v>2043</v>
      </c>
      <c r="U25" s="78" t="s">
        <v>31</v>
      </c>
      <c r="V25" s="46" t="s">
        <v>32</v>
      </c>
      <c r="W25" s="78" t="s">
        <v>33</v>
      </c>
      <c r="X25" s="77">
        <v>-20</v>
      </c>
      <c r="Y25" s="46" t="s">
        <v>743</v>
      </c>
      <c r="Z25" s="71">
        <v>-151.54999999999998</v>
      </c>
      <c r="AA25" s="46" t="s">
        <v>836</v>
      </c>
    </row>
    <row r="26" spans="1:27" ht="19.95" customHeight="1" x14ac:dyDescent="0.3">
      <c r="A26" s="77">
        <v>1284</v>
      </c>
      <c r="B26" s="78" t="s">
        <v>157</v>
      </c>
      <c r="C26" s="79">
        <v>45630</v>
      </c>
      <c r="D26" s="79">
        <v>45627</v>
      </c>
      <c r="E26" s="80">
        <v>7.99</v>
      </c>
      <c r="F26" s="77">
        <v>405</v>
      </c>
      <c r="G26" s="78" t="s">
        <v>73</v>
      </c>
      <c r="H26" s="77">
        <v>4</v>
      </c>
      <c r="I26" s="77">
        <v>3</v>
      </c>
      <c r="J26" s="78" t="b">
        <v>1</v>
      </c>
      <c r="K26" s="77">
        <v>695</v>
      </c>
      <c r="L26" s="77">
        <v>85</v>
      </c>
      <c r="M26" s="78" t="s">
        <v>68</v>
      </c>
      <c r="N26" s="78" t="s">
        <v>56</v>
      </c>
      <c r="O26" s="78" t="s">
        <v>78</v>
      </c>
      <c r="P26" s="77">
        <v>42</v>
      </c>
      <c r="Q26" s="81">
        <v>3.7</v>
      </c>
      <c r="R26" s="78" t="b">
        <v>0</v>
      </c>
      <c r="S26" s="78" t="s">
        <v>30</v>
      </c>
      <c r="T26" s="77">
        <v>2395</v>
      </c>
      <c r="U26" s="78" t="s">
        <v>65</v>
      </c>
      <c r="V26" s="46" t="s">
        <v>39</v>
      </c>
      <c r="W26" s="78" t="s">
        <v>60</v>
      </c>
      <c r="X26" s="77">
        <v>-3</v>
      </c>
      <c r="Y26" s="46" t="s">
        <v>741</v>
      </c>
      <c r="Z26" s="71">
        <v>-945</v>
      </c>
      <c r="AA26" s="46" t="s">
        <v>836</v>
      </c>
    </row>
    <row r="27" spans="1:27" ht="19.95" customHeight="1" x14ac:dyDescent="0.3">
      <c r="A27" s="77">
        <v>3633</v>
      </c>
      <c r="B27" s="78" t="s">
        <v>316</v>
      </c>
      <c r="C27" s="79">
        <v>45644</v>
      </c>
      <c r="D27" s="79">
        <v>45636</v>
      </c>
      <c r="E27" s="80">
        <v>7.99</v>
      </c>
      <c r="F27" s="77">
        <v>176</v>
      </c>
      <c r="G27" s="78" t="s">
        <v>26</v>
      </c>
      <c r="H27" s="77">
        <v>5</v>
      </c>
      <c r="I27" s="77">
        <v>1</v>
      </c>
      <c r="J27" s="78" t="b">
        <v>1</v>
      </c>
      <c r="K27" s="77">
        <v>936</v>
      </c>
      <c r="L27" s="77">
        <v>11</v>
      </c>
      <c r="M27" s="78" t="s">
        <v>92</v>
      </c>
      <c r="N27" s="78" t="s">
        <v>75</v>
      </c>
      <c r="O27" s="78" t="s">
        <v>64</v>
      </c>
      <c r="P27" s="77">
        <v>42</v>
      </c>
      <c r="Q27" s="81">
        <v>3.2</v>
      </c>
      <c r="R27" s="78" t="b">
        <v>0</v>
      </c>
      <c r="S27" s="78" t="s">
        <v>30</v>
      </c>
      <c r="T27" s="77">
        <v>4414</v>
      </c>
      <c r="U27" s="78" t="s">
        <v>31</v>
      </c>
      <c r="V27" s="46" t="s">
        <v>32</v>
      </c>
      <c r="W27" s="78" t="s">
        <v>33</v>
      </c>
      <c r="X27" s="77">
        <v>-8</v>
      </c>
      <c r="Y27" s="46" t="s">
        <v>741</v>
      </c>
      <c r="Z27" s="71">
        <v>-154</v>
      </c>
      <c r="AA27" s="46" t="s">
        <v>836</v>
      </c>
    </row>
    <row r="28" spans="1:27" ht="19.95" customHeight="1" x14ac:dyDescent="0.3">
      <c r="A28" s="77">
        <v>7484</v>
      </c>
      <c r="B28" s="78" t="s">
        <v>340</v>
      </c>
      <c r="C28" s="79">
        <v>45634</v>
      </c>
      <c r="D28" s="79">
        <v>45617</v>
      </c>
      <c r="E28" s="80">
        <v>11.99</v>
      </c>
      <c r="F28" s="77">
        <v>152</v>
      </c>
      <c r="G28" s="78" t="s">
        <v>100</v>
      </c>
      <c r="H28" s="77">
        <v>5</v>
      </c>
      <c r="I28" s="77">
        <v>1</v>
      </c>
      <c r="J28" s="78" t="b">
        <v>0</v>
      </c>
      <c r="K28" s="77">
        <v>623</v>
      </c>
      <c r="L28" s="77">
        <v>180</v>
      </c>
      <c r="M28" s="78" t="s">
        <v>43</v>
      </c>
      <c r="N28" s="78" t="s">
        <v>75</v>
      </c>
      <c r="O28" s="78" t="s">
        <v>78</v>
      </c>
      <c r="P28" s="77">
        <v>89</v>
      </c>
      <c r="Q28" s="81">
        <v>4.5</v>
      </c>
      <c r="R28" s="78" t="b">
        <v>1</v>
      </c>
      <c r="S28" s="78" t="s">
        <v>30</v>
      </c>
      <c r="T28" s="77">
        <v>1594</v>
      </c>
      <c r="U28" s="78" t="s">
        <v>31</v>
      </c>
      <c r="V28" s="46" t="s">
        <v>39</v>
      </c>
      <c r="W28" s="78" t="s">
        <v>33</v>
      </c>
      <c r="X28" s="77">
        <v>-17</v>
      </c>
      <c r="Y28" s="46" t="s">
        <v>743</v>
      </c>
      <c r="Z28" s="71">
        <v>-62.588235294117652</v>
      </c>
      <c r="AA28" s="46" t="s">
        <v>836</v>
      </c>
    </row>
    <row r="29" spans="1:27" ht="19.95" customHeight="1" x14ac:dyDescent="0.3">
      <c r="A29" s="77">
        <v>5083</v>
      </c>
      <c r="B29" s="78" t="s">
        <v>148</v>
      </c>
      <c r="C29" s="79">
        <v>45620</v>
      </c>
      <c r="D29" s="79">
        <v>45619</v>
      </c>
      <c r="E29" s="80">
        <v>15.99</v>
      </c>
      <c r="F29" s="77">
        <v>19</v>
      </c>
      <c r="G29" s="78" t="s">
        <v>100</v>
      </c>
      <c r="H29" s="77">
        <v>3</v>
      </c>
      <c r="I29" s="77">
        <v>2</v>
      </c>
      <c r="J29" s="78" t="b">
        <v>1</v>
      </c>
      <c r="K29" s="77">
        <v>781</v>
      </c>
      <c r="L29" s="77">
        <v>179</v>
      </c>
      <c r="M29" s="78" t="s">
        <v>43</v>
      </c>
      <c r="N29" s="78" t="s">
        <v>44</v>
      </c>
      <c r="O29" s="78" t="s">
        <v>37</v>
      </c>
      <c r="P29" s="77">
        <v>8</v>
      </c>
      <c r="Q29" s="81">
        <v>4.3</v>
      </c>
      <c r="R29" s="78" t="b">
        <v>0</v>
      </c>
      <c r="S29" s="78" t="s">
        <v>30</v>
      </c>
      <c r="T29" s="77">
        <v>1525</v>
      </c>
      <c r="U29" s="78" t="s">
        <v>65</v>
      </c>
      <c r="V29" s="46" t="s">
        <v>69</v>
      </c>
      <c r="W29" s="78" t="s">
        <v>40</v>
      </c>
      <c r="X29" s="77">
        <v>-1</v>
      </c>
      <c r="Y29" s="46" t="s">
        <v>742</v>
      </c>
      <c r="Z29" s="71">
        <v>-133</v>
      </c>
      <c r="AA29" s="46" t="s">
        <v>836</v>
      </c>
    </row>
    <row r="30" spans="1:27" ht="19.95" customHeight="1" x14ac:dyDescent="0.3">
      <c r="A30" s="77">
        <v>3781</v>
      </c>
      <c r="B30" s="78" t="s">
        <v>491</v>
      </c>
      <c r="C30" s="79">
        <v>45643</v>
      </c>
      <c r="D30" s="79">
        <v>45625</v>
      </c>
      <c r="E30" s="80">
        <v>15.99</v>
      </c>
      <c r="F30" s="77">
        <v>249</v>
      </c>
      <c r="G30" s="78" t="s">
        <v>100</v>
      </c>
      <c r="H30" s="77">
        <v>1</v>
      </c>
      <c r="I30" s="77">
        <v>4</v>
      </c>
      <c r="J30" s="78" t="b">
        <v>1</v>
      </c>
      <c r="K30" s="77">
        <v>713</v>
      </c>
      <c r="L30" s="77">
        <v>125</v>
      </c>
      <c r="M30" s="78" t="s">
        <v>49</v>
      </c>
      <c r="N30" s="78" t="s">
        <v>28</v>
      </c>
      <c r="O30" s="78" t="s">
        <v>37</v>
      </c>
      <c r="P30" s="77">
        <v>95</v>
      </c>
      <c r="Q30" s="81">
        <v>4.8</v>
      </c>
      <c r="R30" s="78" t="b">
        <v>0</v>
      </c>
      <c r="S30" s="78" t="s">
        <v>30</v>
      </c>
      <c r="T30" s="77">
        <v>74</v>
      </c>
      <c r="U30" s="78" t="s">
        <v>65</v>
      </c>
      <c r="V30" s="46" t="s">
        <v>59</v>
      </c>
      <c r="W30" s="78" t="s">
        <v>60</v>
      </c>
      <c r="X30" s="77">
        <v>-18</v>
      </c>
      <c r="Y30" s="46" t="s">
        <v>742</v>
      </c>
      <c r="Z30" s="71">
        <v>-96.833333333333329</v>
      </c>
      <c r="AA30" s="46" t="s">
        <v>836</v>
      </c>
    </row>
    <row r="31" spans="1:27" x14ac:dyDescent="0.3">
      <c r="A31" s="77">
        <v>9239</v>
      </c>
      <c r="B31" s="78" t="s">
        <v>257</v>
      </c>
      <c r="C31" s="79">
        <v>45621</v>
      </c>
      <c r="D31" s="79">
        <v>45617</v>
      </c>
      <c r="E31" s="80">
        <v>15.99</v>
      </c>
      <c r="F31" s="77">
        <v>274</v>
      </c>
      <c r="G31" s="78" t="s">
        <v>36</v>
      </c>
      <c r="H31" s="77">
        <v>5</v>
      </c>
      <c r="I31" s="77">
        <v>6</v>
      </c>
      <c r="J31" s="78" t="b">
        <v>0</v>
      </c>
      <c r="K31" s="77">
        <v>732</v>
      </c>
      <c r="L31" s="77">
        <v>105</v>
      </c>
      <c r="M31" s="78" t="s">
        <v>49</v>
      </c>
      <c r="N31" s="78" t="s">
        <v>28</v>
      </c>
      <c r="O31" s="78" t="s">
        <v>29</v>
      </c>
      <c r="P31" s="77">
        <v>36</v>
      </c>
      <c r="Q31" s="81">
        <v>4.0999999999999996</v>
      </c>
      <c r="R31" s="78" t="b">
        <v>1</v>
      </c>
      <c r="S31" s="78" t="s">
        <v>30</v>
      </c>
      <c r="T31" s="77">
        <v>4194</v>
      </c>
      <c r="U31" s="78" t="s">
        <v>58</v>
      </c>
      <c r="V31" s="46" t="s">
        <v>69</v>
      </c>
      <c r="W31" s="78" t="s">
        <v>40</v>
      </c>
      <c r="X31" s="77">
        <v>-4</v>
      </c>
      <c r="Y31" s="46" t="s">
        <v>742</v>
      </c>
      <c r="Z31" s="71">
        <v>-479.5</v>
      </c>
      <c r="AA31" s="46" t="s">
        <v>836</v>
      </c>
    </row>
    <row r="32" spans="1:27" x14ac:dyDescent="0.3">
      <c r="A32" s="77">
        <v>8923</v>
      </c>
      <c r="B32" s="78" t="s">
        <v>184</v>
      </c>
      <c r="C32" s="79">
        <v>45637</v>
      </c>
      <c r="D32" s="79">
        <v>45636</v>
      </c>
      <c r="E32" s="80">
        <v>11.99</v>
      </c>
      <c r="F32" s="77">
        <v>100</v>
      </c>
      <c r="G32" s="78" t="s">
        <v>100</v>
      </c>
      <c r="H32" s="77">
        <v>3</v>
      </c>
      <c r="I32" s="77">
        <v>4</v>
      </c>
      <c r="J32" s="78" t="b">
        <v>0</v>
      </c>
      <c r="K32" s="77">
        <v>417</v>
      </c>
      <c r="L32" s="77">
        <v>87</v>
      </c>
      <c r="M32" s="78" t="s">
        <v>92</v>
      </c>
      <c r="N32" s="78" t="s">
        <v>56</v>
      </c>
      <c r="O32" s="78" t="s">
        <v>64</v>
      </c>
      <c r="P32" s="77">
        <v>14</v>
      </c>
      <c r="Q32" s="81">
        <v>3.4</v>
      </c>
      <c r="R32" s="78" t="b">
        <v>0</v>
      </c>
      <c r="S32" s="78" t="s">
        <v>30</v>
      </c>
      <c r="T32" s="77">
        <v>3183</v>
      </c>
      <c r="U32" s="78" t="s">
        <v>58</v>
      </c>
      <c r="V32" s="46" t="s">
        <v>32</v>
      </c>
      <c r="W32" s="78" t="s">
        <v>93</v>
      </c>
      <c r="X32" s="77">
        <v>-1</v>
      </c>
      <c r="Y32" s="46" t="s">
        <v>743</v>
      </c>
      <c r="Z32" s="71">
        <v>-700</v>
      </c>
      <c r="AA32" s="46" t="s">
        <v>836</v>
      </c>
    </row>
    <row r="33" spans="1:27" x14ac:dyDescent="0.3">
      <c r="A33" s="77">
        <v>1282</v>
      </c>
      <c r="B33" s="78" t="s">
        <v>120</v>
      </c>
      <c r="C33" s="79">
        <v>45636</v>
      </c>
      <c r="D33" s="79">
        <v>45623</v>
      </c>
      <c r="E33" s="80">
        <v>15.99</v>
      </c>
      <c r="F33" s="77">
        <v>432</v>
      </c>
      <c r="G33" s="78" t="s">
        <v>63</v>
      </c>
      <c r="H33" s="77">
        <v>4</v>
      </c>
      <c r="I33" s="77">
        <v>3</v>
      </c>
      <c r="J33" s="78" t="b">
        <v>1</v>
      </c>
      <c r="K33" s="77">
        <v>666</v>
      </c>
      <c r="L33" s="77">
        <v>76</v>
      </c>
      <c r="M33" s="78" t="s">
        <v>68</v>
      </c>
      <c r="N33" s="78" t="s">
        <v>75</v>
      </c>
      <c r="O33" s="78" t="s">
        <v>78</v>
      </c>
      <c r="P33" s="77">
        <v>92</v>
      </c>
      <c r="Q33" s="81">
        <v>4.5999999999999996</v>
      </c>
      <c r="R33" s="78" t="b">
        <v>0</v>
      </c>
      <c r="S33" s="78" t="s">
        <v>30</v>
      </c>
      <c r="T33" s="77">
        <v>4020</v>
      </c>
      <c r="U33" s="78" t="s">
        <v>76</v>
      </c>
      <c r="V33" s="46" t="s">
        <v>69</v>
      </c>
      <c r="W33" s="78" t="s">
        <v>33</v>
      </c>
      <c r="X33" s="77">
        <v>-13</v>
      </c>
      <c r="Y33" s="46" t="s">
        <v>742</v>
      </c>
      <c r="Z33" s="71">
        <v>-232.61538461538461</v>
      </c>
      <c r="AA33" s="46" t="s">
        <v>836</v>
      </c>
    </row>
    <row r="34" spans="1:27" x14ac:dyDescent="0.3">
      <c r="A34" s="77">
        <v>9374</v>
      </c>
      <c r="B34" s="78" t="s">
        <v>224</v>
      </c>
      <c r="C34" s="79">
        <v>45643</v>
      </c>
      <c r="D34" s="79">
        <v>45627</v>
      </c>
      <c r="E34" s="80">
        <v>15.99</v>
      </c>
      <c r="F34" s="77">
        <v>301</v>
      </c>
      <c r="G34" s="78" t="s">
        <v>26</v>
      </c>
      <c r="H34" s="77">
        <v>4</v>
      </c>
      <c r="I34" s="77">
        <v>6</v>
      </c>
      <c r="J34" s="78" t="b">
        <v>0</v>
      </c>
      <c r="K34" s="77">
        <v>619</v>
      </c>
      <c r="L34" s="77">
        <v>172</v>
      </c>
      <c r="M34" s="78" t="s">
        <v>27</v>
      </c>
      <c r="N34" s="78" t="s">
        <v>44</v>
      </c>
      <c r="O34" s="78" t="s">
        <v>64</v>
      </c>
      <c r="P34" s="77">
        <v>37</v>
      </c>
      <c r="Q34" s="81">
        <v>4.2</v>
      </c>
      <c r="R34" s="78" t="b">
        <v>1</v>
      </c>
      <c r="S34" s="78" t="s">
        <v>30</v>
      </c>
      <c r="T34" s="77">
        <v>1153</v>
      </c>
      <c r="U34" s="78" t="s">
        <v>76</v>
      </c>
      <c r="V34" s="46" t="s">
        <v>69</v>
      </c>
      <c r="W34" s="78" t="s">
        <v>40</v>
      </c>
      <c r="X34" s="77">
        <v>-16</v>
      </c>
      <c r="Y34" s="46" t="s">
        <v>742</v>
      </c>
      <c r="Z34" s="71">
        <v>-131.6875</v>
      </c>
      <c r="AA34" s="46" t="s">
        <v>836</v>
      </c>
    </row>
    <row r="35" spans="1:27" x14ac:dyDescent="0.3">
      <c r="A35" s="77">
        <v>4847</v>
      </c>
      <c r="B35" s="78" t="s">
        <v>238</v>
      </c>
      <c r="C35" s="79">
        <v>45627</v>
      </c>
      <c r="D35" s="79">
        <v>45626</v>
      </c>
      <c r="E35" s="80">
        <v>15.99</v>
      </c>
      <c r="F35" s="77">
        <v>315</v>
      </c>
      <c r="G35" s="78" t="s">
        <v>63</v>
      </c>
      <c r="H35" s="77">
        <v>1</v>
      </c>
      <c r="I35" s="77">
        <v>6</v>
      </c>
      <c r="J35" s="78" t="b">
        <v>0</v>
      </c>
      <c r="K35" s="77">
        <v>205</v>
      </c>
      <c r="L35" s="77">
        <v>92</v>
      </c>
      <c r="M35" s="78" t="s">
        <v>55</v>
      </c>
      <c r="N35" s="78" t="s">
        <v>28</v>
      </c>
      <c r="O35" s="78" t="s">
        <v>64</v>
      </c>
      <c r="P35" s="77">
        <v>67</v>
      </c>
      <c r="Q35" s="81">
        <v>3.5</v>
      </c>
      <c r="R35" s="78" t="b">
        <v>0</v>
      </c>
      <c r="S35" s="78" t="s">
        <v>30</v>
      </c>
      <c r="T35" s="77">
        <v>1584</v>
      </c>
      <c r="U35" s="78" t="s">
        <v>76</v>
      </c>
      <c r="V35" s="46" t="s">
        <v>79</v>
      </c>
      <c r="W35" s="78" t="s">
        <v>33</v>
      </c>
      <c r="X35" s="77">
        <v>-1</v>
      </c>
      <c r="Y35" s="46" t="s">
        <v>742</v>
      </c>
      <c r="Z35" s="71">
        <v>-2205</v>
      </c>
      <c r="AA35" s="46" t="s">
        <v>836</v>
      </c>
    </row>
    <row r="36" spans="1:27" x14ac:dyDescent="0.3">
      <c r="A36" s="77">
        <v>2714</v>
      </c>
      <c r="B36" s="78" t="s">
        <v>629</v>
      </c>
      <c r="C36" s="79">
        <v>45635</v>
      </c>
      <c r="D36" s="79">
        <v>45624</v>
      </c>
      <c r="E36" s="80">
        <v>11.99</v>
      </c>
      <c r="F36" s="77">
        <v>480</v>
      </c>
      <c r="G36" s="78" t="s">
        <v>48</v>
      </c>
      <c r="H36" s="77">
        <v>4</v>
      </c>
      <c r="I36" s="77">
        <v>6</v>
      </c>
      <c r="J36" s="78" t="b">
        <v>1</v>
      </c>
      <c r="K36" s="77">
        <v>277</v>
      </c>
      <c r="L36" s="77">
        <v>25</v>
      </c>
      <c r="M36" s="78" t="s">
        <v>74</v>
      </c>
      <c r="N36" s="78" t="s">
        <v>56</v>
      </c>
      <c r="O36" s="78" t="s">
        <v>78</v>
      </c>
      <c r="P36" s="77">
        <v>41</v>
      </c>
      <c r="Q36" s="81">
        <v>4.8</v>
      </c>
      <c r="R36" s="78" t="b">
        <v>0</v>
      </c>
      <c r="S36" s="78" t="s">
        <v>30</v>
      </c>
      <c r="T36" s="77">
        <v>3069</v>
      </c>
      <c r="U36" s="78" t="s">
        <v>76</v>
      </c>
      <c r="V36" s="46" t="s">
        <v>32</v>
      </c>
      <c r="W36" s="78" t="s">
        <v>93</v>
      </c>
      <c r="X36" s="77">
        <v>-11</v>
      </c>
      <c r="Y36" s="46" t="s">
        <v>743</v>
      </c>
      <c r="Z36" s="71">
        <v>-305.45454545454544</v>
      </c>
      <c r="AA36" s="46" t="s">
        <v>836</v>
      </c>
    </row>
    <row r="37" spans="1:27" x14ac:dyDescent="0.3">
      <c r="A37" s="77">
        <v>9179</v>
      </c>
      <c r="B37" s="78" t="s">
        <v>643</v>
      </c>
      <c r="C37" s="79">
        <v>45637</v>
      </c>
      <c r="D37" s="79">
        <v>45623</v>
      </c>
      <c r="E37" s="80">
        <v>15.99</v>
      </c>
      <c r="F37" s="77">
        <v>121</v>
      </c>
      <c r="G37" s="78" t="s">
        <v>63</v>
      </c>
      <c r="H37" s="77">
        <v>4</v>
      </c>
      <c r="I37" s="77">
        <v>5</v>
      </c>
      <c r="J37" s="78" t="b">
        <v>1</v>
      </c>
      <c r="K37" s="77">
        <v>53</v>
      </c>
      <c r="L37" s="77">
        <v>77</v>
      </c>
      <c r="M37" s="78" t="s">
        <v>68</v>
      </c>
      <c r="N37" s="78" t="s">
        <v>28</v>
      </c>
      <c r="O37" s="78" t="s">
        <v>29</v>
      </c>
      <c r="P37" s="77">
        <v>54</v>
      </c>
      <c r="Q37" s="81">
        <v>3.1</v>
      </c>
      <c r="R37" s="78" t="b">
        <v>1</v>
      </c>
      <c r="S37" s="78" t="s">
        <v>30</v>
      </c>
      <c r="T37" s="77">
        <v>3913</v>
      </c>
      <c r="U37" s="78" t="s">
        <v>65</v>
      </c>
      <c r="V37" s="46" t="s">
        <v>32</v>
      </c>
      <c r="W37" s="78" t="s">
        <v>60</v>
      </c>
      <c r="X37" s="77">
        <v>-14</v>
      </c>
      <c r="Y37" s="46" t="s">
        <v>742</v>
      </c>
      <c r="Z37" s="71">
        <v>-60.5</v>
      </c>
      <c r="AA37" s="46" t="s">
        <v>836</v>
      </c>
    </row>
    <row r="38" spans="1:27" x14ac:dyDescent="0.3">
      <c r="A38" s="77">
        <v>2410</v>
      </c>
      <c r="B38" s="78" t="s">
        <v>88</v>
      </c>
      <c r="C38" s="79">
        <v>45637</v>
      </c>
      <c r="D38" s="79">
        <v>45634</v>
      </c>
      <c r="E38" s="80">
        <v>11.99</v>
      </c>
      <c r="F38" s="77">
        <v>381</v>
      </c>
      <c r="G38" s="78" t="s">
        <v>100</v>
      </c>
      <c r="H38" s="77">
        <v>2</v>
      </c>
      <c r="I38" s="77">
        <v>3</v>
      </c>
      <c r="J38" s="78" t="b">
        <v>1</v>
      </c>
      <c r="K38" s="77">
        <v>568</v>
      </c>
      <c r="L38" s="77">
        <v>62</v>
      </c>
      <c r="M38" s="78" t="s">
        <v>74</v>
      </c>
      <c r="N38" s="78" t="s">
        <v>44</v>
      </c>
      <c r="O38" s="78" t="s">
        <v>45</v>
      </c>
      <c r="P38" s="77">
        <v>50</v>
      </c>
      <c r="Q38" s="81">
        <v>4.8</v>
      </c>
      <c r="R38" s="78" t="b">
        <v>0</v>
      </c>
      <c r="S38" s="78" t="s">
        <v>30</v>
      </c>
      <c r="T38" s="77">
        <v>1375</v>
      </c>
      <c r="U38" s="78" t="s">
        <v>65</v>
      </c>
      <c r="V38" s="46" t="s">
        <v>39</v>
      </c>
      <c r="W38" s="78" t="s">
        <v>33</v>
      </c>
      <c r="X38" s="77">
        <v>-3</v>
      </c>
      <c r="Y38" s="46" t="s">
        <v>743</v>
      </c>
      <c r="Z38" s="71">
        <v>-889</v>
      </c>
      <c r="AA38" s="46" t="s">
        <v>836</v>
      </c>
    </row>
    <row r="39" spans="1:27" x14ac:dyDescent="0.3">
      <c r="A39" s="77">
        <v>6970</v>
      </c>
      <c r="B39" s="78" t="s">
        <v>367</v>
      </c>
      <c r="C39" s="79">
        <v>45643</v>
      </c>
      <c r="D39" s="79">
        <v>45631</v>
      </c>
      <c r="E39" s="80">
        <v>7.99</v>
      </c>
      <c r="F39" s="77">
        <v>225</v>
      </c>
      <c r="G39" s="78" t="s">
        <v>100</v>
      </c>
      <c r="H39" s="77">
        <v>3</v>
      </c>
      <c r="I39" s="77">
        <v>3</v>
      </c>
      <c r="J39" s="78" t="b">
        <v>1</v>
      </c>
      <c r="K39" s="77">
        <v>589</v>
      </c>
      <c r="L39" s="77">
        <v>103</v>
      </c>
      <c r="M39" s="78" t="s">
        <v>43</v>
      </c>
      <c r="N39" s="78" t="s">
        <v>56</v>
      </c>
      <c r="O39" s="78" t="s">
        <v>29</v>
      </c>
      <c r="P39" s="77">
        <v>93</v>
      </c>
      <c r="Q39" s="81">
        <v>3.2</v>
      </c>
      <c r="R39" s="78" t="b">
        <v>1</v>
      </c>
      <c r="S39" s="78" t="s">
        <v>30</v>
      </c>
      <c r="T39" s="77">
        <v>3313</v>
      </c>
      <c r="U39" s="78" t="s">
        <v>58</v>
      </c>
      <c r="V39" s="46" t="s">
        <v>32</v>
      </c>
      <c r="W39" s="78" t="s">
        <v>60</v>
      </c>
      <c r="X39" s="77">
        <v>-12</v>
      </c>
      <c r="Y39" s="46" t="s">
        <v>741</v>
      </c>
      <c r="Z39" s="71">
        <v>-131.25</v>
      </c>
      <c r="AA39" s="46" t="s">
        <v>836</v>
      </c>
    </row>
    <row r="40" spans="1:27" x14ac:dyDescent="0.3">
      <c r="A40" s="77">
        <v>4680</v>
      </c>
      <c r="B40" s="78" t="s">
        <v>730</v>
      </c>
      <c r="C40" s="79">
        <v>45642</v>
      </c>
      <c r="D40" s="79">
        <v>45637</v>
      </c>
      <c r="E40" s="80">
        <v>11.99</v>
      </c>
      <c r="F40" s="77">
        <v>221</v>
      </c>
      <c r="G40" s="78" t="s">
        <v>100</v>
      </c>
      <c r="H40" s="77">
        <v>5</v>
      </c>
      <c r="I40" s="77">
        <v>5</v>
      </c>
      <c r="J40" s="78" t="b">
        <v>1</v>
      </c>
      <c r="K40" s="77">
        <v>749</v>
      </c>
      <c r="L40" s="77">
        <v>66</v>
      </c>
      <c r="M40" s="78" t="s">
        <v>27</v>
      </c>
      <c r="N40" s="78" t="s">
        <v>75</v>
      </c>
      <c r="O40" s="78" t="s">
        <v>37</v>
      </c>
      <c r="P40" s="77">
        <v>37</v>
      </c>
      <c r="Q40" s="81">
        <v>3.3</v>
      </c>
      <c r="R40" s="78" t="b">
        <v>1</v>
      </c>
      <c r="S40" s="78" t="s">
        <v>30</v>
      </c>
      <c r="T40" s="77">
        <v>4505</v>
      </c>
      <c r="U40" s="78" t="s">
        <v>58</v>
      </c>
      <c r="V40" s="46" t="s">
        <v>32</v>
      </c>
      <c r="W40" s="78" t="s">
        <v>93</v>
      </c>
      <c r="X40" s="77">
        <v>-5</v>
      </c>
      <c r="Y40" s="46" t="s">
        <v>743</v>
      </c>
      <c r="Z40" s="71">
        <v>-309.39999999999998</v>
      </c>
      <c r="AA40" s="46" t="s">
        <v>836</v>
      </c>
    </row>
    <row r="41" spans="1:27" x14ac:dyDescent="0.3">
      <c r="A41" s="77">
        <v>4115</v>
      </c>
      <c r="B41" s="78" t="s">
        <v>698</v>
      </c>
      <c r="C41" s="79">
        <v>45620</v>
      </c>
      <c r="D41" s="79">
        <v>45620</v>
      </c>
      <c r="E41" s="80">
        <v>15.99</v>
      </c>
      <c r="F41" s="77">
        <v>158</v>
      </c>
      <c r="G41" s="78" t="s">
        <v>73</v>
      </c>
      <c r="H41" s="77">
        <v>1</v>
      </c>
      <c r="I41" s="77">
        <v>5</v>
      </c>
      <c r="J41" s="78" t="b">
        <v>1</v>
      </c>
      <c r="K41" s="77">
        <v>603</v>
      </c>
      <c r="L41" s="77">
        <v>72</v>
      </c>
      <c r="M41" s="78" t="s">
        <v>55</v>
      </c>
      <c r="N41" s="78" t="s">
        <v>56</v>
      </c>
      <c r="O41" s="78" t="s">
        <v>29</v>
      </c>
      <c r="P41" s="77">
        <v>88</v>
      </c>
      <c r="Q41" s="81">
        <v>3.3</v>
      </c>
      <c r="R41" s="78" t="b">
        <v>0</v>
      </c>
      <c r="S41" s="78" t="s">
        <v>30</v>
      </c>
      <c r="T41" s="77">
        <v>3508</v>
      </c>
      <c r="U41" s="78" t="s">
        <v>58</v>
      </c>
      <c r="V41" s="46" t="s">
        <v>79</v>
      </c>
      <c r="W41" s="78" t="s">
        <v>93</v>
      </c>
      <c r="X41" s="77">
        <f t="shared" ref="X41" si="0">D41-C41</f>
        <v>0</v>
      </c>
      <c r="Y41" s="46" t="str" cm="1">
        <f t="array" ref="Y41">_xlfn.IFS(E41=7.99,"BASIC",E41=11.99,"STANDARD",E41=15.99,"PREMIUM")</f>
        <v>PREMIUM</v>
      </c>
      <c r="Z41" s="71" t="s">
        <v>782</v>
      </c>
      <c r="AA41" s="46" t="s">
        <v>837</v>
      </c>
    </row>
  </sheetData>
  <conditionalFormatting sqref="A1">
    <cfRule type="duplicateValues" dxfId="6" priority="7"/>
  </conditionalFormatting>
  <conditionalFormatting sqref="A22:A40">
    <cfRule type="duplicateValues" dxfId="5" priority="9"/>
  </conditionalFormatting>
  <conditionalFormatting sqref="A41">
    <cfRule type="duplicateValues" dxfId="4" priority="6"/>
  </conditionalFormatting>
  <conditionalFormatting sqref="B22:B40">
    <cfRule type="duplicateValues" dxfId="3" priority="8"/>
  </conditionalFormatting>
  <conditionalFormatting sqref="B41">
    <cfRule type="duplicateValues" dxfId="2" priority="5"/>
  </conditionalFormatting>
  <conditionalFormatting sqref="P11:P20">
    <cfRule type="colorScale" priority="10">
      <colorScale>
        <cfvo type="min"/>
        <cfvo type="max"/>
        <color theme="4" tint="0.39997558519241921"/>
        <color theme="4" tint="-0.499984740745262"/>
      </colorScale>
    </cfRule>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CCF0D-950E-4FD2-B929-CED47C9ABB2C}">
  <dimension ref="A1:AD1024"/>
  <sheetViews>
    <sheetView topLeftCell="S1" workbookViewId="0">
      <selection activeCell="AB1" sqref="AB1"/>
    </sheetView>
  </sheetViews>
  <sheetFormatPr defaultRowHeight="14.4" x14ac:dyDescent="0.3"/>
  <cols>
    <col min="1" max="1" width="9.44140625" customWidth="1"/>
    <col min="2" max="2" width="12.6640625" customWidth="1"/>
    <col min="3" max="3" width="11.109375" customWidth="1"/>
    <col min="4" max="4" width="11.77734375" customWidth="1"/>
    <col min="5" max="5" width="15.21875" customWidth="1"/>
    <col min="6" max="6" width="14.21875" customWidth="1"/>
    <col min="7" max="7" width="15.6640625" customWidth="1"/>
    <col min="8" max="8" width="15.44140625" customWidth="1"/>
    <col min="9" max="9" width="14.44140625" customWidth="1"/>
    <col min="10" max="10" width="17.88671875" customWidth="1"/>
    <col min="11" max="11" width="22.77734375" customWidth="1"/>
    <col min="12" max="12" width="21.5546875" customWidth="1"/>
    <col min="13" max="13" width="9.6640625" customWidth="1"/>
    <col min="14" max="14" width="18.21875" customWidth="1"/>
    <col min="15" max="15" width="21.109375" customWidth="1"/>
    <col min="16" max="16" width="29.5546875" customWidth="1"/>
    <col min="17" max="17" width="21.88671875" customWidth="1"/>
    <col min="18" max="18" width="25.33203125" customWidth="1"/>
    <col min="19" max="19" width="19.77734375" customWidth="1"/>
    <col min="20" max="20" width="15.21875" customWidth="1"/>
    <col min="21" max="21" width="18.109375" customWidth="1"/>
    <col min="22" max="22" width="12.33203125" customWidth="1"/>
    <col min="23" max="23" width="21" customWidth="1"/>
    <col min="24" max="24" width="15.77734375" bestFit="1" customWidth="1"/>
    <col min="25" max="25" width="13.5546875" bestFit="1" customWidth="1"/>
    <col min="26" max="26" width="22.33203125" bestFit="1" customWidth="1"/>
    <col min="27" max="27" width="20.5546875" bestFit="1" customWidth="1"/>
    <col min="28" max="28" width="20.21875" bestFit="1" customWidth="1"/>
    <col min="29" max="29" width="11.5546875" bestFit="1" customWidth="1"/>
  </cols>
  <sheetData>
    <row r="1" spans="1:29" x14ac:dyDescent="0.3">
      <c r="A1" s="21" t="s">
        <v>0</v>
      </c>
      <c r="B1" s="21" t="s">
        <v>1</v>
      </c>
      <c r="C1" s="22" t="s">
        <v>2</v>
      </c>
      <c r="D1" s="22" t="s">
        <v>3</v>
      </c>
      <c r="E1" s="21" t="s">
        <v>4</v>
      </c>
      <c r="F1" s="21" t="s">
        <v>5</v>
      </c>
      <c r="G1" s="21" t="s">
        <v>6</v>
      </c>
      <c r="H1" s="21" t="s">
        <v>7</v>
      </c>
      <c r="I1" s="21" t="s">
        <v>8</v>
      </c>
      <c r="J1" s="21" t="s">
        <v>9</v>
      </c>
      <c r="K1" s="21" t="s">
        <v>10</v>
      </c>
      <c r="L1" s="21" t="s">
        <v>11</v>
      </c>
      <c r="M1" s="21" t="s">
        <v>12</v>
      </c>
      <c r="N1" s="21" t="s">
        <v>13</v>
      </c>
      <c r="O1" s="21" t="s">
        <v>14</v>
      </c>
      <c r="P1" s="21" t="s">
        <v>15</v>
      </c>
      <c r="Q1" s="21" t="s">
        <v>16</v>
      </c>
      <c r="R1" s="21" t="s">
        <v>17</v>
      </c>
      <c r="S1" s="21" t="s">
        <v>18</v>
      </c>
      <c r="T1" s="21" t="s">
        <v>19</v>
      </c>
      <c r="U1" s="21" t="s">
        <v>20</v>
      </c>
      <c r="V1" s="23" t="s">
        <v>21</v>
      </c>
      <c r="W1" s="21" t="s">
        <v>22</v>
      </c>
      <c r="X1" s="16" t="s">
        <v>737</v>
      </c>
      <c r="Y1" s="16" t="s">
        <v>738</v>
      </c>
      <c r="Z1" s="16" t="s">
        <v>781</v>
      </c>
      <c r="AA1" s="16" t="s">
        <v>784</v>
      </c>
      <c r="AB1" s="16" t="s">
        <v>785</v>
      </c>
      <c r="AC1" s="16" t="s">
        <v>780</v>
      </c>
    </row>
    <row r="2" spans="1:29" x14ac:dyDescent="0.3">
      <c r="A2" s="6">
        <v>2518</v>
      </c>
      <c r="B2" s="7" t="s">
        <v>23</v>
      </c>
      <c r="C2" s="10">
        <v>45061</v>
      </c>
      <c r="D2" s="10">
        <v>45639</v>
      </c>
      <c r="E2" s="13">
        <v>7.99</v>
      </c>
      <c r="F2" s="6">
        <v>49</v>
      </c>
      <c r="G2" s="7" t="s">
        <v>26</v>
      </c>
      <c r="H2" s="6">
        <v>3</v>
      </c>
      <c r="I2" s="6">
        <v>6</v>
      </c>
      <c r="J2" s="7" t="b">
        <v>1</v>
      </c>
      <c r="K2" s="6">
        <v>641</v>
      </c>
      <c r="L2" s="6">
        <v>117</v>
      </c>
      <c r="M2" s="7" t="s">
        <v>27</v>
      </c>
      <c r="N2" s="7" t="s">
        <v>28</v>
      </c>
      <c r="O2" s="7" t="s">
        <v>29</v>
      </c>
      <c r="P2" s="6">
        <v>84</v>
      </c>
      <c r="Q2" s="11">
        <v>3.3</v>
      </c>
      <c r="R2" s="7" t="b">
        <v>0</v>
      </c>
      <c r="S2" s="7" t="s">
        <v>30</v>
      </c>
      <c r="T2" s="6">
        <v>2878</v>
      </c>
      <c r="U2" s="7" t="s">
        <v>31</v>
      </c>
      <c r="V2" s="12" t="s">
        <v>32</v>
      </c>
      <c r="W2" s="7" t="s">
        <v>33</v>
      </c>
      <c r="X2" s="6">
        <f>D2-C2</f>
        <v>578</v>
      </c>
      <c r="Y2" t="str" cm="1">
        <f t="array" ref="Y2">_xlfn.IFS(E2=7.99,"BASIC",E2=11.99,"STANDARD",E2=15.99,"PREMIUM")</f>
        <v>BASIC</v>
      </c>
      <c r="Z2" s="4">
        <f t="shared" ref="Z2:Z65" si="0">F2/(X2/7)</f>
        <v>0.59342560553633217</v>
      </c>
      <c r="AA2" s="3" t="str" cm="1">
        <f t="array" ref="AA2">_xlfn.IFS(
(F2/(X2/7)) &lt; 5, "Casual",
AND((F2/(X2/7)) &gt;= 5, (F2/(X2/7)) &lt; 15), "Regular",
(F2/(X2/7)) &gt;= 15, "Power"
)</f>
        <v>Casual</v>
      </c>
      <c r="AB2" s="3">
        <f t="shared" ref="AB2:AB7" si="1">(F2/(K2+L2))</f>
        <v>6.464379947229551E-2</v>
      </c>
      <c r="AC2" t="str">
        <f t="shared" ref="AC2:AC65" si="2">IF(F2/(K2+L2) &lt; 0.15," Browsers","Viewers")</f>
        <v xml:space="preserve"> Browsers</v>
      </c>
    </row>
    <row r="3" spans="1:29" x14ac:dyDescent="0.3">
      <c r="A3" s="6">
        <v>6430</v>
      </c>
      <c r="B3" s="7" t="s">
        <v>34</v>
      </c>
      <c r="C3" s="10">
        <v>45019</v>
      </c>
      <c r="D3" s="10">
        <v>45641</v>
      </c>
      <c r="E3" s="13">
        <v>7.99</v>
      </c>
      <c r="F3" s="6">
        <v>161</v>
      </c>
      <c r="G3" s="7" t="s">
        <v>36</v>
      </c>
      <c r="H3" s="6">
        <v>1</v>
      </c>
      <c r="I3" s="6">
        <v>2</v>
      </c>
      <c r="J3" s="7" t="b">
        <v>1</v>
      </c>
      <c r="K3" s="6">
        <v>192</v>
      </c>
      <c r="L3" s="6">
        <v>65</v>
      </c>
      <c r="M3" s="7" t="s">
        <v>27</v>
      </c>
      <c r="N3" s="7" t="s">
        <v>28</v>
      </c>
      <c r="O3" s="7" t="s">
        <v>37</v>
      </c>
      <c r="P3" s="6">
        <v>69</v>
      </c>
      <c r="Q3" s="11">
        <v>4</v>
      </c>
      <c r="R3" s="7" t="b">
        <v>0</v>
      </c>
      <c r="S3" s="7" t="s">
        <v>30</v>
      </c>
      <c r="T3" s="6">
        <v>2291</v>
      </c>
      <c r="U3" s="7" t="s">
        <v>38</v>
      </c>
      <c r="V3" s="12" t="s">
        <v>39</v>
      </c>
      <c r="W3" s="7" t="s">
        <v>40</v>
      </c>
      <c r="X3" s="6">
        <f t="shared" ref="X3:X66" si="3">D3-C3</f>
        <v>622</v>
      </c>
      <c r="Y3" t="str" cm="1">
        <f t="array" ref="Y3">_xlfn.IFS(E3=7.99,"BASIC",E3=11.99,"STANDARD",E3=15.99,"PREMIUM")</f>
        <v>BASIC</v>
      </c>
      <c r="Z3" s="4">
        <f t="shared" si="0"/>
        <v>1.8118971061093248</v>
      </c>
      <c r="AA3" s="3" t="str" cm="1">
        <f t="array" ref="AA3">_xlfn.IFS(
(F3/(X3/7)) &lt; 5, "Casual",
AND((F3/(X3/7)) &gt;= 5, (F3/(X3/7)) &lt; 15), "Regular",
(F3/(X3/7)) &gt;= 15, "Power"
)</f>
        <v>Casual</v>
      </c>
      <c r="AB3" s="3">
        <f t="shared" si="1"/>
        <v>0.62645914396887159</v>
      </c>
      <c r="AC3" t="str">
        <f t="shared" si="2"/>
        <v>Viewers</v>
      </c>
    </row>
    <row r="4" spans="1:29" x14ac:dyDescent="0.3">
      <c r="A4" s="6">
        <v>1798</v>
      </c>
      <c r="B4" s="7" t="s">
        <v>41</v>
      </c>
      <c r="C4" s="10">
        <v>45140</v>
      </c>
      <c r="D4" s="10">
        <v>45640</v>
      </c>
      <c r="E4" s="13">
        <v>11.99</v>
      </c>
      <c r="F4" s="6">
        <v>87</v>
      </c>
      <c r="G4" s="7" t="s">
        <v>26</v>
      </c>
      <c r="H4" s="6">
        <v>2</v>
      </c>
      <c r="I4" s="6">
        <v>5</v>
      </c>
      <c r="J4" s="7" t="b">
        <v>0</v>
      </c>
      <c r="K4" s="6">
        <v>260</v>
      </c>
      <c r="L4" s="6">
        <v>127</v>
      </c>
      <c r="M4" s="7" t="s">
        <v>43</v>
      </c>
      <c r="N4" s="7" t="s">
        <v>44</v>
      </c>
      <c r="O4" s="7" t="s">
        <v>45</v>
      </c>
      <c r="P4" s="6">
        <v>56</v>
      </c>
      <c r="Q4" s="11">
        <v>3.1</v>
      </c>
      <c r="R4" s="7" t="b">
        <v>0</v>
      </c>
      <c r="S4" s="7" t="s">
        <v>30</v>
      </c>
      <c r="T4" s="6">
        <v>1692</v>
      </c>
      <c r="U4" s="7" t="s">
        <v>38</v>
      </c>
      <c r="V4" s="12" t="s">
        <v>32</v>
      </c>
      <c r="W4" s="7" t="s">
        <v>33</v>
      </c>
      <c r="X4" s="6">
        <f t="shared" si="3"/>
        <v>500</v>
      </c>
      <c r="Y4" t="str" cm="1">
        <f t="array" ref="Y4">_xlfn.IFS(E4=7.99,"BASIC",E4=11.99,"STANDARD",E4=15.99,"PREMIUM")</f>
        <v>STANDARD</v>
      </c>
      <c r="Z4" s="4">
        <f t="shared" si="0"/>
        <v>1.218</v>
      </c>
      <c r="AA4" s="3" t="str" cm="1">
        <f t="array" ref="AA4">_xlfn.IFS(
(F4/(X4/7)) &lt; 5, "Casual",
AND((F4/(X4/7)) &gt;= 5, (F4/(X4/7)) &lt; 15), "Regular",
(F4/(X4/7)) &gt;= 15, "Power"
)</f>
        <v>Casual</v>
      </c>
      <c r="AB4" s="3">
        <f t="shared" si="1"/>
        <v>0.22480620155038761</v>
      </c>
      <c r="AC4" t="str">
        <f t="shared" si="2"/>
        <v>Viewers</v>
      </c>
    </row>
    <row r="5" spans="1:29" x14ac:dyDescent="0.3">
      <c r="A5" s="6">
        <v>5255</v>
      </c>
      <c r="B5" s="7" t="s">
        <v>46</v>
      </c>
      <c r="C5" s="10">
        <v>44957</v>
      </c>
      <c r="D5" s="10">
        <v>45628</v>
      </c>
      <c r="E5" s="13">
        <v>15.99</v>
      </c>
      <c r="F5" s="6">
        <v>321</v>
      </c>
      <c r="G5" s="7" t="s">
        <v>48</v>
      </c>
      <c r="H5" s="6">
        <v>1</v>
      </c>
      <c r="I5" s="6">
        <v>5</v>
      </c>
      <c r="J5" s="7" t="b">
        <v>0</v>
      </c>
      <c r="K5" s="6">
        <v>61</v>
      </c>
      <c r="L5" s="6">
        <v>192</v>
      </c>
      <c r="M5" s="7" t="s">
        <v>49</v>
      </c>
      <c r="N5" s="7" t="s">
        <v>44</v>
      </c>
      <c r="O5" s="7" t="s">
        <v>45</v>
      </c>
      <c r="P5" s="6">
        <v>47</v>
      </c>
      <c r="Q5" s="11">
        <v>4.5999999999999996</v>
      </c>
      <c r="R5" s="7" t="b">
        <v>0</v>
      </c>
      <c r="S5" s="7" t="s">
        <v>30</v>
      </c>
      <c r="T5" s="6">
        <v>952</v>
      </c>
      <c r="U5" s="7" t="s">
        <v>38</v>
      </c>
      <c r="V5" s="12" t="s">
        <v>39</v>
      </c>
      <c r="W5" s="7" t="s">
        <v>40</v>
      </c>
      <c r="X5" s="6">
        <f t="shared" si="3"/>
        <v>671</v>
      </c>
      <c r="Y5" t="str" cm="1">
        <f t="array" ref="Y5">_xlfn.IFS(E5=7.99,"BASIC",E5=11.99,"STANDARD",E5=15.99,"PREMIUM")</f>
        <v>PREMIUM</v>
      </c>
      <c r="Z5" s="4">
        <f t="shared" si="0"/>
        <v>3.3487332339791354</v>
      </c>
      <c r="AA5" s="3" t="str" cm="1">
        <f t="array" ref="AA5">_xlfn.IFS(
(F5/(X5/7)) &lt; 5, "Casual",
AND((F5/(X5/7)) &gt;= 5, (F5/(X5/7)) &lt; 15), "Regular",
(F5/(X5/7)) &gt;= 15, "Power"
)</f>
        <v>Casual</v>
      </c>
      <c r="AB5" s="3">
        <f t="shared" si="1"/>
        <v>1.2687747035573123</v>
      </c>
      <c r="AC5" t="str">
        <f t="shared" si="2"/>
        <v>Viewers</v>
      </c>
    </row>
    <row r="6" spans="1:29" x14ac:dyDescent="0.3">
      <c r="A6" s="6">
        <v>2854</v>
      </c>
      <c r="B6" s="7" t="s">
        <v>50</v>
      </c>
      <c r="C6" s="10">
        <v>45083</v>
      </c>
      <c r="D6" s="10">
        <v>45641</v>
      </c>
      <c r="E6" s="13">
        <v>11.99</v>
      </c>
      <c r="F6" s="6">
        <v>386</v>
      </c>
      <c r="G6" s="7" t="s">
        <v>51</v>
      </c>
      <c r="H6" s="6">
        <v>1</v>
      </c>
      <c r="I6" s="6">
        <v>4</v>
      </c>
      <c r="J6" s="7" t="b">
        <v>1</v>
      </c>
      <c r="K6" s="6">
        <v>230</v>
      </c>
      <c r="L6" s="6">
        <v>2</v>
      </c>
      <c r="M6" s="7" t="s">
        <v>27</v>
      </c>
      <c r="N6" s="7" t="s">
        <v>28</v>
      </c>
      <c r="O6" s="7" t="s">
        <v>45</v>
      </c>
      <c r="P6" s="6">
        <v>39</v>
      </c>
      <c r="Q6" s="11">
        <v>3.7</v>
      </c>
      <c r="R6" s="7" t="b">
        <v>0</v>
      </c>
      <c r="S6" s="7" t="s">
        <v>30</v>
      </c>
      <c r="T6" s="6">
        <v>1823</v>
      </c>
      <c r="U6" s="7" t="s">
        <v>38</v>
      </c>
      <c r="V6" s="12" t="s">
        <v>39</v>
      </c>
      <c r="W6" s="7" t="s">
        <v>33</v>
      </c>
      <c r="X6" s="6">
        <f t="shared" si="3"/>
        <v>558</v>
      </c>
      <c r="Y6" t="str" cm="1">
        <f t="array" ref="Y6">_xlfn.IFS(E6=7.99,"BASIC",E6=11.99,"STANDARD",E6=15.99,"PREMIUM")</f>
        <v>STANDARD</v>
      </c>
      <c r="Z6" s="4">
        <f t="shared" si="0"/>
        <v>4.8422939068100366</v>
      </c>
      <c r="AA6" s="3" t="str" cm="1">
        <f t="array" ref="AA6">_xlfn.IFS(
(F6/(X6/7)) &lt; 5, "Casual",
AND((F6/(X6/7)) &gt;= 5, (F6/(X6/7)) &lt; 15), "Regular",
(F6/(X6/7)) &gt;= 15, "Power"
)</f>
        <v>Casual</v>
      </c>
      <c r="AB6" s="3">
        <f t="shared" si="1"/>
        <v>1.6637931034482758</v>
      </c>
      <c r="AC6" t="str">
        <f t="shared" si="2"/>
        <v>Viewers</v>
      </c>
    </row>
    <row r="7" spans="1:29" x14ac:dyDescent="0.3">
      <c r="A7" s="6">
        <v>6735</v>
      </c>
      <c r="B7" s="7" t="s">
        <v>52</v>
      </c>
      <c r="C7" s="10">
        <v>45186</v>
      </c>
      <c r="D7" s="10">
        <v>45615</v>
      </c>
      <c r="E7" s="13">
        <v>15.99</v>
      </c>
      <c r="F7" s="6">
        <v>408</v>
      </c>
      <c r="G7" s="7" t="s">
        <v>51</v>
      </c>
      <c r="H7" s="6">
        <v>2</v>
      </c>
      <c r="I7" s="6">
        <v>6</v>
      </c>
      <c r="J7" s="7" t="b">
        <v>1</v>
      </c>
      <c r="K7" s="6">
        <v>837</v>
      </c>
      <c r="L7" s="6">
        <v>105</v>
      </c>
      <c r="M7" s="7" t="s">
        <v>55</v>
      </c>
      <c r="N7" s="7" t="s">
        <v>56</v>
      </c>
      <c r="O7" s="7" t="s">
        <v>57</v>
      </c>
      <c r="P7" s="6">
        <v>71</v>
      </c>
      <c r="Q7" s="11">
        <v>4.3</v>
      </c>
      <c r="R7" s="7" t="b">
        <v>1</v>
      </c>
      <c r="S7" s="7" t="s">
        <v>30</v>
      </c>
      <c r="T7" s="6">
        <v>33</v>
      </c>
      <c r="U7" s="7" t="s">
        <v>58</v>
      </c>
      <c r="V7" s="12" t="s">
        <v>59</v>
      </c>
      <c r="W7" s="7" t="s">
        <v>60</v>
      </c>
      <c r="X7" s="6">
        <f t="shared" si="3"/>
        <v>429</v>
      </c>
      <c r="Y7" t="str" cm="1">
        <f t="array" ref="Y7">_xlfn.IFS(E7=7.99,"BASIC",E7=11.99,"STANDARD",E7=15.99,"PREMIUM")</f>
        <v>PREMIUM</v>
      </c>
      <c r="Z7" s="4">
        <f t="shared" si="0"/>
        <v>6.6573426573426575</v>
      </c>
      <c r="AA7" s="3" t="str" cm="1">
        <f t="array" ref="AA7">_xlfn.IFS(
(F7/(X7/7)) &lt; 5, "Casual",
AND((F7/(X7/7)) &gt;= 5, (F7/(X7/7)) &lt; 15), "Regular",
(F7/(X7/7)) &gt;= 15, "Power"
)</f>
        <v>Regular</v>
      </c>
      <c r="AB7" s="3">
        <f t="shared" si="1"/>
        <v>0.43312101910828027</v>
      </c>
      <c r="AC7" t="str">
        <f t="shared" si="2"/>
        <v>Viewers</v>
      </c>
    </row>
    <row r="8" spans="1:29" x14ac:dyDescent="0.3">
      <c r="A8" s="6">
        <v>2995</v>
      </c>
      <c r="B8" s="7" t="s">
        <v>61</v>
      </c>
      <c r="C8" s="10">
        <v>45529</v>
      </c>
      <c r="D8" s="10">
        <v>45636</v>
      </c>
      <c r="E8" s="13">
        <v>7.99</v>
      </c>
      <c r="F8" s="6">
        <v>475</v>
      </c>
      <c r="G8" s="7" t="s">
        <v>63</v>
      </c>
      <c r="H8" s="6">
        <v>5</v>
      </c>
      <c r="I8" s="6">
        <v>4</v>
      </c>
      <c r="J8" s="7" t="b">
        <v>1</v>
      </c>
      <c r="K8" s="6">
        <v>510</v>
      </c>
      <c r="L8" s="6">
        <v>143</v>
      </c>
      <c r="M8" s="7" t="s">
        <v>27</v>
      </c>
      <c r="N8" s="7" t="s">
        <v>56</v>
      </c>
      <c r="O8" s="7" t="s">
        <v>64</v>
      </c>
      <c r="P8" s="6">
        <v>1</v>
      </c>
      <c r="Q8" s="11">
        <v>4.5</v>
      </c>
      <c r="R8" s="7" t="b">
        <v>0</v>
      </c>
      <c r="S8" s="7" t="s">
        <v>30</v>
      </c>
      <c r="T8" s="6">
        <v>755</v>
      </c>
      <c r="U8" s="7" t="s">
        <v>65</v>
      </c>
      <c r="V8" s="12" t="s">
        <v>32</v>
      </c>
      <c r="W8" s="7" t="s">
        <v>33</v>
      </c>
      <c r="X8" s="6">
        <f t="shared" si="3"/>
        <v>107</v>
      </c>
      <c r="Y8" t="str" cm="1">
        <f t="array" ref="Y8">_xlfn.IFS(E8=7.99,"BASIC",E8=11.99,"STANDARD",E8=15.99,"PREMIUM")</f>
        <v>BASIC</v>
      </c>
      <c r="Z8" s="4">
        <f t="shared" si="0"/>
        <v>31.074766355140184</v>
      </c>
      <c r="AA8" s="3" t="str" cm="1">
        <f t="array" ref="AA8">_xlfn.IFS(
(F8/(X8/7)) &lt; 5, "Casual",
AND((F8/(X8/7)) &gt;= 5, (F8/(X8/7)) &lt; 15), "Regular",
(F8/(X8/7)) &gt;= 15, "Power"
)</f>
        <v>Power</v>
      </c>
      <c r="AB8" s="3">
        <f>(F8/(K8+L8))</f>
        <v>0.72741194486983152</v>
      </c>
      <c r="AC8" t="str">
        <f>IF(F8/(K8+L8) &lt; 0.15," Browsers","Viewers")</f>
        <v>Viewers</v>
      </c>
    </row>
    <row r="9" spans="1:29" x14ac:dyDescent="0.3">
      <c r="A9" s="6">
        <v>5120</v>
      </c>
      <c r="B9" s="7" t="s">
        <v>66</v>
      </c>
      <c r="C9" s="10">
        <v>45443</v>
      </c>
      <c r="D9" s="10">
        <v>45640</v>
      </c>
      <c r="E9" s="13">
        <v>15.99</v>
      </c>
      <c r="F9" s="6">
        <v>258</v>
      </c>
      <c r="G9" s="7" t="s">
        <v>26</v>
      </c>
      <c r="H9" s="6">
        <v>4</v>
      </c>
      <c r="I9" s="6">
        <v>1</v>
      </c>
      <c r="J9" s="7" t="b">
        <v>1</v>
      </c>
      <c r="K9" s="6">
        <v>907</v>
      </c>
      <c r="L9" s="6">
        <v>47</v>
      </c>
      <c r="M9" s="7" t="s">
        <v>68</v>
      </c>
      <c r="N9" s="7" t="s">
        <v>44</v>
      </c>
      <c r="O9" s="7" t="s">
        <v>29</v>
      </c>
      <c r="P9" s="6">
        <v>32</v>
      </c>
      <c r="Q9" s="11">
        <v>3.7</v>
      </c>
      <c r="R9" s="7" t="b">
        <v>1</v>
      </c>
      <c r="S9" s="7" t="s">
        <v>30</v>
      </c>
      <c r="T9" s="6">
        <v>2866</v>
      </c>
      <c r="U9" s="7" t="s">
        <v>31</v>
      </c>
      <c r="V9" s="12" t="s">
        <v>69</v>
      </c>
      <c r="W9" s="7" t="s">
        <v>33</v>
      </c>
      <c r="X9" s="6">
        <f t="shared" si="3"/>
        <v>197</v>
      </c>
      <c r="Y9" t="str" cm="1">
        <f t="array" ref="Y9">_xlfn.IFS(E9=7.99,"BASIC",E9=11.99,"STANDARD",E9=15.99,"PREMIUM")</f>
        <v>PREMIUM</v>
      </c>
      <c r="Z9" s="4">
        <f t="shared" si="0"/>
        <v>9.1675126903553306</v>
      </c>
      <c r="AA9" s="3" t="str" cm="1">
        <f t="array" ref="AA9">_xlfn.IFS(
(F9/(X9/7)) &lt; 5, "Casual",
AND((F9/(X9/7)) &gt;= 5, (F9/(X9/7)) &lt; 15), "Regular",
(F9/(X9/7)) &gt;= 15, "Power"
)</f>
        <v>Regular</v>
      </c>
      <c r="AB9" s="3">
        <f t="shared" ref="AB9:AB72" si="4">(F9/(K9+L9))</f>
        <v>0.27044025157232704</v>
      </c>
      <c r="AC9" t="str">
        <f t="shared" si="2"/>
        <v>Viewers</v>
      </c>
    </row>
    <row r="10" spans="1:29" x14ac:dyDescent="0.3">
      <c r="A10" s="6">
        <v>6063</v>
      </c>
      <c r="B10" s="7" t="s">
        <v>70</v>
      </c>
      <c r="C10" s="10">
        <v>45094</v>
      </c>
      <c r="D10" s="10">
        <v>45643</v>
      </c>
      <c r="E10" s="13">
        <v>15.99</v>
      </c>
      <c r="F10" s="6">
        <v>183</v>
      </c>
      <c r="G10" s="7" t="s">
        <v>73</v>
      </c>
      <c r="H10" s="6">
        <v>5</v>
      </c>
      <c r="I10" s="6">
        <v>2</v>
      </c>
      <c r="J10" s="7" t="b">
        <v>1</v>
      </c>
      <c r="K10" s="6">
        <v>676</v>
      </c>
      <c r="L10" s="6">
        <v>61</v>
      </c>
      <c r="M10" s="7" t="s">
        <v>74</v>
      </c>
      <c r="N10" s="7" t="s">
        <v>75</v>
      </c>
      <c r="O10" s="7" t="s">
        <v>45</v>
      </c>
      <c r="P10" s="6">
        <v>26</v>
      </c>
      <c r="Q10" s="11">
        <v>3.3</v>
      </c>
      <c r="R10" s="7" t="b">
        <v>1</v>
      </c>
      <c r="S10" s="7" t="s">
        <v>30</v>
      </c>
      <c r="T10" s="6">
        <v>336</v>
      </c>
      <c r="U10" s="7" t="s">
        <v>76</v>
      </c>
      <c r="V10" s="12" t="s">
        <v>39</v>
      </c>
      <c r="W10" s="7" t="s">
        <v>33</v>
      </c>
      <c r="X10" s="6">
        <f t="shared" si="3"/>
        <v>549</v>
      </c>
      <c r="Y10" t="str" cm="1">
        <f t="array" ref="Y10">_xlfn.IFS(E10=7.99,"BASIC",E10=11.99,"STANDARD",E10=15.99,"PREMIUM")</f>
        <v>PREMIUM</v>
      </c>
      <c r="Z10" s="4">
        <f t="shared" si="0"/>
        <v>2.3333333333333335</v>
      </c>
      <c r="AA10" s="3" t="str" cm="1">
        <f t="array" ref="AA10">_xlfn.IFS(
(F10/(X10/7)) &lt; 5, "Casual",
AND((F10/(X10/7)) &gt;= 5, (F10/(X10/7)) &lt; 15), "Regular",
(F10/(X10/7)) &gt;= 15, "Power"
)</f>
        <v>Casual</v>
      </c>
      <c r="AB10" s="3">
        <f t="shared" si="4"/>
        <v>0.24830393487109906</v>
      </c>
      <c r="AC10" t="str">
        <f t="shared" si="2"/>
        <v>Viewers</v>
      </c>
    </row>
    <row r="11" spans="1:29" x14ac:dyDescent="0.3">
      <c r="A11" s="6">
        <v>6896</v>
      </c>
      <c r="B11" s="7" t="s">
        <v>77</v>
      </c>
      <c r="C11" s="10">
        <v>45262</v>
      </c>
      <c r="D11" s="10">
        <v>45640</v>
      </c>
      <c r="E11" s="13">
        <v>7.99</v>
      </c>
      <c r="F11" s="6">
        <v>164</v>
      </c>
      <c r="G11" s="7" t="s">
        <v>51</v>
      </c>
      <c r="H11" s="6">
        <v>5</v>
      </c>
      <c r="I11" s="6">
        <v>4</v>
      </c>
      <c r="J11" s="7" t="b">
        <v>1</v>
      </c>
      <c r="K11" s="6">
        <v>406</v>
      </c>
      <c r="L11" s="6">
        <v>79</v>
      </c>
      <c r="M11" s="7" t="s">
        <v>27</v>
      </c>
      <c r="N11" s="7" t="s">
        <v>56</v>
      </c>
      <c r="O11" s="7" t="s">
        <v>78</v>
      </c>
      <c r="P11" s="6">
        <v>90</v>
      </c>
      <c r="Q11" s="11">
        <v>3.2</v>
      </c>
      <c r="R11" s="7" t="b">
        <v>0</v>
      </c>
      <c r="S11" s="7" t="s">
        <v>30</v>
      </c>
      <c r="T11" s="6">
        <v>3898</v>
      </c>
      <c r="U11" s="7" t="s">
        <v>65</v>
      </c>
      <c r="V11" s="12" t="s">
        <v>79</v>
      </c>
      <c r="W11" s="7" t="s">
        <v>33</v>
      </c>
      <c r="X11" s="6">
        <f t="shared" si="3"/>
        <v>378</v>
      </c>
      <c r="Y11" t="str" cm="1">
        <f t="array" ref="Y11">_xlfn.IFS(E11=7.99,"BASIC",E11=11.99,"STANDARD",E11=15.99,"PREMIUM")</f>
        <v>BASIC</v>
      </c>
      <c r="Z11" s="4">
        <f t="shared" si="0"/>
        <v>3.0370370370370372</v>
      </c>
      <c r="AA11" s="3" t="str" cm="1">
        <f t="array" ref="AA11">_xlfn.IFS(
(F11/(X11/7)) &lt; 5, "Casual",
AND((F11/(X11/7)) &gt;= 5, (F11/(X11/7)) &lt; 15), "Regular",
(F11/(X11/7)) &gt;= 15, "Power"
)</f>
        <v>Casual</v>
      </c>
      <c r="AB11" s="3">
        <f t="shared" si="4"/>
        <v>0.33814432989690724</v>
      </c>
      <c r="AC11" t="str">
        <f t="shared" si="2"/>
        <v>Viewers</v>
      </c>
    </row>
    <row r="12" spans="1:29" x14ac:dyDescent="0.3">
      <c r="A12" s="6">
        <v>8447</v>
      </c>
      <c r="B12" s="7" t="s">
        <v>80</v>
      </c>
      <c r="C12" s="10">
        <v>45013</v>
      </c>
      <c r="D12" s="10">
        <v>45618</v>
      </c>
      <c r="E12" s="13">
        <v>11.99</v>
      </c>
      <c r="F12" s="6">
        <v>411</v>
      </c>
      <c r="G12" s="7" t="s">
        <v>73</v>
      </c>
      <c r="H12" s="6">
        <v>5</v>
      </c>
      <c r="I12" s="6">
        <v>4</v>
      </c>
      <c r="J12" s="7" t="b">
        <v>1</v>
      </c>
      <c r="K12" s="6">
        <v>352</v>
      </c>
      <c r="L12" s="6">
        <v>78</v>
      </c>
      <c r="M12" s="7" t="s">
        <v>49</v>
      </c>
      <c r="N12" s="7" t="s">
        <v>56</v>
      </c>
      <c r="O12" s="7" t="s">
        <v>64</v>
      </c>
      <c r="P12" s="6">
        <v>47</v>
      </c>
      <c r="Q12" s="11">
        <v>3.7</v>
      </c>
      <c r="R12" s="7" t="b">
        <v>0</v>
      </c>
      <c r="S12" s="7" t="s">
        <v>30</v>
      </c>
      <c r="T12" s="6">
        <v>650</v>
      </c>
      <c r="U12" s="7" t="s">
        <v>76</v>
      </c>
      <c r="V12" s="12" t="s">
        <v>79</v>
      </c>
      <c r="W12" s="7" t="s">
        <v>33</v>
      </c>
      <c r="X12" s="6">
        <f t="shared" si="3"/>
        <v>605</v>
      </c>
      <c r="Y12" t="str" cm="1">
        <f t="array" ref="Y12">_xlfn.IFS(E12=7.99,"BASIC",E12=11.99,"STANDARD",E12=15.99,"PREMIUM")</f>
        <v>STANDARD</v>
      </c>
      <c r="Z12" s="4">
        <f t="shared" si="0"/>
        <v>4.7553719008264466</v>
      </c>
      <c r="AA12" s="3" t="str" cm="1">
        <f t="array" ref="AA12">_xlfn.IFS(
(F12/(X12/7)) &lt; 5, "Casual",
AND((F12/(X12/7)) &gt;= 5, (F12/(X12/7)) &lt; 15), "Regular",
(F12/(X12/7)) &gt;= 15, "Power"
)</f>
        <v>Casual</v>
      </c>
      <c r="AB12" s="3">
        <f t="shared" si="4"/>
        <v>0.95581395348837206</v>
      </c>
      <c r="AC12" t="str">
        <f t="shared" si="2"/>
        <v>Viewers</v>
      </c>
    </row>
    <row r="13" spans="1:29" x14ac:dyDescent="0.3">
      <c r="A13" s="6">
        <v>1433</v>
      </c>
      <c r="B13" s="7" t="s">
        <v>83</v>
      </c>
      <c r="C13" s="10">
        <v>45353</v>
      </c>
      <c r="D13" s="10">
        <v>45616</v>
      </c>
      <c r="E13" s="13">
        <v>15.99</v>
      </c>
      <c r="F13" s="6">
        <v>160</v>
      </c>
      <c r="G13" s="7" t="s">
        <v>36</v>
      </c>
      <c r="H13" s="6">
        <v>5</v>
      </c>
      <c r="I13" s="6">
        <v>6</v>
      </c>
      <c r="J13" s="7" t="b">
        <v>1</v>
      </c>
      <c r="K13" s="6">
        <v>391</v>
      </c>
      <c r="L13" s="6">
        <v>132</v>
      </c>
      <c r="M13" s="7" t="s">
        <v>43</v>
      </c>
      <c r="N13" s="7" t="s">
        <v>44</v>
      </c>
      <c r="O13" s="7" t="s">
        <v>37</v>
      </c>
      <c r="P13" s="6">
        <v>57</v>
      </c>
      <c r="Q13" s="11">
        <v>3</v>
      </c>
      <c r="R13" s="7" t="b">
        <v>0</v>
      </c>
      <c r="S13" s="7" t="s">
        <v>30</v>
      </c>
      <c r="T13" s="6">
        <v>185</v>
      </c>
      <c r="U13" s="7" t="s">
        <v>65</v>
      </c>
      <c r="V13" s="12" t="s">
        <v>32</v>
      </c>
      <c r="W13" s="7" t="s">
        <v>33</v>
      </c>
      <c r="X13" s="6">
        <f t="shared" si="3"/>
        <v>263</v>
      </c>
      <c r="Y13" t="str" cm="1">
        <f t="array" ref="Y13">_xlfn.IFS(E13=7.99,"BASIC",E13=11.99,"STANDARD",E13=15.99,"PREMIUM")</f>
        <v>PREMIUM</v>
      </c>
      <c r="Z13" s="4">
        <f t="shared" si="0"/>
        <v>4.2585551330798479</v>
      </c>
      <c r="AA13" s="3" t="str" cm="1">
        <f t="array" ref="AA13">_xlfn.IFS(
(F13/(X13/7)) &lt; 5, "Casual",
AND((F13/(X13/7)) &gt;= 5, (F13/(X13/7)) &lt; 15), "Regular",
(F13/(X13/7)) &gt;= 15, "Power"
)</f>
        <v>Casual</v>
      </c>
      <c r="AB13" s="3">
        <f t="shared" si="4"/>
        <v>0.30592734225621415</v>
      </c>
      <c r="AC13" t="str">
        <f t="shared" si="2"/>
        <v>Viewers</v>
      </c>
    </row>
    <row r="14" spans="1:29" x14ac:dyDescent="0.3">
      <c r="A14" s="6">
        <v>4511</v>
      </c>
      <c r="B14" s="7" t="s">
        <v>85</v>
      </c>
      <c r="C14" s="10">
        <v>45012</v>
      </c>
      <c r="D14" s="10">
        <v>45621</v>
      </c>
      <c r="E14" s="13">
        <v>7.99</v>
      </c>
      <c r="F14" s="6">
        <v>348</v>
      </c>
      <c r="G14" s="7" t="s">
        <v>36</v>
      </c>
      <c r="H14" s="6">
        <v>2</v>
      </c>
      <c r="I14" s="6">
        <v>5</v>
      </c>
      <c r="J14" s="7" t="b">
        <v>0</v>
      </c>
      <c r="K14" s="6">
        <v>501</v>
      </c>
      <c r="L14" s="6">
        <v>71</v>
      </c>
      <c r="M14" s="7" t="s">
        <v>74</v>
      </c>
      <c r="N14" s="7" t="s">
        <v>44</v>
      </c>
      <c r="O14" s="7" t="s">
        <v>78</v>
      </c>
      <c r="P14" s="6">
        <v>38</v>
      </c>
      <c r="Q14" s="11">
        <v>4.3</v>
      </c>
      <c r="R14" s="7" t="b">
        <v>0</v>
      </c>
      <c r="S14" s="7" t="s">
        <v>30</v>
      </c>
      <c r="T14" s="6">
        <v>1547</v>
      </c>
      <c r="U14" s="7" t="s">
        <v>31</v>
      </c>
      <c r="V14" s="12" t="s">
        <v>69</v>
      </c>
      <c r="W14" s="7" t="s">
        <v>33</v>
      </c>
      <c r="X14" s="6">
        <f t="shared" si="3"/>
        <v>609</v>
      </c>
      <c r="Y14" t="str" cm="1">
        <f t="array" ref="Y14">_xlfn.IFS(E14=7.99,"BASIC",E14=11.99,"STANDARD",E14=15.99,"PREMIUM")</f>
        <v>BASIC</v>
      </c>
      <c r="Z14" s="4">
        <f t="shared" si="0"/>
        <v>4</v>
      </c>
      <c r="AA14" s="3" t="str" cm="1">
        <f t="array" ref="AA14">_xlfn.IFS(
(F14/(X14/7)) &lt; 5, "Casual",
AND((F14/(X14/7)) &gt;= 5, (F14/(X14/7)) &lt; 15), "Regular",
(F14/(X14/7)) &gt;= 15, "Power"
)</f>
        <v>Casual</v>
      </c>
      <c r="AB14" s="3">
        <f t="shared" si="4"/>
        <v>0.60839160839160844</v>
      </c>
      <c r="AC14" t="str">
        <f t="shared" si="2"/>
        <v>Viewers</v>
      </c>
    </row>
    <row r="15" spans="1:29" x14ac:dyDescent="0.3">
      <c r="A15" s="6">
        <v>9966</v>
      </c>
      <c r="B15" s="7" t="s">
        <v>88</v>
      </c>
      <c r="C15" s="10">
        <v>45550</v>
      </c>
      <c r="D15" s="10">
        <v>45626</v>
      </c>
      <c r="E15" s="13">
        <v>7.99</v>
      </c>
      <c r="F15" s="6">
        <v>451</v>
      </c>
      <c r="G15" s="7" t="s">
        <v>51</v>
      </c>
      <c r="H15" s="6">
        <v>3</v>
      </c>
      <c r="I15" s="6">
        <v>1</v>
      </c>
      <c r="J15" s="7" t="b">
        <v>0</v>
      </c>
      <c r="K15" s="6">
        <v>995</v>
      </c>
      <c r="L15" s="6">
        <v>164</v>
      </c>
      <c r="M15" s="7" t="s">
        <v>49</v>
      </c>
      <c r="N15" s="7" t="s">
        <v>75</v>
      </c>
      <c r="O15" s="7" t="s">
        <v>64</v>
      </c>
      <c r="P15" s="6">
        <v>62</v>
      </c>
      <c r="Q15" s="11">
        <v>3</v>
      </c>
      <c r="R15" s="7" t="b">
        <v>1</v>
      </c>
      <c r="S15" s="7" t="s">
        <v>30</v>
      </c>
      <c r="T15" s="6">
        <v>3788</v>
      </c>
      <c r="U15" s="7" t="s">
        <v>31</v>
      </c>
      <c r="V15" s="12" t="s">
        <v>59</v>
      </c>
      <c r="W15" s="7" t="s">
        <v>33</v>
      </c>
      <c r="X15" s="6">
        <f t="shared" si="3"/>
        <v>76</v>
      </c>
      <c r="Y15" t="str" cm="1">
        <f t="array" ref="Y15">_xlfn.IFS(E15=7.99,"BASIC",E15=11.99,"STANDARD",E15=15.99,"PREMIUM")</f>
        <v>BASIC</v>
      </c>
      <c r="Z15" s="4">
        <f t="shared" si="0"/>
        <v>41.539473684210527</v>
      </c>
      <c r="AA15" s="3" t="str" cm="1">
        <f t="array" ref="AA15">_xlfn.IFS(
(F15/(X15/7)) &lt; 5, "Casual",
AND((F15/(X15/7)) &gt;= 5, (F15/(X15/7)) &lt; 15), "Regular",
(F15/(X15/7)) &gt;= 15, "Power"
)</f>
        <v>Power</v>
      </c>
      <c r="AB15" s="3">
        <f t="shared" si="4"/>
        <v>0.38912855910267474</v>
      </c>
      <c r="AC15" t="str">
        <f t="shared" si="2"/>
        <v>Viewers</v>
      </c>
    </row>
    <row r="16" spans="1:29" x14ac:dyDescent="0.3">
      <c r="A16" s="6">
        <v>7093</v>
      </c>
      <c r="B16" s="7" t="s">
        <v>91</v>
      </c>
      <c r="C16" s="10">
        <v>45084</v>
      </c>
      <c r="D16" s="10">
        <v>45637</v>
      </c>
      <c r="E16" s="13">
        <v>7.99</v>
      </c>
      <c r="F16" s="6">
        <v>69</v>
      </c>
      <c r="G16" s="7" t="s">
        <v>51</v>
      </c>
      <c r="H16" s="6">
        <v>2</v>
      </c>
      <c r="I16" s="6">
        <v>5</v>
      </c>
      <c r="J16" s="7" t="b">
        <v>0</v>
      </c>
      <c r="K16" s="6">
        <v>222</v>
      </c>
      <c r="L16" s="6">
        <v>13</v>
      </c>
      <c r="M16" s="7" t="s">
        <v>92</v>
      </c>
      <c r="N16" s="7" t="s">
        <v>28</v>
      </c>
      <c r="O16" s="7" t="s">
        <v>37</v>
      </c>
      <c r="P16" s="6">
        <v>0</v>
      </c>
      <c r="Q16" s="11">
        <v>4.7</v>
      </c>
      <c r="R16" s="7" t="b">
        <v>1</v>
      </c>
      <c r="S16" s="7" t="s">
        <v>30</v>
      </c>
      <c r="T16" s="6">
        <v>1051</v>
      </c>
      <c r="U16" s="7" t="s">
        <v>38</v>
      </c>
      <c r="V16" s="12" t="s">
        <v>59</v>
      </c>
      <c r="W16" s="7" t="s">
        <v>93</v>
      </c>
      <c r="X16" s="6">
        <f t="shared" si="3"/>
        <v>553</v>
      </c>
      <c r="Y16" t="str" cm="1">
        <f t="array" ref="Y16">_xlfn.IFS(E16=7.99,"BASIC",E16=11.99,"STANDARD",E16=15.99,"PREMIUM")</f>
        <v>BASIC</v>
      </c>
      <c r="Z16" s="4">
        <f t="shared" si="0"/>
        <v>0.87341772151898733</v>
      </c>
      <c r="AA16" s="3" t="str" cm="1">
        <f t="array" ref="AA16">_xlfn.IFS(
(F16/(X16/7)) &lt; 5, "Casual",
AND((F16/(X16/7)) &gt;= 5, (F16/(X16/7)) &lt; 15), "Regular",
(F16/(X16/7)) &gt;= 15, "Power"
)</f>
        <v>Casual</v>
      </c>
      <c r="AB16" s="3">
        <f t="shared" si="4"/>
        <v>0.29361702127659572</v>
      </c>
      <c r="AC16" t="str">
        <f t="shared" si="2"/>
        <v>Viewers</v>
      </c>
    </row>
    <row r="17" spans="1:29" x14ac:dyDescent="0.3">
      <c r="A17" s="6">
        <v>4351</v>
      </c>
      <c r="B17" s="7" t="s">
        <v>94</v>
      </c>
      <c r="C17" s="10">
        <v>45430</v>
      </c>
      <c r="D17" s="10">
        <v>45626</v>
      </c>
      <c r="E17" s="13">
        <v>11.99</v>
      </c>
      <c r="F17" s="6">
        <v>166</v>
      </c>
      <c r="G17" s="7" t="s">
        <v>63</v>
      </c>
      <c r="H17" s="6">
        <v>1</v>
      </c>
      <c r="I17" s="6">
        <v>6</v>
      </c>
      <c r="J17" s="7" t="b">
        <v>1</v>
      </c>
      <c r="K17" s="6">
        <v>788</v>
      </c>
      <c r="L17" s="6">
        <v>31</v>
      </c>
      <c r="M17" s="7" t="s">
        <v>27</v>
      </c>
      <c r="N17" s="7" t="s">
        <v>28</v>
      </c>
      <c r="O17" s="7" t="s">
        <v>37</v>
      </c>
      <c r="P17" s="6">
        <v>25</v>
      </c>
      <c r="Q17" s="11">
        <v>4.3</v>
      </c>
      <c r="R17" s="7" t="b">
        <v>1</v>
      </c>
      <c r="S17" s="7" t="s">
        <v>30</v>
      </c>
      <c r="T17" s="6">
        <v>633</v>
      </c>
      <c r="U17" s="7" t="s">
        <v>58</v>
      </c>
      <c r="V17" s="12" t="s">
        <v>32</v>
      </c>
      <c r="W17" s="7" t="s">
        <v>93</v>
      </c>
      <c r="X17" s="6">
        <f t="shared" si="3"/>
        <v>196</v>
      </c>
      <c r="Y17" t="str" cm="1">
        <f t="array" ref="Y17">_xlfn.IFS(E17=7.99,"BASIC",E17=11.99,"STANDARD",E17=15.99,"PREMIUM")</f>
        <v>STANDARD</v>
      </c>
      <c r="Z17" s="4">
        <f t="shared" si="0"/>
        <v>5.9285714285714288</v>
      </c>
      <c r="AA17" s="3" t="str" cm="1">
        <f t="array" ref="AA17">_xlfn.IFS(
(F17/(X17/7)) &lt; 5, "Casual",
AND((F17/(X17/7)) &gt;= 5, (F17/(X17/7)) &lt; 15), "Regular",
(F17/(X17/7)) &gt;= 15, "Power"
)</f>
        <v>Regular</v>
      </c>
      <c r="AB17" s="3">
        <f t="shared" si="4"/>
        <v>0.20268620268620269</v>
      </c>
      <c r="AC17" t="str">
        <f t="shared" si="2"/>
        <v>Viewers</v>
      </c>
    </row>
    <row r="18" spans="1:29" x14ac:dyDescent="0.3">
      <c r="A18" s="6">
        <v>6007</v>
      </c>
      <c r="B18" s="7" t="s">
        <v>96</v>
      </c>
      <c r="C18" s="10">
        <v>44971</v>
      </c>
      <c r="D18" s="10">
        <v>45643</v>
      </c>
      <c r="E18" s="13">
        <v>7.99</v>
      </c>
      <c r="F18" s="6">
        <v>449</v>
      </c>
      <c r="G18" s="7" t="s">
        <v>63</v>
      </c>
      <c r="H18" s="6">
        <v>2</v>
      </c>
      <c r="I18" s="6">
        <v>4</v>
      </c>
      <c r="J18" s="7" t="b">
        <v>1</v>
      </c>
      <c r="K18" s="6">
        <v>369</v>
      </c>
      <c r="L18" s="6">
        <v>25</v>
      </c>
      <c r="M18" s="7" t="s">
        <v>74</v>
      </c>
      <c r="N18" s="7" t="s">
        <v>44</v>
      </c>
      <c r="O18" s="7" t="s">
        <v>57</v>
      </c>
      <c r="P18" s="6">
        <v>65</v>
      </c>
      <c r="Q18" s="11">
        <v>4.5999999999999996</v>
      </c>
      <c r="R18" s="7" t="b">
        <v>0</v>
      </c>
      <c r="S18" s="7" t="s">
        <v>30</v>
      </c>
      <c r="T18" s="6">
        <v>4133</v>
      </c>
      <c r="U18" s="7" t="s">
        <v>31</v>
      </c>
      <c r="V18" s="12" t="s">
        <v>39</v>
      </c>
      <c r="W18" s="7" t="s">
        <v>40</v>
      </c>
      <c r="X18" s="6">
        <f t="shared" si="3"/>
        <v>672</v>
      </c>
      <c r="Y18" t="str" cm="1">
        <f t="array" ref="Y18">_xlfn.IFS(E18=7.99,"BASIC",E18=11.99,"STANDARD",E18=15.99,"PREMIUM")</f>
        <v>BASIC</v>
      </c>
      <c r="Z18" s="4">
        <f t="shared" si="0"/>
        <v>4.677083333333333</v>
      </c>
      <c r="AA18" s="3" t="str" cm="1">
        <f t="array" ref="AA18">_xlfn.IFS(
(F18/(X18/7)) &lt; 5, "Casual",
AND((F18/(X18/7)) &gt;= 5, (F18/(X18/7)) &lt; 15), "Regular",
(F18/(X18/7)) &gt;= 15, "Power"
)</f>
        <v>Casual</v>
      </c>
      <c r="AB18" s="3">
        <f t="shared" si="4"/>
        <v>1.1395939086294415</v>
      </c>
      <c r="AC18" t="str">
        <f t="shared" si="2"/>
        <v>Viewers</v>
      </c>
    </row>
    <row r="19" spans="1:29" x14ac:dyDescent="0.3">
      <c r="A19" s="6">
        <v>9710</v>
      </c>
      <c r="B19" s="7" t="s">
        <v>98</v>
      </c>
      <c r="C19" s="10">
        <v>45079</v>
      </c>
      <c r="D19" s="10">
        <v>45623</v>
      </c>
      <c r="E19" s="13">
        <v>7.99</v>
      </c>
      <c r="F19" s="6">
        <v>441</v>
      </c>
      <c r="G19" s="7" t="s">
        <v>100</v>
      </c>
      <c r="H19" s="6">
        <v>1</v>
      </c>
      <c r="I19" s="6">
        <v>5</v>
      </c>
      <c r="J19" s="7" t="b">
        <v>0</v>
      </c>
      <c r="K19" s="6">
        <v>228</v>
      </c>
      <c r="L19" s="6">
        <v>39</v>
      </c>
      <c r="M19" s="7" t="s">
        <v>74</v>
      </c>
      <c r="N19" s="7" t="s">
        <v>28</v>
      </c>
      <c r="O19" s="7" t="s">
        <v>45</v>
      </c>
      <c r="P19" s="6">
        <v>50</v>
      </c>
      <c r="Q19" s="11">
        <v>3.1</v>
      </c>
      <c r="R19" s="7" t="b">
        <v>1</v>
      </c>
      <c r="S19" s="7" t="s">
        <v>30</v>
      </c>
      <c r="T19" s="6">
        <v>1159</v>
      </c>
      <c r="U19" s="7" t="s">
        <v>38</v>
      </c>
      <c r="V19" s="12" t="s">
        <v>32</v>
      </c>
      <c r="W19" s="7" t="s">
        <v>60</v>
      </c>
      <c r="X19" s="6">
        <f t="shared" si="3"/>
        <v>544</v>
      </c>
      <c r="Y19" t="str" cm="1">
        <f t="array" ref="Y19">_xlfn.IFS(E19=7.99,"BASIC",E19=11.99,"STANDARD",E19=15.99,"PREMIUM")</f>
        <v>BASIC</v>
      </c>
      <c r="Z19" s="4">
        <f t="shared" si="0"/>
        <v>5.6746323529411766</v>
      </c>
      <c r="AA19" s="3" t="str" cm="1">
        <f t="array" ref="AA19">_xlfn.IFS(
(F19/(X19/7)) &lt; 5, "Casual",
AND((F19/(X19/7)) &gt;= 5, (F19/(X19/7)) &lt; 15), "Regular",
(F19/(X19/7)) &gt;= 15, "Power"
)</f>
        <v>Regular</v>
      </c>
      <c r="AB19" s="3">
        <f t="shared" si="4"/>
        <v>1.651685393258427</v>
      </c>
      <c r="AC19" t="str">
        <f t="shared" si="2"/>
        <v>Viewers</v>
      </c>
    </row>
    <row r="20" spans="1:29" x14ac:dyDescent="0.3">
      <c r="A20" s="6">
        <v>9034</v>
      </c>
      <c r="B20" s="7" t="s">
        <v>101</v>
      </c>
      <c r="C20" s="10">
        <v>45189</v>
      </c>
      <c r="D20" s="10">
        <v>45644</v>
      </c>
      <c r="E20" s="13">
        <v>15.99</v>
      </c>
      <c r="F20" s="6">
        <v>224</v>
      </c>
      <c r="G20" s="7" t="s">
        <v>73</v>
      </c>
      <c r="H20" s="6">
        <v>1</v>
      </c>
      <c r="I20" s="6">
        <v>5</v>
      </c>
      <c r="J20" s="7" t="b">
        <v>1</v>
      </c>
      <c r="K20" s="6">
        <v>827</v>
      </c>
      <c r="L20" s="6">
        <v>138</v>
      </c>
      <c r="M20" s="7" t="s">
        <v>43</v>
      </c>
      <c r="N20" s="7" t="s">
        <v>44</v>
      </c>
      <c r="O20" s="7" t="s">
        <v>45</v>
      </c>
      <c r="P20" s="6">
        <v>11</v>
      </c>
      <c r="Q20" s="11">
        <v>4.5</v>
      </c>
      <c r="R20" s="7" t="b">
        <v>1</v>
      </c>
      <c r="S20" s="7" t="s">
        <v>30</v>
      </c>
      <c r="T20" s="6">
        <v>4673</v>
      </c>
      <c r="U20" s="7" t="s">
        <v>76</v>
      </c>
      <c r="V20" s="12" t="s">
        <v>59</v>
      </c>
      <c r="W20" s="7" t="s">
        <v>93</v>
      </c>
      <c r="X20" s="6">
        <f t="shared" si="3"/>
        <v>455</v>
      </c>
      <c r="Y20" t="str" cm="1">
        <f t="array" ref="Y20">_xlfn.IFS(E20=7.99,"BASIC",E20=11.99,"STANDARD",E20=15.99,"PREMIUM")</f>
        <v>PREMIUM</v>
      </c>
      <c r="Z20" s="4">
        <f t="shared" si="0"/>
        <v>3.4461538461538463</v>
      </c>
      <c r="AA20" s="3" t="str" cm="1">
        <f t="array" ref="AA20">_xlfn.IFS(
(F20/(X20/7)) &lt; 5, "Casual",
AND((F20/(X20/7)) &gt;= 5, (F20/(X20/7)) &lt; 15), "Regular",
(F20/(X20/7)) &gt;= 15, "Power"
)</f>
        <v>Casual</v>
      </c>
      <c r="AB20" s="3">
        <f t="shared" si="4"/>
        <v>0.23212435233160622</v>
      </c>
      <c r="AC20" t="str">
        <f t="shared" si="2"/>
        <v>Viewers</v>
      </c>
    </row>
    <row r="21" spans="1:29" x14ac:dyDescent="0.3">
      <c r="A21" s="6">
        <v>6197</v>
      </c>
      <c r="B21" s="7" t="s">
        <v>104</v>
      </c>
      <c r="C21" s="10">
        <v>45110</v>
      </c>
      <c r="D21" s="10">
        <v>45624</v>
      </c>
      <c r="E21" s="13">
        <v>15.99</v>
      </c>
      <c r="F21" s="6">
        <v>44</v>
      </c>
      <c r="G21" s="7" t="s">
        <v>26</v>
      </c>
      <c r="H21" s="6">
        <v>2</v>
      </c>
      <c r="I21" s="6">
        <v>4</v>
      </c>
      <c r="J21" s="7" t="b">
        <v>0</v>
      </c>
      <c r="K21" s="6">
        <v>983</v>
      </c>
      <c r="L21" s="6">
        <v>145</v>
      </c>
      <c r="M21" s="7" t="s">
        <v>55</v>
      </c>
      <c r="N21" s="7" t="s">
        <v>28</v>
      </c>
      <c r="O21" s="7" t="s">
        <v>78</v>
      </c>
      <c r="P21" s="6">
        <v>78</v>
      </c>
      <c r="Q21" s="11">
        <v>3</v>
      </c>
      <c r="R21" s="7" t="b">
        <v>0</v>
      </c>
      <c r="S21" s="7" t="s">
        <v>30</v>
      </c>
      <c r="T21" s="6">
        <v>4200</v>
      </c>
      <c r="U21" s="7" t="s">
        <v>65</v>
      </c>
      <c r="V21" s="12" t="s">
        <v>69</v>
      </c>
      <c r="W21" s="7" t="s">
        <v>40</v>
      </c>
      <c r="X21" s="6">
        <f t="shared" si="3"/>
        <v>514</v>
      </c>
      <c r="Y21" t="str" cm="1">
        <f t="array" ref="Y21">_xlfn.IFS(E21=7.99,"BASIC",E21=11.99,"STANDARD",E21=15.99,"PREMIUM")</f>
        <v>PREMIUM</v>
      </c>
      <c r="Z21" s="4">
        <f t="shared" si="0"/>
        <v>0.59922178988326846</v>
      </c>
      <c r="AA21" s="3" t="str" cm="1">
        <f t="array" ref="AA21">_xlfn.IFS(
(F21/(X21/7)) &lt; 5, "Casual",
AND((F21/(X21/7)) &gt;= 5, (F21/(X21/7)) &lt; 15), "Regular",
(F21/(X21/7)) &gt;= 15, "Power"
)</f>
        <v>Casual</v>
      </c>
      <c r="AB21" s="3">
        <f t="shared" si="4"/>
        <v>3.9007092198581561E-2</v>
      </c>
      <c r="AC21" t="str">
        <f t="shared" si="2"/>
        <v xml:space="preserve"> Browsers</v>
      </c>
    </row>
    <row r="22" spans="1:29" x14ac:dyDescent="0.3">
      <c r="A22" s="6">
        <v>2820</v>
      </c>
      <c r="B22" s="7" t="s">
        <v>106</v>
      </c>
      <c r="C22" s="10">
        <v>45122</v>
      </c>
      <c r="D22" s="10">
        <v>45627</v>
      </c>
      <c r="E22" s="13">
        <v>7.99</v>
      </c>
      <c r="F22" s="6">
        <v>202</v>
      </c>
      <c r="G22" s="7" t="s">
        <v>36</v>
      </c>
      <c r="H22" s="6">
        <v>1</v>
      </c>
      <c r="I22" s="6">
        <v>5</v>
      </c>
      <c r="J22" s="7" t="b">
        <v>1</v>
      </c>
      <c r="K22" s="6">
        <v>109</v>
      </c>
      <c r="L22" s="6">
        <v>41</v>
      </c>
      <c r="M22" s="7" t="s">
        <v>27</v>
      </c>
      <c r="N22" s="7" t="s">
        <v>75</v>
      </c>
      <c r="O22" s="7" t="s">
        <v>57</v>
      </c>
      <c r="P22" s="6">
        <v>42</v>
      </c>
      <c r="Q22" s="11">
        <v>4.5999999999999996</v>
      </c>
      <c r="R22" s="7" t="b">
        <v>0</v>
      </c>
      <c r="S22" s="7" t="s">
        <v>30</v>
      </c>
      <c r="T22" s="6">
        <v>3607</v>
      </c>
      <c r="U22" s="7" t="s">
        <v>38</v>
      </c>
      <c r="V22" s="12" t="s">
        <v>32</v>
      </c>
      <c r="W22" s="7" t="s">
        <v>33</v>
      </c>
      <c r="X22" s="6">
        <f t="shared" si="3"/>
        <v>505</v>
      </c>
      <c r="Y22" t="str" cm="1">
        <f t="array" ref="Y22">_xlfn.IFS(E22=7.99,"BASIC",E22=11.99,"STANDARD",E22=15.99,"PREMIUM")</f>
        <v>BASIC</v>
      </c>
      <c r="Z22" s="4">
        <f t="shared" si="0"/>
        <v>2.8000000000000003</v>
      </c>
      <c r="AA22" s="3" t="str" cm="1">
        <f t="array" ref="AA22">_xlfn.IFS(
(F22/(X22/7)) &lt; 5, "Casual",
AND((F22/(X22/7)) &gt;= 5, (F22/(X22/7)) &lt; 15), "Regular",
(F22/(X22/7)) &gt;= 15, "Power"
)</f>
        <v>Casual</v>
      </c>
      <c r="AB22" s="3">
        <f t="shared" si="4"/>
        <v>1.3466666666666667</v>
      </c>
      <c r="AC22" t="str">
        <f t="shared" si="2"/>
        <v>Viewers</v>
      </c>
    </row>
    <row r="23" spans="1:29" x14ac:dyDescent="0.3">
      <c r="A23" s="6">
        <v>1101</v>
      </c>
      <c r="B23" s="7" t="s">
        <v>52</v>
      </c>
      <c r="C23" s="10">
        <v>45456</v>
      </c>
      <c r="D23" s="10">
        <v>45619</v>
      </c>
      <c r="E23" s="13">
        <v>15.99</v>
      </c>
      <c r="F23" s="6">
        <v>39</v>
      </c>
      <c r="G23" s="7" t="s">
        <v>63</v>
      </c>
      <c r="H23" s="6">
        <v>2</v>
      </c>
      <c r="I23" s="6">
        <v>3</v>
      </c>
      <c r="J23" s="7" t="b">
        <v>1</v>
      </c>
      <c r="K23" s="6">
        <v>181</v>
      </c>
      <c r="L23" s="6">
        <v>128</v>
      </c>
      <c r="M23" s="7" t="s">
        <v>68</v>
      </c>
      <c r="N23" s="7" t="s">
        <v>28</v>
      </c>
      <c r="O23" s="7" t="s">
        <v>45</v>
      </c>
      <c r="P23" s="6">
        <v>3</v>
      </c>
      <c r="Q23" s="11">
        <v>4.5</v>
      </c>
      <c r="R23" s="7" t="b">
        <v>1</v>
      </c>
      <c r="S23" s="7" t="s">
        <v>30</v>
      </c>
      <c r="T23" s="6">
        <v>4602</v>
      </c>
      <c r="U23" s="7" t="s">
        <v>58</v>
      </c>
      <c r="V23" s="12" t="s">
        <v>79</v>
      </c>
      <c r="W23" s="7" t="s">
        <v>40</v>
      </c>
      <c r="X23" s="6">
        <f t="shared" si="3"/>
        <v>163</v>
      </c>
      <c r="Y23" t="str" cm="1">
        <f t="array" ref="Y23">_xlfn.IFS(E23=7.99,"BASIC",E23=11.99,"STANDARD",E23=15.99,"PREMIUM")</f>
        <v>PREMIUM</v>
      </c>
      <c r="Z23" s="4">
        <f t="shared" si="0"/>
        <v>1.6748466257668713</v>
      </c>
      <c r="AA23" s="3" t="str" cm="1">
        <f t="array" ref="AA23">_xlfn.IFS(
(F23/(X23/7)) &lt; 5, "Casual",
AND((F23/(X23/7)) &gt;= 5, (F23/(X23/7)) &lt; 15), "Regular",
(F23/(X23/7)) &gt;= 15, "Power"
)</f>
        <v>Casual</v>
      </c>
      <c r="AB23" s="3">
        <f t="shared" si="4"/>
        <v>0.12621359223300971</v>
      </c>
      <c r="AC23" t="str">
        <f t="shared" si="2"/>
        <v xml:space="preserve"> Browsers</v>
      </c>
    </row>
    <row r="24" spans="1:29" x14ac:dyDescent="0.3">
      <c r="A24" s="6">
        <v>1650</v>
      </c>
      <c r="B24" s="7" t="s">
        <v>98</v>
      </c>
      <c r="C24" s="10">
        <v>45529</v>
      </c>
      <c r="D24" s="10">
        <v>45619</v>
      </c>
      <c r="E24" s="13">
        <v>15.99</v>
      </c>
      <c r="F24" s="6">
        <v>319</v>
      </c>
      <c r="G24" s="7" t="s">
        <v>100</v>
      </c>
      <c r="H24" s="6">
        <v>2</v>
      </c>
      <c r="I24" s="6">
        <v>2</v>
      </c>
      <c r="J24" s="7" t="b">
        <v>0</v>
      </c>
      <c r="K24" s="6">
        <v>842</v>
      </c>
      <c r="L24" s="6">
        <v>145</v>
      </c>
      <c r="M24" s="7" t="s">
        <v>92</v>
      </c>
      <c r="N24" s="7" t="s">
        <v>75</v>
      </c>
      <c r="O24" s="7" t="s">
        <v>45</v>
      </c>
      <c r="P24" s="6">
        <v>27</v>
      </c>
      <c r="Q24" s="11">
        <v>3.6</v>
      </c>
      <c r="R24" s="7" t="b">
        <v>1</v>
      </c>
      <c r="S24" s="7" t="s">
        <v>30</v>
      </c>
      <c r="T24" s="6">
        <v>256</v>
      </c>
      <c r="U24" s="7" t="s">
        <v>58</v>
      </c>
      <c r="V24" s="12" t="s">
        <v>32</v>
      </c>
      <c r="W24" s="7" t="s">
        <v>93</v>
      </c>
      <c r="X24" s="6">
        <f t="shared" si="3"/>
        <v>90</v>
      </c>
      <c r="Y24" t="str" cm="1">
        <f t="array" ref="Y24">_xlfn.IFS(E24=7.99,"BASIC",E24=11.99,"STANDARD",E24=15.99,"PREMIUM")</f>
        <v>PREMIUM</v>
      </c>
      <c r="Z24" s="4">
        <f t="shared" si="0"/>
        <v>24.81111111111111</v>
      </c>
      <c r="AA24" s="3" t="str" cm="1">
        <f t="array" ref="AA24">_xlfn.IFS(
(F24/(X24/7)) &lt; 5, "Casual",
AND((F24/(X24/7)) &gt;= 5, (F24/(X24/7)) &lt; 15), "Regular",
(F24/(X24/7)) &gt;= 15, "Power"
)</f>
        <v>Power</v>
      </c>
      <c r="AB24" s="3">
        <f t="shared" si="4"/>
        <v>0.3232016210739615</v>
      </c>
      <c r="AC24" t="str">
        <f t="shared" si="2"/>
        <v>Viewers</v>
      </c>
    </row>
    <row r="25" spans="1:29" x14ac:dyDescent="0.3">
      <c r="A25" s="6">
        <v>4884</v>
      </c>
      <c r="B25" s="7" t="s">
        <v>110</v>
      </c>
      <c r="C25" s="10">
        <v>45249</v>
      </c>
      <c r="D25" s="10">
        <v>45621</v>
      </c>
      <c r="E25" s="13">
        <v>15.99</v>
      </c>
      <c r="F25" s="6">
        <v>150</v>
      </c>
      <c r="G25" s="7" t="s">
        <v>48</v>
      </c>
      <c r="H25" s="6">
        <v>3</v>
      </c>
      <c r="I25" s="6">
        <v>3</v>
      </c>
      <c r="J25" s="7" t="b">
        <v>1</v>
      </c>
      <c r="K25" s="6">
        <v>40</v>
      </c>
      <c r="L25" s="6">
        <v>196</v>
      </c>
      <c r="M25" s="7" t="s">
        <v>43</v>
      </c>
      <c r="N25" s="7" t="s">
        <v>44</v>
      </c>
      <c r="O25" s="7" t="s">
        <v>37</v>
      </c>
      <c r="P25" s="6">
        <v>60</v>
      </c>
      <c r="Q25" s="11">
        <v>3.7</v>
      </c>
      <c r="R25" s="7" t="b">
        <v>0</v>
      </c>
      <c r="S25" s="7" t="s">
        <v>30</v>
      </c>
      <c r="T25" s="6">
        <v>2406</v>
      </c>
      <c r="U25" s="7" t="s">
        <v>65</v>
      </c>
      <c r="V25" s="12" t="s">
        <v>79</v>
      </c>
      <c r="W25" s="7" t="s">
        <v>40</v>
      </c>
      <c r="X25" s="6">
        <f t="shared" si="3"/>
        <v>372</v>
      </c>
      <c r="Y25" t="str" cm="1">
        <f t="array" ref="Y25">_xlfn.IFS(E25=7.99,"BASIC",E25=11.99,"STANDARD",E25=15.99,"PREMIUM")</f>
        <v>PREMIUM</v>
      </c>
      <c r="Z25" s="4">
        <f t="shared" si="0"/>
        <v>2.82258064516129</v>
      </c>
      <c r="AA25" s="3" t="str" cm="1">
        <f t="array" ref="AA25">_xlfn.IFS(
(F25/(X25/7)) &lt; 5, "Casual",
AND((F25/(X25/7)) &gt;= 5, (F25/(X25/7)) &lt; 15), "Regular",
(F25/(X25/7)) &gt;= 15, "Power"
)</f>
        <v>Casual</v>
      </c>
      <c r="AB25" s="3">
        <f t="shared" si="4"/>
        <v>0.63559322033898302</v>
      </c>
      <c r="AC25" t="str">
        <f t="shared" si="2"/>
        <v>Viewers</v>
      </c>
    </row>
    <row r="26" spans="1:29" x14ac:dyDescent="0.3">
      <c r="A26" s="6">
        <v>8321</v>
      </c>
      <c r="B26" s="7" t="s">
        <v>112</v>
      </c>
      <c r="C26" s="10">
        <v>45191</v>
      </c>
      <c r="D26" s="10">
        <v>45619</v>
      </c>
      <c r="E26" s="13">
        <v>11.99</v>
      </c>
      <c r="F26" s="6">
        <v>496</v>
      </c>
      <c r="G26" s="7" t="s">
        <v>100</v>
      </c>
      <c r="H26" s="6">
        <v>3</v>
      </c>
      <c r="I26" s="6">
        <v>1</v>
      </c>
      <c r="J26" s="7" t="b">
        <v>1</v>
      </c>
      <c r="K26" s="6">
        <v>431</v>
      </c>
      <c r="L26" s="6">
        <v>41</v>
      </c>
      <c r="M26" s="7" t="s">
        <v>55</v>
      </c>
      <c r="N26" s="7" t="s">
        <v>56</v>
      </c>
      <c r="O26" s="7" t="s">
        <v>64</v>
      </c>
      <c r="P26" s="6">
        <v>91</v>
      </c>
      <c r="Q26" s="11">
        <v>4</v>
      </c>
      <c r="R26" s="7" t="b">
        <v>1</v>
      </c>
      <c r="S26" s="7" t="s">
        <v>30</v>
      </c>
      <c r="T26" s="6">
        <v>1394</v>
      </c>
      <c r="U26" s="7" t="s">
        <v>58</v>
      </c>
      <c r="V26" s="12" t="s">
        <v>79</v>
      </c>
      <c r="W26" s="7" t="s">
        <v>93</v>
      </c>
      <c r="X26" s="6">
        <f t="shared" si="3"/>
        <v>428</v>
      </c>
      <c r="Y26" t="str" cm="1">
        <f t="array" ref="Y26">_xlfn.IFS(E26=7.99,"BASIC",E26=11.99,"STANDARD",E26=15.99,"PREMIUM")</f>
        <v>STANDARD</v>
      </c>
      <c r="Z26" s="4">
        <f t="shared" si="0"/>
        <v>8.1121495327102799</v>
      </c>
      <c r="AA26" s="3" t="str" cm="1">
        <f t="array" ref="AA26">_xlfn.IFS(
(F26/(X26/7)) &lt; 5, "Casual",
AND((F26/(X26/7)) &gt;= 5, (F26/(X26/7)) &lt; 15), "Regular",
(F26/(X26/7)) &gt;= 15, "Power"
)</f>
        <v>Regular</v>
      </c>
      <c r="AB26" s="3">
        <f t="shared" si="4"/>
        <v>1.0508474576271187</v>
      </c>
      <c r="AC26" t="str">
        <f t="shared" si="2"/>
        <v>Viewers</v>
      </c>
    </row>
    <row r="27" spans="1:29" x14ac:dyDescent="0.3">
      <c r="A27" s="6">
        <v>2381</v>
      </c>
      <c r="B27" s="7" t="s">
        <v>114</v>
      </c>
      <c r="C27" s="10">
        <v>45427</v>
      </c>
      <c r="D27" s="10">
        <v>45641</v>
      </c>
      <c r="E27" s="13">
        <v>7.99</v>
      </c>
      <c r="F27" s="6">
        <v>347</v>
      </c>
      <c r="G27" s="7" t="s">
        <v>63</v>
      </c>
      <c r="H27" s="6">
        <v>2</v>
      </c>
      <c r="I27" s="6">
        <v>5</v>
      </c>
      <c r="J27" s="7" t="b">
        <v>0</v>
      </c>
      <c r="K27" s="6">
        <v>415</v>
      </c>
      <c r="L27" s="6">
        <v>194</v>
      </c>
      <c r="M27" s="7" t="s">
        <v>27</v>
      </c>
      <c r="N27" s="7" t="s">
        <v>56</v>
      </c>
      <c r="O27" s="7" t="s">
        <v>37</v>
      </c>
      <c r="P27" s="6">
        <v>76</v>
      </c>
      <c r="Q27" s="11">
        <v>4.3</v>
      </c>
      <c r="R27" s="7" t="b">
        <v>1</v>
      </c>
      <c r="S27" s="7" t="s">
        <v>30</v>
      </c>
      <c r="T27" s="6">
        <v>1856</v>
      </c>
      <c r="U27" s="7" t="s">
        <v>38</v>
      </c>
      <c r="V27" s="12" t="s">
        <v>59</v>
      </c>
      <c r="W27" s="7" t="s">
        <v>93</v>
      </c>
      <c r="X27" s="6">
        <f t="shared" si="3"/>
        <v>214</v>
      </c>
      <c r="Y27" t="str" cm="1">
        <f t="array" ref="Y27">_xlfn.IFS(E27=7.99,"BASIC",E27=11.99,"STANDARD",E27=15.99,"PREMIUM")</f>
        <v>BASIC</v>
      </c>
      <c r="Z27" s="4">
        <f t="shared" si="0"/>
        <v>11.350467289719626</v>
      </c>
      <c r="AA27" s="3" t="str" cm="1">
        <f t="array" ref="AA27">_xlfn.IFS(
(F27/(X27/7)) &lt; 5, "Casual",
AND((F27/(X27/7)) &gt;= 5, (F27/(X27/7)) &lt; 15), "Regular",
(F27/(X27/7)) &gt;= 15, "Power"
)</f>
        <v>Regular</v>
      </c>
      <c r="AB27" s="3">
        <f t="shared" si="4"/>
        <v>0.56978653530377665</v>
      </c>
      <c r="AC27" t="str">
        <f t="shared" si="2"/>
        <v>Viewers</v>
      </c>
    </row>
    <row r="28" spans="1:29" x14ac:dyDescent="0.3">
      <c r="A28" s="6">
        <v>9507</v>
      </c>
      <c r="B28" s="7" t="s">
        <v>116</v>
      </c>
      <c r="C28" s="10">
        <v>45096</v>
      </c>
      <c r="D28" s="10">
        <v>45615</v>
      </c>
      <c r="E28" s="13">
        <v>11.99</v>
      </c>
      <c r="F28" s="6">
        <v>201</v>
      </c>
      <c r="G28" s="7" t="s">
        <v>26</v>
      </c>
      <c r="H28" s="6">
        <v>1</v>
      </c>
      <c r="I28" s="6">
        <v>6</v>
      </c>
      <c r="J28" s="7" t="b">
        <v>1</v>
      </c>
      <c r="K28" s="6">
        <v>902</v>
      </c>
      <c r="L28" s="6">
        <v>86</v>
      </c>
      <c r="M28" s="7" t="s">
        <v>27</v>
      </c>
      <c r="N28" s="7" t="s">
        <v>75</v>
      </c>
      <c r="O28" s="7" t="s">
        <v>78</v>
      </c>
      <c r="P28" s="6">
        <v>69</v>
      </c>
      <c r="Q28" s="11">
        <v>4.9000000000000004</v>
      </c>
      <c r="R28" s="7" t="b">
        <v>1</v>
      </c>
      <c r="S28" s="7" t="s">
        <v>30</v>
      </c>
      <c r="T28" s="6">
        <v>1665</v>
      </c>
      <c r="U28" s="7" t="s">
        <v>58</v>
      </c>
      <c r="V28" s="12" t="s">
        <v>59</v>
      </c>
      <c r="W28" s="7" t="s">
        <v>93</v>
      </c>
      <c r="X28" s="6">
        <f t="shared" si="3"/>
        <v>519</v>
      </c>
      <c r="Y28" t="str" cm="1">
        <f t="array" ref="Y28">_xlfn.IFS(E28=7.99,"BASIC",E28=11.99,"STANDARD",E28=15.99,"PREMIUM")</f>
        <v>STANDARD</v>
      </c>
      <c r="Z28" s="4">
        <f t="shared" si="0"/>
        <v>2.7109826589595376</v>
      </c>
      <c r="AA28" s="3" t="str" cm="1">
        <f t="array" ref="AA28">_xlfn.IFS(
(F28/(X28/7)) &lt; 5, "Casual",
AND((F28/(X28/7)) &gt;= 5, (F28/(X28/7)) &lt; 15), "Regular",
(F28/(X28/7)) &gt;= 15, "Power"
)</f>
        <v>Casual</v>
      </c>
      <c r="AB28" s="3">
        <f t="shared" si="4"/>
        <v>0.20344129554655871</v>
      </c>
      <c r="AC28" t="str">
        <f t="shared" si="2"/>
        <v>Viewers</v>
      </c>
    </row>
    <row r="29" spans="1:29" x14ac:dyDescent="0.3">
      <c r="A29" s="6">
        <v>2851</v>
      </c>
      <c r="B29" s="7" t="s">
        <v>118</v>
      </c>
      <c r="C29" s="10">
        <v>45434</v>
      </c>
      <c r="D29" s="10">
        <v>45619</v>
      </c>
      <c r="E29" s="13">
        <v>15.99</v>
      </c>
      <c r="F29" s="6">
        <v>415</v>
      </c>
      <c r="G29" s="7" t="s">
        <v>100</v>
      </c>
      <c r="H29" s="6">
        <v>3</v>
      </c>
      <c r="I29" s="6">
        <v>5</v>
      </c>
      <c r="J29" s="7" t="b">
        <v>1</v>
      </c>
      <c r="K29" s="6">
        <v>769</v>
      </c>
      <c r="L29" s="6">
        <v>144</v>
      </c>
      <c r="M29" s="7" t="s">
        <v>68</v>
      </c>
      <c r="N29" s="7" t="s">
        <v>75</v>
      </c>
      <c r="O29" s="7" t="s">
        <v>57</v>
      </c>
      <c r="P29" s="6">
        <v>98</v>
      </c>
      <c r="Q29" s="11">
        <v>3.9</v>
      </c>
      <c r="R29" s="7" t="b">
        <v>0</v>
      </c>
      <c r="S29" s="7" t="s">
        <v>30</v>
      </c>
      <c r="T29" s="6">
        <v>2759</v>
      </c>
      <c r="U29" s="7" t="s">
        <v>76</v>
      </c>
      <c r="V29" s="12" t="s">
        <v>32</v>
      </c>
      <c r="W29" s="7" t="s">
        <v>40</v>
      </c>
      <c r="X29" s="6">
        <f t="shared" si="3"/>
        <v>185</v>
      </c>
      <c r="Y29" t="str" cm="1">
        <f t="array" ref="Y29">_xlfn.IFS(E29=7.99,"BASIC",E29=11.99,"STANDARD",E29=15.99,"PREMIUM")</f>
        <v>PREMIUM</v>
      </c>
      <c r="Z29" s="4">
        <f t="shared" si="0"/>
        <v>15.702702702702704</v>
      </c>
      <c r="AA29" s="3" t="str" cm="1">
        <f t="array" ref="AA29">_xlfn.IFS(
(F29/(X29/7)) &lt; 5, "Casual",
AND((F29/(X29/7)) &gt;= 5, (F29/(X29/7)) &lt; 15), "Regular",
(F29/(X29/7)) &gt;= 15, "Power"
)</f>
        <v>Power</v>
      </c>
      <c r="AB29" s="3">
        <f t="shared" si="4"/>
        <v>0.45454545454545453</v>
      </c>
      <c r="AC29" t="str">
        <f t="shared" si="2"/>
        <v>Viewers</v>
      </c>
    </row>
    <row r="30" spans="1:29" x14ac:dyDescent="0.3">
      <c r="A30" s="6">
        <v>4083</v>
      </c>
      <c r="B30" s="7" t="s">
        <v>120</v>
      </c>
      <c r="C30" s="10">
        <v>45321</v>
      </c>
      <c r="D30" s="10">
        <v>45636</v>
      </c>
      <c r="E30" s="13">
        <v>11.99</v>
      </c>
      <c r="F30" s="6">
        <v>32</v>
      </c>
      <c r="G30" s="7" t="s">
        <v>63</v>
      </c>
      <c r="H30" s="6">
        <v>1</v>
      </c>
      <c r="I30" s="6">
        <v>4</v>
      </c>
      <c r="J30" s="7" t="b">
        <v>1</v>
      </c>
      <c r="K30" s="6">
        <v>588</v>
      </c>
      <c r="L30" s="6">
        <v>137</v>
      </c>
      <c r="M30" s="7" t="s">
        <v>92</v>
      </c>
      <c r="N30" s="7" t="s">
        <v>56</v>
      </c>
      <c r="O30" s="7" t="s">
        <v>64</v>
      </c>
      <c r="P30" s="6">
        <v>85</v>
      </c>
      <c r="Q30" s="11">
        <v>3.7</v>
      </c>
      <c r="R30" s="7" t="b">
        <v>1</v>
      </c>
      <c r="S30" s="7" t="s">
        <v>30</v>
      </c>
      <c r="T30" s="6">
        <v>3433</v>
      </c>
      <c r="U30" s="7" t="s">
        <v>65</v>
      </c>
      <c r="V30" s="12" t="s">
        <v>32</v>
      </c>
      <c r="W30" s="7" t="s">
        <v>93</v>
      </c>
      <c r="X30" s="6">
        <f t="shared" si="3"/>
        <v>315</v>
      </c>
      <c r="Y30" t="str" cm="1">
        <f t="array" ref="Y30">_xlfn.IFS(E30=7.99,"BASIC",E30=11.99,"STANDARD",E30=15.99,"PREMIUM")</f>
        <v>STANDARD</v>
      </c>
      <c r="Z30" s="4">
        <f t="shared" si="0"/>
        <v>0.71111111111111114</v>
      </c>
      <c r="AA30" s="3" t="str" cm="1">
        <f t="array" ref="AA30">_xlfn.IFS(
(F30/(X30/7)) &lt; 5, "Casual",
AND((F30/(X30/7)) &gt;= 5, (F30/(X30/7)) &lt; 15), "Regular",
(F30/(X30/7)) &gt;= 15, "Power"
)</f>
        <v>Casual</v>
      </c>
      <c r="AB30" s="3">
        <f t="shared" si="4"/>
        <v>4.4137931034482755E-2</v>
      </c>
      <c r="AC30" t="str">
        <f t="shared" si="2"/>
        <v xml:space="preserve"> Browsers</v>
      </c>
    </row>
    <row r="31" spans="1:29" x14ac:dyDescent="0.3">
      <c r="A31" s="6">
        <v>4608</v>
      </c>
      <c r="B31" s="7" t="s">
        <v>122</v>
      </c>
      <c r="C31" s="10">
        <v>45379</v>
      </c>
      <c r="D31" s="10">
        <v>45624</v>
      </c>
      <c r="E31" s="13">
        <v>11.99</v>
      </c>
      <c r="F31" s="6">
        <v>338</v>
      </c>
      <c r="G31" s="7" t="s">
        <v>73</v>
      </c>
      <c r="H31" s="6">
        <v>3</v>
      </c>
      <c r="I31" s="6">
        <v>2</v>
      </c>
      <c r="J31" s="7" t="b">
        <v>1</v>
      </c>
      <c r="K31" s="6">
        <v>528</v>
      </c>
      <c r="L31" s="6">
        <v>184</v>
      </c>
      <c r="M31" s="7" t="s">
        <v>49</v>
      </c>
      <c r="N31" s="7" t="s">
        <v>75</v>
      </c>
      <c r="O31" s="7" t="s">
        <v>57</v>
      </c>
      <c r="P31" s="6">
        <v>58</v>
      </c>
      <c r="Q31" s="11">
        <v>3.7</v>
      </c>
      <c r="R31" s="7" t="b">
        <v>1</v>
      </c>
      <c r="S31" s="7" t="s">
        <v>30</v>
      </c>
      <c r="T31" s="6">
        <v>3966</v>
      </c>
      <c r="U31" s="7" t="s">
        <v>38</v>
      </c>
      <c r="V31" s="12" t="s">
        <v>79</v>
      </c>
      <c r="W31" s="7" t="s">
        <v>33</v>
      </c>
      <c r="X31" s="6">
        <f t="shared" si="3"/>
        <v>245</v>
      </c>
      <c r="Y31" t="str" cm="1">
        <f t="array" ref="Y31">_xlfn.IFS(E31=7.99,"BASIC",E31=11.99,"STANDARD",E31=15.99,"PREMIUM")</f>
        <v>STANDARD</v>
      </c>
      <c r="Z31" s="4">
        <f t="shared" si="0"/>
        <v>9.6571428571428566</v>
      </c>
      <c r="AA31" s="3" t="str" cm="1">
        <f t="array" ref="AA31">_xlfn.IFS(
(F31/(X31/7)) &lt; 5, "Casual",
AND((F31/(X31/7)) &gt;= 5, (F31/(X31/7)) &lt; 15), "Regular",
(F31/(X31/7)) &gt;= 15, "Power"
)</f>
        <v>Regular</v>
      </c>
      <c r="AB31" s="3">
        <f t="shared" si="4"/>
        <v>0.4747191011235955</v>
      </c>
      <c r="AC31" t="str">
        <f t="shared" si="2"/>
        <v>Viewers</v>
      </c>
    </row>
    <row r="32" spans="1:29" x14ac:dyDescent="0.3">
      <c r="A32" s="6">
        <v>4815</v>
      </c>
      <c r="B32" s="7" t="s">
        <v>124</v>
      </c>
      <c r="C32" s="10">
        <v>45475</v>
      </c>
      <c r="D32" s="10">
        <v>45616</v>
      </c>
      <c r="E32" s="13">
        <v>7.99</v>
      </c>
      <c r="F32" s="6">
        <v>52</v>
      </c>
      <c r="G32" s="7" t="s">
        <v>51</v>
      </c>
      <c r="H32" s="6">
        <v>5</v>
      </c>
      <c r="I32" s="6">
        <v>5</v>
      </c>
      <c r="J32" s="7" t="b">
        <v>0</v>
      </c>
      <c r="K32" s="6">
        <v>467</v>
      </c>
      <c r="L32" s="6">
        <v>23</v>
      </c>
      <c r="M32" s="7" t="s">
        <v>27</v>
      </c>
      <c r="N32" s="7" t="s">
        <v>28</v>
      </c>
      <c r="O32" s="7" t="s">
        <v>57</v>
      </c>
      <c r="P32" s="6">
        <v>97</v>
      </c>
      <c r="Q32" s="11">
        <v>3.3</v>
      </c>
      <c r="R32" s="7" t="b">
        <v>1</v>
      </c>
      <c r="S32" s="7" t="s">
        <v>30</v>
      </c>
      <c r="T32" s="6">
        <v>4185</v>
      </c>
      <c r="U32" s="7" t="s">
        <v>38</v>
      </c>
      <c r="V32" s="12" t="s">
        <v>79</v>
      </c>
      <c r="W32" s="7" t="s">
        <v>40</v>
      </c>
      <c r="X32" s="6">
        <f t="shared" si="3"/>
        <v>141</v>
      </c>
      <c r="Y32" t="str" cm="1">
        <f t="array" ref="Y32">_xlfn.IFS(E32=7.99,"BASIC",E32=11.99,"STANDARD",E32=15.99,"PREMIUM")</f>
        <v>BASIC</v>
      </c>
      <c r="Z32" s="4">
        <f t="shared" si="0"/>
        <v>2.5815602836879434</v>
      </c>
      <c r="AA32" s="3" t="str" cm="1">
        <f t="array" ref="AA32">_xlfn.IFS(
(F32/(X32/7)) &lt; 5, "Casual",
AND((F32/(X32/7)) &gt;= 5, (F32/(X32/7)) &lt; 15), "Regular",
(F32/(X32/7)) &gt;= 15, "Power"
)</f>
        <v>Casual</v>
      </c>
      <c r="AB32" s="3">
        <f t="shared" si="4"/>
        <v>0.10612244897959183</v>
      </c>
      <c r="AC32" t="str">
        <f t="shared" si="2"/>
        <v xml:space="preserve"> Browsers</v>
      </c>
    </row>
    <row r="33" spans="1:30" x14ac:dyDescent="0.3">
      <c r="A33" s="6">
        <v>9597</v>
      </c>
      <c r="B33" s="7" t="s">
        <v>125</v>
      </c>
      <c r="C33" s="10">
        <f>_xlfn.XLOOKUP(A33,'Data Anomalies -Pls Read It'!A:A,'Data Anomalies -Pls Read It'!D:D,1,0)</f>
        <v>45628</v>
      </c>
      <c r="D33" s="10">
        <f>_xlfn.XLOOKUP(A33,'Data Anomalies -Pls Read It'!A:A,'Data Anomalies -Pls Read It'!C:C,1,0)</f>
        <v>45632</v>
      </c>
      <c r="E33" s="13">
        <v>11.99</v>
      </c>
      <c r="F33" s="6">
        <v>447</v>
      </c>
      <c r="G33" s="7" t="s">
        <v>100</v>
      </c>
      <c r="H33" s="6">
        <v>5</v>
      </c>
      <c r="I33" s="6">
        <v>5</v>
      </c>
      <c r="J33" s="7" t="b">
        <v>0</v>
      </c>
      <c r="K33" s="6">
        <v>73</v>
      </c>
      <c r="L33" s="6">
        <v>138</v>
      </c>
      <c r="M33" s="7" t="s">
        <v>74</v>
      </c>
      <c r="N33" s="7" t="s">
        <v>44</v>
      </c>
      <c r="O33" s="7" t="s">
        <v>29</v>
      </c>
      <c r="P33" s="6">
        <v>84</v>
      </c>
      <c r="Q33" s="11">
        <v>4.0999999999999996</v>
      </c>
      <c r="R33" s="7" t="b">
        <v>0</v>
      </c>
      <c r="S33" s="7" t="s">
        <v>30</v>
      </c>
      <c r="T33" s="6">
        <v>784</v>
      </c>
      <c r="U33" s="7" t="s">
        <v>31</v>
      </c>
      <c r="V33" s="12" t="s">
        <v>39</v>
      </c>
      <c r="W33" s="7" t="s">
        <v>93</v>
      </c>
      <c r="X33" s="6">
        <f t="shared" si="3"/>
        <v>4</v>
      </c>
      <c r="Y33" t="str" cm="1">
        <f t="array" ref="Y33">_xlfn.IFS(E33=7.99,"BASIC",E33=11.99,"STANDARD",E33=15.99,"PREMIUM")</f>
        <v>STANDARD</v>
      </c>
      <c r="Z33" s="4">
        <f t="shared" si="0"/>
        <v>782.25</v>
      </c>
      <c r="AA33" s="3" t="str" cm="1">
        <f t="array" ref="AA33">_xlfn.IFS(
(F33/(X33/7)) &lt; 5, "Casual",
AND((F33/(X33/7)) &gt;= 5, (F33/(X33/7)) &lt; 15), "Regular",
(F33/(X33/7)) &gt;= 15, "Power"
)</f>
        <v>Power</v>
      </c>
      <c r="AB33" s="3">
        <f t="shared" si="4"/>
        <v>2.1184834123222749</v>
      </c>
      <c r="AC33" t="str">
        <f t="shared" si="2"/>
        <v>Viewers</v>
      </c>
      <c r="AD33" t="s">
        <v>779</v>
      </c>
    </row>
    <row r="34" spans="1:30" x14ac:dyDescent="0.3">
      <c r="A34" s="6">
        <v>6566</v>
      </c>
      <c r="B34" s="7" t="s">
        <v>126</v>
      </c>
      <c r="C34" s="10">
        <v>45099</v>
      </c>
      <c r="D34" s="10">
        <v>45643</v>
      </c>
      <c r="E34" s="13">
        <v>11.99</v>
      </c>
      <c r="F34" s="6">
        <v>312</v>
      </c>
      <c r="G34" s="7" t="s">
        <v>63</v>
      </c>
      <c r="H34" s="6">
        <v>5</v>
      </c>
      <c r="I34" s="6">
        <v>1</v>
      </c>
      <c r="J34" s="7" t="b">
        <v>1</v>
      </c>
      <c r="K34" s="6">
        <v>895</v>
      </c>
      <c r="L34" s="6">
        <v>154</v>
      </c>
      <c r="M34" s="7" t="s">
        <v>74</v>
      </c>
      <c r="N34" s="7" t="s">
        <v>44</v>
      </c>
      <c r="O34" s="7" t="s">
        <v>57</v>
      </c>
      <c r="P34" s="6">
        <v>85</v>
      </c>
      <c r="Q34" s="11">
        <v>4.7</v>
      </c>
      <c r="R34" s="7" t="b">
        <v>1</v>
      </c>
      <c r="S34" s="7" t="s">
        <v>30</v>
      </c>
      <c r="T34" s="6">
        <v>3428</v>
      </c>
      <c r="U34" s="7" t="s">
        <v>65</v>
      </c>
      <c r="V34" s="12" t="s">
        <v>39</v>
      </c>
      <c r="W34" s="7" t="s">
        <v>40</v>
      </c>
      <c r="X34" s="6">
        <f t="shared" si="3"/>
        <v>544</v>
      </c>
      <c r="Y34" t="str" cm="1">
        <f t="array" ref="Y34">_xlfn.IFS(E34=7.99,"BASIC",E34=11.99,"STANDARD",E34=15.99,"PREMIUM")</f>
        <v>STANDARD</v>
      </c>
      <c r="Z34" s="4">
        <f t="shared" si="0"/>
        <v>4.0147058823529411</v>
      </c>
      <c r="AA34" s="3" t="str" cm="1">
        <f t="array" ref="AA34">_xlfn.IFS(
(F34/(X34/7)) &lt; 5, "Casual",
AND((F34/(X34/7)) &gt;= 5, (F34/(X34/7)) &lt; 15), "Regular",
(F34/(X34/7)) &gt;= 15, "Power"
)</f>
        <v>Casual</v>
      </c>
      <c r="AB34" s="3">
        <f t="shared" si="4"/>
        <v>0.29742612011439468</v>
      </c>
      <c r="AC34" t="str">
        <f t="shared" si="2"/>
        <v>Viewers</v>
      </c>
    </row>
    <row r="35" spans="1:30" x14ac:dyDescent="0.3">
      <c r="A35" s="6">
        <v>1419</v>
      </c>
      <c r="B35" s="7" t="s">
        <v>128</v>
      </c>
      <c r="C35" s="10">
        <v>45110</v>
      </c>
      <c r="D35" s="10">
        <v>45642</v>
      </c>
      <c r="E35" s="13">
        <v>11.99</v>
      </c>
      <c r="F35" s="6">
        <v>406</v>
      </c>
      <c r="G35" s="7" t="s">
        <v>48</v>
      </c>
      <c r="H35" s="6">
        <v>2</v>
      </c>
      <c r="I35" s="6">
        <v>6</v>
      </c>
      <c r="J35" s="7" t="b">
        <v>0</v>
      </c>
      <c r="K35" s="6">
        <v>983</v>
      </c>
      <c r="L35" s="6">
        <v>113</v>
      </c>
      <c r="M35" s="7" t="s">
        <v>55</v>
      </c>
      <c r="N35" s="7" t="s">
        <v>75</v>
      </c>
      <c r="O35" s="7" t="s">
        <v>37</v>
      </c>
      <c r="P35" s="6">
        <v>78</v>
      </c>
      <c r="Q35" s="11">
        <v>3.1</v>
      </c>
      <c r="R35" s="7" t="b">
        <v>0</v>
      </c>
      <c r="S35" s="7" t="s">
        <v>30</v>
      </c>
      <c r="T35" s="6">
        <v>4245</v>
      </c>
      <c r="U35" s="7" t="s">
        <v>31</v>
      </c>
      <c r="V35" s="12" t="s">
        <v>39</v>
      </c>
      <c r="W35" s="7" t="s">
        <v>40</v>
      </c>
      <c r="X35" s="6">
        <f t="shared" si="3"/>
        <v>532</v>
      </c>
      <c r="Y35" t="str" cm="1">
        <f t="array" ref="Y35">_xlfn.IFS(E35=7.99,"BASIC",E35=11.99,"STANDARD",E35=15.99,"PREMIUM")</f>
        <v>STANDARD</v>
      </c>
      <c r="Z35" s="4">
        <f t="shared" si="0"/>
        <v>5.3421052631578947</v>
      </c>
      <c r="AA35" s="3" t="str" cm="1">
        <f t="array" ref="AA35">_xlfn.IFS(
(F35/(X35/7)) &lt; 5, "Casual",
AND((F35/(X35/7)) &gt;= 5, (F35/(X35/7)) &lt; 15), "Regular",
(F35/(X35/7)) &gt;= 15, "Power"
)</f>
        <v>Regular</v>
      </c>
      <c r="AB35" s="3">
        <f t="shared" si="4"/>
        <v>0.37043795620437958</v>
      </c>
      <c r="AC35" t="str">
        <f t="shared" si="2"/>
        <v>Viewers</v>
      </c>
    </row>
    <row r="36" spans="1:30" x14ac:dyDescent="0.3">
      <c r="A36" s="6">
        <v>9470</v>
      </c>
      <c r="B36" s="7" t="s">
        <v>130</v>
      </c>
      <c r="C36" s="10">
        <v>45258</v>
      </c>
      <c r="D36" s="10">
        <v>45641</v>
      </c>
      <c r="E36" s="13">
        <v>7.99</v>
      </c>
      <c r="F36" s="6">
        <v>350</v>
      </c>
      <c r="G36" s="7" t="s">
        <v>63</v>
      </c>
      <c r="H36" s="6">
        <v>3</v>
      </c>
      <c r="I36" s="6">
        <v>6</v>
      </c>
      <c r="J36" s="7" t="b">
        <v>1</v>
      </c>
      <c r="K36" s="6">
        <v>801</v>
      </c>
      <c r="L36" s="6">
        <v>156</v>
      </c>
      <c r="M36" s="7" t="s">
        <v>92</v>
      </c>
      <c r="N36" s="7" t="s">
        <v>56</v>
      </c>
      <c r="O36" s="7" t="s">
        <v>45</v>
      </c>
      <c r="P36" s="6">
        <v>66</v>
      </c>
      <c r="Q36" s="11">
        <v>4.5999999999999996</v>
      </c>
      <c r="R36" s="7" t="b">
        <v>1</v>
      </c>
      <c r="S36" s="7" t="s">
        <v>30</v>
      </c>
      <c r="T36" s="6">
        <v>2580</v>
      </c>
      <c r="U36" s="7" t="s">
        <v>58</v>
      </c>
      <c r="V36" s="12" t="s">
        <v>59</v>
      </c>
      <c r="W36" s="7" t="s">
        <v>33</v>
      </c>
      <c r="X36" s="6">
        <f t="shared" si="3"/>
        <v>383</v>
      </c>
      <c r="Y36" t="str" cm="1">
        <f t="array" ref="Y36">_xlfn.IFS(E36=7.99,"BASIC",E36=11.99,"STANDARD",E36=15.99,"PREMIUM")</f>
        <v>BASIC</v>
      </c>
      <c r="Z36" s="4">
        <f t="shared" si="0"/>
        <v>6.3968668407310707</v>
      </c>
      <c r="AA36" s="3" t="str" cm="1">
        <f t="array" ref="AA36">_xlfn.IFS(
(F36/(X36/7)) &lt; 5, "Casual",
AND((F36/(X36/7)) &gt;= 5, (F36/(X36/7)) &lt; 15), "Regular",
(F36/(X36/7)) &gt;= 15, "Power"
)</f>
        <v>Regular</v>
      </c>
      <c r="AB36" s="3">
        <f t="shared" si="4"/>
        <v>0.36572622779519331</v>
      </c>
      <c r="AC36" t="str">
        <f t="shared" si="2"/>
        <v>Viewers</v>
      </c>
    </row>
    <row r="37" spans="1:30" x14ac:dyDescent="0.3">
      <c r="A37" s="6">
        <v>4989</v>
      </c>
      <c r="B37" s="7" t="s">
        <v>132</v>
      </c>
      <c r="C37" s="10">
        <v>45301</v>
      </c>
      <c r="D37" s="10">
        <v>45636</v>
      </c>
      <c r="E37" s="13">
        <v>7.99</v>
      </c>
      <c r="F37" s="6">
        <v>99</v>
      </c>
      <c r="G37" s="7" t="s">
        <v>73</v>
      </c>
      <c r="H37" s="6">
        <v>2</v>
      </c>
      <c r="I37" s="6">
        <v>5</v>
      </c>
      <c r="J37" s="7" t="b">
        <v>1</v>
      </c>
      <c r="K37" s="6">
        <v>96</v>
      </c>
      <c r="L37" s="6">
        <v>114</v>
      </c>
      <c r="M37" s="7" t="s">
        <v>27</v>
      </c>
      <c r="N37" s="7" t="s">
        <v>28</v>
      </c>
      <c r="O37" s="7" t="s">
        <v>29</v>
      </c>
      <c r="P37" s="6">
        <v>45</v>
      </c>
      <c r="Q37" s="11">
        <v>4.3</v>
      </c>
      <c r="R37" s="7" t="b">
        <v>0</v>
      </c>
      <c r="S37" s="7" t="s">
        <v>30</v>
      </c>
      <c r="T37" s="6">
        <v>2779</v>
      </c>
      <c r="U37" s="7" t="s">
        <v>58</v>
      </c>
      <c r="V37" s="12" t="s">
        <v>79</v>
      </c>
      <c r="W37" s="7" t="s">
        <v>60</v>
      </c>
      <c r="X37" s="6">
        <f t="shared" si="3"/>
        <v>335</v>
      </c>
      <c r="Y37" t="str" cm="1">
        <f t="array" ref="Y37">_xlfn.IFS(E37=7.99,"BASIC",E37=11.99,"STANDARD",E37=15.99,"PREMIUM")</f>
        <v>BASIC</v>
      </c>
      <c r="Z37" s="4">
        <f t="shared" si="0"/>
        <v>2.0686567164179106</v>
      </c>
      <c r="AA37" s="3" t="str" cm="1">
        <f t="array" ref="AA37">_xlfn.IFS(
(F37/(X37/7)) &lt; 5, "Casual",
AND((F37/(X37/7)) &gt;= 5, (F37/(X37/7)) &lt; 15), "Regular",
(F37/(X37/7)) &gt;= 15, "Power"
)</f>
        <v>Casual</v>
      </c>
      <c r="AB37" s="3">
        <f t="shared" si="4"/>
        <v>0.47142857142857142</v>
      </c>
      <c r="AC37" t="str">
        <f t="shared" si="2"/>
        <v>Viewers</v>
      </c>
    </row>
    <row r="38" spans="1:30" x14ac:dyDescent="0.3">
      <c r="A38" s="6">
        <v>9389</v>
      </c>
      <c r="B38" s="7" t="s">
        <v>133</v>
      </c>
      <c r="C38" s="10">
        <v>45568</v>
      </c>
      <c r="D38" s="10">
        <v>45617</v>
      </c>
      <c r="E38" s="13">
        <v>15.99</v>
      </c>
      <c r="F38" s="6">
        <v>53</v>
      </c>
      <c r="G38" s="7" t="s">
        <v>48</v>
      </c>
      <c r="H38" s="6">
        <v>1</v>
      </c>
      <c r="I38" s="6">
        <v>2</v>
      </c>
      <c r="J38" s="7" t="b">
        <v>0</v>
      </c>
      <c r="K38" s="6">
        <v>849</v>
      </c>
      <c r="L38" s="6">
        <v>98</v>
      </c>
      <c r="M38" s="7" t="s">
        <v>55</v>
      </c>
      <c r="N38" s="7" t="s">
        <v>56</v>
      </c>
      <c r="O38" s="7" t="s">
        <v>45</v>
      </c>
      <c r="P38" s="6">
        <v>14</v>
      </c>
      <c r="Q38" s="11">
        <v>3.1</v>
      </c>
      <c r="R38" s="7" t="b">
        <v>0</v>
      </c>
      <c r="S38" s="7" t="s">
        <v>30</v>
      </c>
      <c r="T38" s="6">
        <v>2318</v>
      </c>
      <c r="U38" s="7" t="s">
        <v>31</v>
      </c>
      <c r="V38" s="12" t="s">
        <v>32</v>
      </c>
      <c r="W38" s="7" t="s">
        <v>40</v>
      </c>
      <c r="X38" s="6">
        <f t="shared" si="3"/>
        <v>49</v>
      </c>
      <c r="Y38" t="str" cm="1">
        <f t="array" ref="Y38">_xlfn.IFS(E38=7.99,"BASIC",E38=11.99,"STANDARD",E38=15.99,"PREMIUM")</f>
        <v>PREMIUM</v>
      </c>
      <c r="Z38" s="4">
        <f t="shared" si="0"/>
        <v>7.5714285714285712</v>
      </c>
      <c r="AA38" s="3" t="str" cm="1">
        <f t="array" ref="AA38">_xlfn.IFS(
(F38/(X38/7)) &lt; 5, "Casual",
AND((F38/(X38/7)) &gt;= 5, (F38/(X38/7)) &lt; 15), "Regular",
(F38/(X38/7)) &gt;= 15, "Power"
)</f>
        <v>Regular</v>
      </c>
      <c r="AB38" s="3">
        <f t="shared" si="4"/>
        <v>5.59662090813094E-2</v>
      </c>
      <c r="AC38" t="str">
        <f t="shared" si="2"/>
        <v xml:space="preserve"> Browsers</v>
      </c>
    </row>
    <row r="39" spans="1:30" x14ac:dyDescent="0.3">
      <c r="A39" s="6">
        <v>7728</v>
      </c>
      <c r="B39" s="7" t="s">
        <v>135</v>
      </c>
      <c r="C39" s="10">
        <v>45184</v>
      </c>
      <c r="D39" s="10">
        <v>45639</v>
      </c>
      <c r="E39" s="13">
        <v>11.99</v>
      </c>
      <c r="F39" s="6">
        <v>484</v>
      </c>
      <c r="G39" s="7" t="s">
        <v>100</v>
      </c>
      <c r="H39" s="6">
        <v>3</v>
      </c>
      <c r="I39" s="6">
        <v>6</v>
      </c>
      <c r="J39" s="7" t="b">
        <v>0</v>
      </c>
      <c r="K39" s="6">
        <v>515</v>
      </c>
      <c r="L39" s="6">
        <v>174</v>
      </c>
      <c r="M39" s="7" t="s">
        <v>49</v>
      </c>
      <c r="N39" s="7" t="s">
        <v>28</v>
      </c>
      <c r="O39" s="7" t="s">
        <v>37</v>
      </c>
      <c r="P39" s="6">
        <v>12</v>
      </c>
      <c r="Q39" s="11">
        <v>4</v>
      </c>
      <c r="R39" s="7" t="b">
        <v>1</v>
      </c>
      <c r="S39" s="7" t="s">
        <v>30</v>
      </c>
      <c r="T39" s="6">
        <v>827</v>
      </c>
      <c r="U39" s="7" t="s">
        <v>31</v>
      </c>
      <c r="V39" s="12" t="s">
        <v>39</v>
      </c>
      <c r="W39" s="7" t="s">
        <v>60</v>
      </c>
      <c r="X39" s="6">
        <f t="shared" si="3"/>
        <v>455</v>
      </c>
      <c r="Y39" t="str" cm="1">
        <f t="array" ref="Y39">_xlfn.IFS(E39=7.99,"BASIC",E39=11.99,"STANDARD",E39=15.99,"PREMIUM")</f>
        <v>STANDARD</v>
      </c>
      <c r="Z39" s="4">
        <f t="shared" si="0"/>
        <v>7.4461538461538463</v>
      </c>
      <c r="AA39" s="3" t="str" cm="1">
        <f t="array" ref="AA39">_xlfn.IFS(
(F39/(X39/7)) &lt; 5, "Casual",
AND((F39/(X39/7)) &gt;= 5, (F39/(X39/7)) &lt; 15), "Regular",
(F39/(X39/7)) &gt;= 15, "Power"
)</f>
        <v>Regular</v>
      </c>
      <c r="AB39" s="3">
        <f t="shared" si="4"/>
        <v>0.7024673439767779</v>
      </c>
      <c r="AC39" t="str">
        <f t="shared" si="2"/>
        <v>Viewers</v>
      </c>
    </row>
    <row r="40" spans="1:30" x14ac:dyDescent="0.3">
      <c r="A40" s="6">
        <v>7943</v>
      </c>
      <c r="B40" s="7" t="s">
        <v>137</v>
      </c>
      <c r="C40" s="10">
        <v>45566</v>
      </c>
      <c r="D40" s="10">
        <v>45627</v>
      </c>
      <c r="E40" s="13">
        <v>15.99</v>
      </c>
      <c r="F40" s="6">
        <v>211</v>
      </c>
      <c r="G40" s="7" t="s">
        <v>51</v>
      </c>
      <c r="H40" s="6">
        <v>2</v>
      </c>
      <c r="I40" s="6">
        <v>6</v>
      </c>
      <c r="J40" s="7" t="b">
        <v>1</v>
      </c>
      <c r="K40" s="6">
        <v>657</v>
      </c>
      <c r="L40" s="6">
        <v>137</v>
      </c>
      <c r="M40" s="7" t="s">
        <v>68</v>
      </c>
      <c r="N40" s="7" t="s">
        <v>56</v>
      </c>
      <c r="O40" s="7" t="s">
        <v>29</v>
      </c>
      <c r="P40" s="6">
        <v>26</v>
      </c>
      <c r="Q40" s="11">
        <v>4</v>
      </c>
      <c r="R40" s="7" t="b">
        <v>1</v>
      </c>
      <c r="S40" s="7" t="s">
        <v>30</v>
      </c>
      <c r="T40" s="6">
        <v>2670</v>
      </c>
      <c r="U40" s="7" t="s">
        <v>38</v>
      </c>
      <c r="V40" s="12" t="s">
        <v>59</v>
      </c>
      <c r="W40" s="7" t="s">
        <v>33</v>
      </c>
      <c r="X40" s="6">
        <f t="shared" si="3"/>
        <v>61</v>
      </c>
      <c r="Y40" t="str" cm="1">
        <f t="array" ref="Y40">_xlfn.IFS(E40=7.99,"BASIC",E40=11.99,"STANDARD",E40=15.99,"PREMIUM")</f>
        <v>PREMIUM</v>
      </c>
      <c r="Z40" s="4">
        <f t="shared" si="0"/>
        <v>24.213114754098363</v>
      </c>
      <c r="AA40" s="3" t="str" cm="1">
        <f t="array" ref="AA40">_xlfn.IFS(
(F40/(X40/7)) &lt; 5, "Casual",
AND((F40/(X40/7)) &gt;= 5, (F40/(X40/7)) &lt; 15), "Regular",
(F40/(X40/7)) &gt;= 15, "Power"
)</f>
        <v>Power</v>
      </c>
      <c r="AB40" s="3">
        <f t="shared" si="4"/>
        <v>0.26574307304785894</v>
      </c>
      <c r="AC40" t="str">
        <f t="shared" si="2"/>
        <v>Viewers</v>
      </c>
    </row>
    <row r="41" spans="1:30" x14ac:dyDescent="0.3">
      <c r="A41" s="6">
        <v>2490</v>
      </c>
      <c r="B41" s="7" t="s">
        <v>138</v>
      </c>
      <c r="C41" s="10">
        <v>45156</v>
      </c>
      <c r="D41" s="10">
        <v>45615</v>
      </c>
      <c r="E41" s="13">
        <v>11.99</v>
      </c>
      <c r="F41" s="6">
        <v>248</v>
      </c>
      <c r="G41" s="7" t="s">
        <v>48</v>
      </c>
      <c r="H41" s="6">
        <v>4</v>
      </c>
      <c r="I41" s="6">
        <v>1</v>
      </c>
      <c r="J41" s="7" t="b">
        <v>1</v>
      </c>
      <c r="K41" s="6">
        <v>426</v>
      </c>
      <c r="L41" s="6">
        <v>21</v>
      </c>
      <c r="M41" s="7" t="s">
        <v>55</v>
      </c>
      <c r="N41" s="7" t="s">
        <v>44</v>
      </c>
      <c r="O41" s="7" t="s">
        <v>57</v>
      </c>
      <c r="P41" s="6">
        <v>99</v>
      </c>
      <c r="Q41" s="11">
        <v>4.8</v>
      </c>
      <c r="R41" s="7" t="b">
        <v>0</v>
      </c>
      <c r="S41" s="7" t="s">
        <v>30</v>
      </c>
      <c r="T41" s="6">
        <v>2409</v>
      </c>
      <c r="U41" s="7" t="s">
        <v>31</v>
      </c>
      <c r="V41" s="12" t="s">
        <v>32</v>
      </c>
      <c r="W41" s="7" t="s">
        <v>33</v>
      </c>
      <c r="X41" s="6">
        <f t="shared" si="3"/>
        <v>459</v>
      </c>
      <c r="Y41" t="str" cm="1">
        <f t="array" ref="Y41">_xlfn.IFS(E41=7.99,"BASIC",E41=11.99,"STANDARD",E41=15.99,"PREMIUM")</f>
        <v>STANDARD</v>
      </c>
      <c r="Z41" s="4">
        <f t="shared" si="0"/>
        <v>3.7821350762527235</v>
      </c>
      <c r="AA41" s="3" t="str" cm="1">
        <f t="array" ref="AA41">_xlfn.IFS(
(F41/(X41/7)) &lt; 5, "Casual",
AND((F41/(X41/7)) &gt;= 5, (F41/(X41/7)) &lt; 15), "Regular",
(F41/(X41/7)) &gt;= 15, "Power"
)</f>
        <v>Casual</v>
      </c>
      <c r="AB41" s="3">
        <f t="shared" si="4"/>
        <v>0.55480984340044748</v>
      </c>
      <c r="AC41" t="str">
        <f t="shared" si="2"/>
        <v>Viewers</v>
      </c>
    </row>
    <row r="42" spans="1:30" x14ac:dyDescent="0.3">
      <c r="A42" s="6">
        <v>5042</v>
      </c>
      <c r="B42" s="7" t="s">
        <v>140</v>
      </c>
      <c r="C42" s="10">
        <v>45338</v>
      </c>
      <c r="D42" s="10">
        <v>45619</v>
      </c>
      <c r="E42" s="13">
        <v>15.99</v>
      </c>
      <c r="F42" s="6">
        <v>197</v>
      </c>
      <c r="G42" s="7" t="s">
        <v>100</v>
      </c>
      <c r="H42" s="6">
        <v>4</v>
      </c>
      <c r="I42" s="6">
        <v>2</v>
      </c>
      <c r="J42" s="7" t="b">
        <v>0</v>
      </c>
      <c r="K42" s="6">
        <v>309</v>
      </c>
      <c r="L42" s="6">
        <v>178</v>
      </c>
      <c r="M42" s="7" t="s">
        <v>68</v>
      </c>
      <c r="N42" s="7" t="s">
        <v>75</v>
      </c>
      <c r="O42" s="7" t="s">
        <v>45</v>
      </c>
      <c r="P42" s="6">
        <v>7</v>
      </c>
      <c r="Q42" s="11">
        <v>4.3</v>
      </c>
      <c r="R42" s="7" t="b">
        <v>0</v>
      </c>
      <c r="S42" s="7" t="s">
        <v>30</v>
      </c>
      <c r="T42" s="6">
        <v>1577</v>
      </c>
      <c r="U42" s="7" t="s">
        <v>58</v>
      </c>
      <c r="V42" s="12" t="s">
        <v>32</v>
      </c>
      <c r="W42" s="7" t="s">
        <v>40</v>
      </c>
      <c r="X42" s="6">
        <f t="shared" si="3"/>
        <v>281</v>
      </c>
      <c r="Y42" t="str" cm="1">
        <f t="array" ref="Y42">_xlfn.IFS(E42=7.99,"BASIC",E42=11.99,"STANDARD",E42=15.99,"PREMIUM")</f>
        <v>PREMIUM</v>
      </c>
      <c r="Z42" s="4">
        <f t="shared" si="0"/>
        <v>4.9074733096085401</v>
      </c>
      <c r="AA42" s="3" t="str" cm="1">
        <f t="array" ref="AA42">_xlfn.IFS(
(F42/(X42/7)) &lt; 5, "Casual",
AND((F42/(X42/7)) &gt;= 5, (F42/(X42/7)) &lt; 15), "Regular",
(F42/(X42/7)) &gt;= 15, "Power"
)</f>
        <v>Casual</v>
      </c>
      <c r="AB42" s="3">
        <f t="shared" si="4"/>
        <v>0.40451745379876797</v>
      </c>
      <c r="AC42" t="str">
        <f t="shared" si="2"/>
        <v>Viewers</v>
      </c>
    </row>
    <row r="43" spans="1:30" x14ac:dyDescent="0.3">
      <c r="A43" s="6">
        <v>3620</v>
      </c>
      <c r="B43" s="7" t="s">
        <v>142</v>
      </c>
      <c r="C43" s="10">
        <v>45511</v>
      </c>
      <c r="D43" s="10">
        <v>45633</v>
      </c>
      <c r="E43" s="13">
        <v>15.99</v>
      </c>
      <c r="F43" s="6">
        <v>253</v>
      </c>
      <c r="G43" s="7" t="s">
        <v>73</v>
      </c>
      <c r="H43" s="6">
        <v>5</v>
      </c>
      <c r="I43" s="6">
        <v>5</v>
      </c>
      <c r="J43" s="7" t="b">
        <v>1</v>
      </c>
      <c r="K43" s="6">
        <v>141</v>
      </c>
      <c r="L43" s="6">
        <v>199</v>
      </c>
      <c r="M43" s="7" t="s">
        <v>27</v>
      </c>
      <c r="N43" s="7" t="s">
        <v>44</v>
      </c>
      <c r="O43" s="7" t="s">
        <v>78</v>
      </c>
      <c r="P43" s="6">
        <v>72</v>
      </c>
      <c r="Q43" s="11">
        <v>3.1</v>
      </c>
      <c r="R43" s="7" t="b">
        <v>0</v>
      </c>
      <c r="S43" s="7" t="s">
        <v>30</v>
      </c>
      <c r="T43" s="6">
        <v>4072</v>
      </c>
      <c r="U43" s="7" t="s">
        <v>65</v>
      </c>
      <c r="V43" s="12" t="s">
        <v>69</v>
      </c>
      <c r="W43" s="7" t="s">
        <v>93</v>
      </c>
      <c r="X43" s="6">
        <f t="shared" si="3"/>
        <v>122</v>
      </c>
      <c r="Y43" t="str" cm="1">
        <f t="array" ref="Y43">_xlfn.IFS(E43=7.99,"BASIC",E43=11.99,"STANDARD",E43=15.99,"PREMIUM")</f>
        <v>PREMIUM</v>
      </c>
      <c r="Z43" s="4">
        <f t="shared" si="0"/>
        <v>14.516393442622952</v>
      </c>
      <c r="AA43" s="3" t="str" cm="1">
        <f t="array" ref="AA43">_xlfn.IFS(
(F43/(X43/7)) &lt; 5, "Casual",
AND((F43/(X43/7)) &gt;= 5, (F43/(X43/7)) &lt; 15), "Regular",
(F43/(X43/7)) &gt;= 15, "Power"
)</f>
        <v>Regular</v>
      </c>
      <c r="AB43" s="3">
        <f t="shared" si="4"/>
        <v>0.74411764705882355</v>
      </c>
      <c r="AC43" t="str">
        <f t="shared" si="2"/>
        <v>Viewers</v>
      </c>
    </row>
    <row r="44" spans="1:30" x14ac:dyDescent="0.3">
      <c r="A44" s="6">
        <v>8976</v>
      </c>
      <c r="B44" s="7" t="s">
        <v>143</v>
      </c>
      <c r="C44" s="10">
        <v>45552</v>
      </c>
      <c r="D44" s="10">
        <v>45638</v>
      </c>
      <c r="E44" s="13">
        <v>7.99</v>
      </c>
      <c r="F44" s="6">
        <v>352</v>
      </c>
      <c r="G44" s="7" t="s">
        <v>100</v>
      </c>
      <c r="H44" s="6">
        <v>4</v>
      </c>
      <c r="I44" s="6">
        <v>3</v>
      </c>
      <c r="J44" s="7" t="b">
        <v>1</v>
      </c>
      <c r="K44" s="6">
        <v>112</v>
      </c>
      <c r="L44" s="6">
        <v>106</v>
      </c>
      <c r="M44" s="7" t="s">
        <v>92</v>
      </c>
      <c r="N44" s="7" t="s">
        <v>56</v>
      </c>
      <c r="O44" s="7" t="s">
        <v>78</v>
      </c>
      <c r="P44" s="6">
        <v>33</v>
      </c>
      <c r="Q44" s="11">
        <v>4.5999999999999996</v>
      </c>
      <c r="R44" s="7" t="b">
        <v>1</v>
      </c>
      <c r="S44" s="7" t="s">
        <v>30</v>
      </c>
      <c r="T44" s="6">
        <v>3432</v>
      </c>
      <c r="U44" s="7" t="s">
        <v>76</v>
      </c>
      <c r="V44" s="12" t="s">
        <v>69</v>
      </c>
      <c r="W44" s="7" t="s">
        <v>93</v>
      </c>
      <c r="X44" s="6">
        <f t="shared" si="3"/>
        <v>86</v>
      </c>
      <c r="Y44" t="str" cm="1">
        <f t="array" ref="Y44">_xlfn.IFS(E44=7.99,"BASIC",E44=11.99,"STANDARD",E44=15.99,"PREMIUM")</f>
        <v>BASIC</v>
      </c>
      <c r="Z44" s="4">
        <f t="shared" si="0"/>
        <v>28.651162790697672</v>
      </c>
      <c r="AA44" s="3" t="str" cm="1">
        <f t="array" ref="AA44">_xlfn.IFS(
(F44/(X44/7)) &lt; 5, "Casual",
AND((F44/(X44/7)) &gt;= 5, (F44/(X44/7)) &lt; 15), "Regular",
(F44/(X44/7)) &gt;= 15, "Power"
)</f>
        <v>Power</v>
      </c>
      <c r="AB44" s="3">
        <f t="shared" si="4"/>
        <v>1.6146788990825689</v>
      </c>
      <c r="AC44" t="str">
        <f t="shared" si="2"/>
        <v>Viewers</v>
      </c>
    </row>
    <row r="45" spans="1:30" x14ac:dyDescent="0.3">
      <c r="A45" s="6">
        <v>1570</v>
      </c>
      <c r="B45" s="7" t="s">
        <v>138</v>
      </c>
      <c r="C45" s="10">
        <v>45125</v>
      </c>
      <c r="D45" s="10">
        <v>45618</v>
      </c>
      <c r="E45" s="13">
        <v>11.99</v>
      </c>
      <c r="F45" s="6">
        <v>97</v>
      </c>
      <c r="G45" s="7" t="s">
        <v>100</v>
      </c>
      <c r="H45" s="6">
        <v>1</v>
      </c>
      <c r="I45" s="6">
        <v>2</v>
      </c>
      <c r="J45" s="7" t="b">
        <v>0</v>
      </c>
      <c r="K45" s="6">
        <v>836</v>
      </c>
      <c r="L45" s="6">
        <v>122</v>
      </c>
      <c r="M45" s="7" t="s">
        <v>49</v>
      </c>
      <c r="N45" s="7" t="s">
        <v>44</v>
      </c>
      <c r="O45" s="7" t="s">
        <v>57</v>
      </c>
      <c r="P45" s="6">
        <v>65</v>
      </c>
      <c r="Q45" s="11">
        <v>4.3</v>
      </c>
      <c r="R45" s="7" t="b">
        <v>1</v>
      </c>
      <c r="S45" s="7" t="s">
        <v>30</v>
      </c>
      <c r="T45" s="6">
        <v>4511</v>
      </c>
      <c r="U45" s="7" t="s">
        <v>31</v>
      </c>
      <c r="V45" s="12" t="s">
        <v>59</v>
      </c>
      <c r="W45" s="7" t="s">
        <v>60</v>
      </c>
      <c r="X45" s="6">
        <f t="shared" si="3"/>
        <v>493</v>
      </c>
      <c r="Y45" t="str" cm="1">
        <f t="array" ref="Y45">_xlfn.IFS(E45=7.99,"BASIC",E45=11.99,"STANDARD",E45=15.99,"PREMIUM")</f>
        <v>STANDARD</v>
      </c>
      <c r="Z45" s="4">
        <f t="shared" si="0"/>
        <v>1.3772819472616633</v>
      </c>
      <c r="AA45" s="3" t="str" cm="1">
        <f t="array" ref="AA45">_xlfn.IFS(
(F45/(X45/7)) &lt; 5, "Casual",
AND((F45/(X45/7)) &gt;= 5, (F45/(X45/7)) &lt; 15), "Regular",
(F45/(X45/7)) &gt;= 15, "Power"
)</f>
        <v>Casual</v>
      </c>
      <c r="AB45" s="3">
        <f t="shared" si="4"/>
        <v>0.10125260960334029</v>
      </c>
      <c r="AC45" t="str">
        <f t="shared" si="2"/>
        <v xml:space="preserve"> Browsers</v>
      </c>
    </row>
    <row r="46" spans="1:30" x14ac:dyDescent="0.3">
      <c r="A46" s="6">
        <v>7709</v>
      </c>
      <c r="B46" s="7" t="s">
        <v>146</v>
      </c>
      <c r="C46" s="10">
        <v>45020</v>
      </c>
      <c r="D46" s="10">
        <v>45627</v>
      </c>
      <c r="E46" s="13">
        <v>11.99</v>
      </c>
      <c r="F46" s="6">
        <v>283</v>
      </c>
      <c r="G46" s="7" t="s">
        <v>48</v>
      </c>
      <c r="H46" s="6">
        <v>5</v>
      </c>
      <c r="I46" s="6">
        <v>2</v>
      </c>
      <c r="J46" s="7" t="b">
        <v>0</v>
      </c>
      <c r="K46" s="6">
        <v>785</v>
      </c>
      <c r="L46" s="6">
        <v>1</v>
      </c>
      <c r="M46" s="7" t="s">
        <v>68</v>
      </c>
      <c r="N46" s="7" t="s">
        <v>44</v>
      </c>
      <c r="O46" s="7" t="s">
        <v>37</v>
      </c>
      <c r="P46" s="6">
        <v>79</v>
      </c>
      <c r="Q46" s="11">
        <v>3.4</v>
      </c>
      <c r="R46" s="7" t="b">
        <v>1</v>
      </c>
      <c r="S46" s="7" t="s">
        <v>30</v>
      </c>
      <c r="T46" s="6">
        <v>583</v>
      </c>
      <c r="U46" s="7" t="s">
        <v>76</v>
      </c>
      <c r="V46" s="12" t="s">
        <v>39</v>
      </c>
      <c r="W46" s="7" t="s">
        <v>40</v>
      </c>
      <c r="X46" s="6">
        <f t="shared" si="3"/>
        <v>607</v>
      </c>
      <c r="Y46" t="str" cm="1">
        <f t="array" ref="Y46">_xlfn.IFS(E46=7.99,"BASIC",E46=11.99,"STANDARD",E46=15.99,"PREMIUM")</f>
        <v>STANDARD</v>
      </c>
      <c r="Z46" s="4">
        <f t="shared" si="0"/>
        <v>3.2635914332784188</v>
      </c>
      <c r="AA46" s="3" t="str" cm="1">
        <f t="array" ref="AA46">_xlfn.IFS(
(F46/(X46/7)) &lt; 5, "Casual",
AND((F46/(X46/7)) &gt;= 5, (F46/(X46/7)) &lt; 15), "Regular",
(F46/(X46/7)) &gt;= 15, "Power"
)</f>
        <v>Casual</v>
      </c>
      <c r="AB46" s="3">
        <f t="shared" si="4"/>
        <v>0.36005089058524176</v>
      </c>
      <c r="AC46" t="str">
        <f t="shared" si="2"/>
        <v>Viewers</v>
      </c>
    </row>
    <row r="47" spans="1:30" x14ac:dyDescent="0.3">
      <c r="A47" s="6">
        <v>9503</v>
      </c>
      <c r="B47" s="7" t="s">
        <v>147</v>
      </c>
      <c r="C47" s="10">
        <v>45393</v>
      </c>
      <c r="D47" s="10">
        <v>45631</v>
      </c>
      <c r="E47" s="13">
        <v>11.99</v>
      </c>
      <c r="F47" s="6">
        <v>307</v>
      </c>
      <c r="G47" s="7" t="s">
        <v>51</v>
      </c>
      <c r="H47" s="6">
        <v>5</v>
      </c>
      <c r="I47" s="6">
        <v>6</v>
      </c>
      <c r="J47" s="7" t="b">
        <v>0</v>
      </c>
      <c r="K47" s="6">
        <v>857</v>
      </c>
      <c r="L47" s="6">
        <v>9</v>
      </c>
      <c r="M47" s="7" t="s">
        <v>92</v>
      </c>
      <c r="N47" s="7" t="s">
        <v>75</v>
      </c>
      <c r="O47" s="7" t="s">
        <v>29</v>
      </c>
      <c r="P47" s="6">
        <v>55</v>
      </c>
      <c r="Q47" s="11">
        <v>3.2</v>
      </c>
      <c r="R47" s="7" t="b">
        <v>1</v>
      </c>
      <c r="S47" s="7" t="s">
        <v>30</v>
      </c>
      <c r="T47" s="6">
        <v>3626</v>
      </c>
      <c r="U47" s="7" t="s">
        <v>65</v>
      </c>
      <c r="V47" s="12" t="s">
        <v>32</v>
      </c>
      <c r="W47" s="7" t="s">
        <v>33</v>
      </c>
      <c r="X47" s="6">
        <f t="shared" si="3"/>
        <v>238</v>
      </c>
      <c r="Y47" t="str" cm="1">
        <f t="array" ref="Y47">_xlfn.IFS(E47=7.99,"BASIC",E47=11.99,"STANDARD",E47=15.99,"PREMIUM")</f>
        <v>STANDARD</v>
      </c>
      <c r="Z47" s="4">
        <f t="shared" si="0"/>
        <v>9.0294117647058822</v>
      </c>
      <c r="AA47" s="3" t="str" cm="1">
        <f t="array" ref="AA47">_xlfn.IFS(
(F47/(X47/7)) &lt; 5, "Casual",
AND((F47/(X47/7)) &gt;= 5, (F47/(X47/7)) &lt; 15), "Regular",
(F47/(X47/7)) &gt;= 15, "Power"
)</f>
        <v>Regular</v>
      </c>
      <c r="AB47" s="3">
        <f t="shared" si="4"/>
        <v>0.35450346420323325</v>
      </c>
      <c r="AC47" t="str">
        <f t="shared" si="2"/>
        <v>Viewers</v>
      </c>
    </row>
    <row r="48" spans="1:30" x14ac:dyDescent="0.3">
      <c r="A48" s="6">
        <v>9564</v>
      </c>
      <c r="B48" s="7" t="s">
        <v>148</v>
      </c>
      <c r="C48" s="10">
        <v>45042</v>
      </c>
      <c r="D48" s="10">
        <v>45630</v>
      </c>
      <c r="E48" s="13">
        <v>15.99</v>
      </c>
      <c r="F48" s="6">
        <v>203</v>
      </c>
      <c r="G48" s="7" t="s">
        <v>73</v>
      </c>
      <c r="H48" s="6">
        <v>5</v>
      </c>
      <c r="I48" s="6">
        <v>1</v>
      </c>
      <c r="J48" s="7" t="b">
        <v>0</v>
      </c>
      <c r="K48" s="6">
        <v>347</v>
      </c>
      <c r="L48" s="6">
        <v>18</v>
      </c>
      <c r="M48" s="7" t="s">
        <v>68</v>
      </c>
      <c r="N48" s="7" t="s">
        <v>75</v>
      </c>
      <c r="O48" s="7" t="s">
        <v>57</v>
      </c>
      <c r="P48" s="6">
        <v>8</v>
      </c>
      <c r="Q48" s="11">
        <v>4.4000000000000004</v>
      </c>
      <c r="R48" s="7" t="b">
        <v>1</v>
      </c>
      <c r="S48" s="7" t="s">
        <v>30</v>
      </c>
      <c r="T48" s="6">
        <v>476</v>
      </c>
      <c r="U48" s="7" t="s">
        <v>65</v>
      </c>
      <c r="V48" s="12" t="s">
        <v>69</v>
      </c>
      <c r="W48" s="7" t="s">
        <v>93</v>
      </c>
      <c r="X48" s="6">
        <f t="shared" si="3"/>
        <v>588</v>
      </c>
      <c r="Y48" t="str" cm="1">
        <f t="array" ref="Y48">_xlfn.IFS(E48=7.99,"BASIC",E48=11.99,"STANDARD",E48=15.99,"PREMIUM")</f>
        <v>PREMIUM</v>
      </c>
      <c r="Z48" s="4">
        <f t="shared" si="0"/>
        <v>2.4166666666666665</v>
      </c>
      <c r="AA48" s="3" t="str" cm="1">
        <f t="array" ref="AA48">_xlfn.IFS(
(F48/(X48/7)) &lt; 5, "Casual",
AND((F48/(X48/7)) &gt;= 5, (F48/(X48/7)) &lt; 15), "Regular",
(F48/(X48/7)) &gt;= 15, "Power"
)</f>
        <v>Casual</v>
      </c>
      <c r="AB48" s="3">
        <f t="shared" si="4"/>
        <v>0.55616438356164388</v>
      </c>
      <c r="AC48" t="str">
        <f t="shared" si="2"/>
        <v>Viewers</v>
      </c>
    </row>
    <row r="49" spans="1:29" x14ac:dyDescent="0.3">
      <c r="A49" s="6">
        <v>8934</v>
      </c>
      <c r="B49" s="7" t="s">
        <v>150</v>
      </c>
      <c r="C49" s="10">
        <v>45010</v>
      </c>
      <c r="D49" s="10">
        <v>45631</v>
      </c>
      <c r="E49" s="13">
        <v>7.99</v>
      </c>
      <c r="F49" s="6">
        <v>22</v>
      </c>
      <c r="G49" s="7" t="s">
        <v>36</v>
      </c>
      <c r="H49" s="6">
        <v>4</v>
      </c>
      <c r="I49" s="6">
        <v>3</v>
      </c>
      <c r="J49" s="7" t="b">
        <v>0</v>
      </c>
      <c r="K49" s="6">
        <v>707</v>
      </c>
      <c r="L49" s="6">
        <v>156</v>
      </c>
      <c r="M49" s="7" t="s">
        <v>43</v>
      </c>
      <c r="N49" s="7" t="s">
        <v>75</v>
      </c>
      <c r="O49" s="7" t="s">
        <v>57</v>
      </c>
      <c r="P49" s="6">
        <v>99</v>
      </c>
      <c r="Q49" s="11">
        <v>3.3</v>
      </c>
      <c r="R49" s="7" t="b">
        <v>0</v>
      </c>
      <c r="S49" s="7" t="s">
        <v>30</v>
      </c>
      <c r="T49" s="6">
        <v>4114</v>
      </c>
      <c r="U49" s="7" t="s">
        <v>38</v>
      </c>
      <c r="V49" s="12" t="s">
        <v>59</v>
      </c>
      <c r="W49" s="7" t="s">
        <v>40</v>
      </c>
      <c r="X49" s="6">
        <f t="shared" si="3"/>
        <v>621</v>
      </c>
      <c r="Y49" t="str" cm="1">
        <f t="array" ref="Y49">_xlfn.IFS(E49=7.99,"BASIC",E49=11.99,"STANDARD",E49=15.99,"PREMIUM")</f>
        <v>BASIC</v>
      </c>
      <c r="Z49" s="4">
        <f t="shared" si="0"/>
        <v>0.24798711755233496</v>
      </c>
      <c r="AA49" s="3" t="str" cm="1">
        <f t="array" ref="AA49">_xlfn.IFS(
(F49/(X49/7)) &lt; 5, "Casual",
AND((F49/(X49/7)) &gt;= 5, (F49/(X49/7)) &lt; 15), "Regular",
(F49/(X49/7)) &gt;= 15, "Power"
)</f>
        <v>Casual</v>
      </c>
      <c r="AB49" s="3">
        <f t="shared" si="4"/>
        <v>2.5492468134414831E-2</v>
      </c>
      <c r="AC49" t="str">
        <f t="shared" si="2"/>
        <v xml:space="preserve"> Browsers</v>
      </c>
    </row>
    <row r="50" spans="1:29" x14ac:dyDescent="0.3">
      <c r="A50" s="6">
        <v>1222</v>
      </c>
      <c r="B50" s="7" t="s">
        <v>152</v>
      </c>
      <c r="C50" s="10">
        <v>45170</v>
      </c>
      <c r="D50" s="10">
        <v>45634</v>
      </c>
      <c r="E50" s="13">
        <v>15.99</v>
      </c>
      <c r="F50" s="6">
        <v>382</v>
      </c>
      <c r="G50" s="7" t="s">
        <v>100</v>
      </c>
      <c r="H50" s="6">
        <v>2</v>
      </c>
      <c r="I50" s="6">
        <v>2</v>
      </c>
      <c r="J50" s="7" t="b">
        <v>0</v>
      </c>
      <c r="K50" s="6">
        <v>49</v>
      </c>
      <c r="L50" s="6">
        <v>45</v>
      </c>
      <c r="M50" s="7" t="s">
        <v>43</v>
      </c>
      <c r="N50" s="7" t="s">
        <v>28</v>
      </c>
      <c r="O50" s="7" t="s">
        <v>29</v>
      </c>
      <c r="P50" s="6">
        <v>63</v>
      </c>
      <c r="Q50" s="11">
        <v>4</v>
      </c>
      <c r="R50" s="7" t="b">
        <v>1</v>
      </c>
      <c r="S50" s="7" t="s">
        <v>30</v>
      </c>
      <c r="T50" s="6">
        <v>1581</v>
      </c>
      <c r="U50" s="7" t="s">
        <v>58</v>
      </c>
      <c r="V50" s="12" t="s">
        <v>32</v>
      </c>
      <c r="W50" s="7" t="s">
        <v>60</v>
      </c>
      <c r="X50" s="6">
        <f t="shared" si="3"/>
        <v>464</v>
      </c>
      <c r="Y50" t="str" cm="1">
        <f t="array" ref="Y50">_xlfn.IFS(E50=7.99,"BASIC",E50=11.99,"STANDARD",E50=15.99,"PREMIUM")</f>
        <v>PREMIUM</v>
      </c>
      <c r="Z50" s="4">
        <f t="shared" si="0"/>
        <v>5.762931034482758</v>
      </c>
      <c r="AA50" s="3" t="str" cm="1">
        <f t="array" ref="AA50">_xlfn.IFS(
(F50/(X50/7)) &lt; 5, "Casual",
AND((F50/(X50/7)) &gt;= 5, (F50/(X50/7)) &lt; 15), "Regular",
(F50/(X50/7)) &gt;= 15, "Power"
)</f>
        <v>Regular</v>
      </c>
      <c r="AB50" s="3">
        <f t="shared" si="4"/>
        <v>4.0638297872340425</v>
      </c>
      <c r="AC50" t="str">
        <f t="shared" si="2"/>
        <v>Viewers</v>
      </c>
    </row>
    <row r="51" spans="1:29" x14ac:dyDescent="0.3">
      <c r="A51" s="6">
        <v>5762</v>
      </c>
      <c r="B51" s="7" t="s">
        <v>153</v>
      </c>
      <c r="C51" s="10">
        <v>45379</v>
      </c>
      <c r="D51" s="10">
        <v>45628</v>
      </c>
      <c r="E51" s="13">
        <v>11.99</v>
      </c>
      <c r="F51" s="6">
        <v>302</v>
      </c>
      <c r="G51" s="7" t="s">
        <v>73</v>
      </c>
      <c r="H51" s="6">
        <v>5</v>
      </c>
      <c r="I51" s="6">
        <v>4</v>
      </c>
      <c r="J51" s="7" t="b">
        <v>0</v>
      </c>
      <c r="K51" s="6">
        <v>801</v>
      </c>
      <c r="L51" s="6">
        <v>141</v>
      </c>
      <c r="M51" s="7" t="s">
        <v>92</v>
      </c>
      <c r="N51" s="7" t="s">
        <v>44</v>
      </c>
      <c r="O51" s="7" t="s">
        <v>45</v>
      </c>
      <c r="P51" s="6">
        <v>62</v>
      </c>
      <c r="Q51" s="11">
        <v>3.5</v>
      </c>
      <c r="R51" s="7" t="b">
        <v>1</v>
      </c>
      <c r="S51" s="7" t="s">
        <v>30</v>
      </c>
      <c r="T51" s="6">
        <v>1293</v>
      </c>
      <c r="U51" s="7" t="s">
        <v>65</v>
      </c>
      <c r="V51" s="12" t="s">
        <v>69</v>
      </c>
      <c r="W51" s="7" t="s">
        <v>60</v>
      </c>
      <c r="X51" s="6">
        <f t="shared" si="3"/>
        <v>249</v>
      </c>
      <c r="Y51" t="str" cm="1">
        <f t="array" ref="Y51">_xlfn.IFS(E51=7.99,"BASIC",E51=11.99,"STANDARD",E51=15.99,"PREMIUM")</f>
        <v>STANDARD</v>
      </c>
      <c r="Z51" s="4">
        <f t="shared" si="0"/>
        <v>8.4899598393574305</v>
      </c>
      <c r="AA51" s="3" t="str" cm="1">
        <f t="array" ref="AA51">_xlfn.IFS(
(F51/(X51/7)) &lt; 5, "Casual",
AND((F51/(X51/7)) &gt;= 5, (F51/(X51/7)) &lt; 15), "Regular",
(F51/(X51/7)) &gt;= 15, "Power"
)</f>
        <v>Regular</v>
      </c>
      <c r="AB51" s="3">
        <f t="shared" si="4"/>
        <v>0.3205944798301486</v>
      </c>
      <c r="AC51" t="str">
        <f t="shared" si="2"/>
        <v>Viewers</v>
      </c>
    </row>
    <row r="52" spans="1:29" x14ac:dyDescent="0.3">
      <c r="A52" s="6">
        <v>4066</v>
      </c>
      <c r="B52" s="7" t="s">
        <v>143</v>
      </c>
      <c r="C52" s="10">
        <v>45011</v>
      </c>
      <c r="D52" s="10">
        <v>45638</v>
      </c>
      <c r="E52" s="13">
        <v>11.99</v>
      </c>
      <c r="F52" s="6">
        <v>76</v>
      </c>
      <c r="G52" s="7" t="s">
        <v>48</v>
      </c>
      <c r="H52" s="6">
        <v>2</v>
      </c>
      <c r="I52" s="6">
        <v>3</v>
      </c>
      <c r="J52" s="7" t="b">
        <v>0</v>
      </c>
      <c r="K52" s="6">
        <v>788</v>
      </c>
      <c r="L52" s="6">
        <v>55</v>
      </c>
      <c r="M52" s="7" t="s">
        <v>49</v>
      </c>
      <c r="N52" s="7" t="s">
        <v>56</v>
      </c>
      <c r="O52" s="7" t="s">
        <v>37</v>
      </c>
      <c r="P52" s="6">
        <v>50</v>
      </c>
      <c r="Q52" s="11">
        <v>4.8</v>
      </c>
      <c r="R52" s="7" t="b">
        <v>1</v>
      </c>
      <c r="S52" s="7" t="s">
        <v>30</v>
      </c>
      <c r="T52" s="6">
        <v>1744</v>
      </c>
      <c r="U52" s="7" t="s">
        <v>65</v>
      </c>
      <c r="V52" s="12" t="s">
        <v>59</v>
      </c>
      <c r="W52" s="7" t="s">
        <v>60</v>
      </c>
      <c r="X52" s="6">
        <f t="shared" si="3"/>
        <v>627</v>
      </c>
      <c r="Y52" t="str" cm="1">
        <f t="array" ref="Y52">_xlfn.IFS(E52=7.99,"BASIC",E52=11.99,"STANDARD",E52=15.99,"PREMIUM")</f>
        <v>STANDARD</v>
      </c>
      <c r="Z52" s="4">
        <f t="shared" si="0"/>
        <v>0.84848484848484851</v>
      </c>
      <c r="AA52" s="3" t="str" cm="1">
        <f t="array" ref="AA52">_xlfn.IFS(
(F52/(X52/7)) &lt; 5, "Casual",
AND((F52/(X52/7)) &gt;= 5, (F52/(X52/7)) &lt; 15), "Regular",
(F52/(X52/7)) &gt;= 15, "Power"
)</f>
        <v>Casual</v>
      </c>
      <c r="AB52" s="3">
        <f t="shared" si="4"/>
        <v>9.0154211150652433E-2</v>
      </c>
      <c r="AC52" t="str">
        <f t="shared" si="2"/>
        <v xml:space="preserve"> Browsers</v>
      </c>
    </row>
    <row r="53" spans="1:29" x14ac:dyDescent="0.3">
      <c r="A53" s="6">
        <v>6469</v>
      </c>
      <c r="B53" s="7" t="s">
        <v>98</v>
      </c>
      <c r="C53" s="10">
        <v>45461</v>
      </c>
      <c r="D53" s="10">
        <v>45620</v>
      </c>
      <c r="E53" s="13">
        <v>11.99</v>
      </c>
      <c r="F53" s="6">
        <v>125</v>
      </c>
      <c r="G53" s="7" t="s">
        <v>51</v>
      </c>
      <c r="H53" s="6">
        <v>3</v>
      </c>
      <c r="I53" s="6">
        <v>6</v>
      </c>
      <c r="J53" s="7" t="b">
        <v>1</v>
      </c>
      <c r="K53" s="6">
        <v>853</v>
      </c>
      <c r="L53" s="6">
        <v>16</v>
      </c>
      <c r="M53" s="7" t="s">
        <v>68</v>
      </c>
      <c r="N53" s="7" t="s">
        <v>28</v>
      </c>
      <c r="O53" s="7" t="s">
        <v>37</v>
      </c>
      <c r="P53" s="6">
        <v>65</v>
      </c>
      <c r="Q53" s="11">
        <v>4.8</v>
      </c>
      <c r="R53" s="7" t="b">
        <v>1</v>
      </c>
      <c r="S53" s="7" t="s">
        <v>30</v>
      </c>
      <c r="T53" s="6">
        <v>448</v>
      </c>
      <c r="U53" s="7" t="s">
        <v>65</v>
      </c>
      <c r="V53" s="12" t="s">
        <v>59</v>
      </c>
      <c r="W53" s="7" t="s">
        <v>33</v>
      </c>
      <c r="X53" s="6">
        <f t="shared" si="3"/>
        <v>159</v>
      </c>
      <c r="Y53" t="str" cm="1">
        <f t="array" ref="Y53">_xlfn.IFS(E53=7.99,"BASIC",E53=11.99,"STANDARD",E53=15.99,"PREMIUM")</f>
        <v>STANDARD</v>
      </c>
      <c r="Z53" s="4">
        <f t="shared" si="0"/>
        <v>5.5031446540880502</v>
      </c>
      <c r="AA53" s="3" t="str" cm="1">
        <f t="array" ref="AA53">_xlfn.IFS(
(F53/(X53/7)) &lt; 5, "Casual",
AND((F53/(X53/7)) &gt;= 5, (F53/(X53/7)) &lt; 15), "Regular",
(F53/(X53/7)) &gt;= 15, "Power"
)</f>
        <v>Regular</v>
      </c>
      <c r="AB53" s="3">
        <f t="shared" si="4"/>
        <v>0.14384349827387802</v>
      </c>
      <c r="AC53" t="str">
        <f t="shared" si="2"/>
        <v xml:space="preserve"> Browsers</v>
      </c>
    </row>
    <row r="54" spans="1:29" x14ac:dyDescent="0.3">
      <c r="A54" s="6">
        <v>1364</v>
      </c>
      <c r="B54" s="7" t="s">
        <v>157</v>
      </c>
      <c r="C54" s="10">
        <v>45134</v>
      </c>
      <c r="D54" s="10">
        <v>45628</v>
      </c>
      <c r="E54" s="13">
        <v>11.99</v>
      </c>
      <c r="F54" s="6">
        <v>113</v>
      </c>
      <c r="G54" s="7" t="s">
        <v>63</v>
      </c>
      <c r="H54" s="6">
        <v>1</v>
      </c>
      <c r="I54" s="6">
        <v>1</v>
      </c>
      <c r="J54" s="7" t="b">
        <v>0</v>
      </c>
      <c r="K54" s="6">
        <v>970</v>
      </c>
      <c r="L54" s="6">
        <v>159</v>
      </c>
      <c r="M54" s="7" t="s">
        <v>49</v>
      </c>
      <c r="N54" s="7" t="s">
        <v>56</v>
      </c>
      <c r="O54" s="7" t="s">
        <v>37</v>
      </c>
      <c r="P54" s="6">
        <v>96</v>
      </c>
      <c r="Q54" s="11">
        <v>4.9000000000000004</v>
      </c>
      <c r="R54" s="7" t="b">
        <v>1</v>
      </c>
      <c r="S54" s="7" t="s">
        <v>30</v>
      </c>
      <c r="T54" s="6">
        <v>3398</v>
      </c>
      <c r="U54" s="7" t="s">
        <v>65</v>
      </c>
      <c r="V54" s="12" t="s">
        <v>32</v>
      </c>
      <c r="W54" s="7" t="s">
        <v>33</v>
      </c>
      <c r="X54" s="6">
        <f t="shared" si="3"/>
        <v>494</v>
      </c>
      <c r="Y54" t="str" cm="1">
        <f t="array" ref="Y54">_xlfn.IFS(E54=7.99,"BASIC",E54=11.99,"STANDARD",E54=15.99,"PREMIUM")</f>
        <v>STANDARD</v>
      </c>
      <c r="Z54" s="4">
        <f t="shared" si="0"/>
        <v>1.6012145748987854</v>
      </c>
      <c r="AA54" s="3" t="str" cm="1">
        <f t="array" ref="AA54">_xlfn.IFS(
(F54/(X54/7)) &lt; 5, "Casual",
AND((F54/(X54/7)) &gt;= 5, (F54/(X54/7)) &lt; 15), "Regular",
(F54/(X54/7)) &gt;= 15, "Power"
)</f>
        <v>Casual</v>
      </c>
      <c r="AB54" s="3">
        <f t="shared" si="4"/>
        <v>0.10008857395925598</v>
      </c>
      <c r="AC54" t="str">
        <f t="shared" si="2"/>
        <v xml:space="preserve"> Browsers</v>
      </c>
    </row>
    <row r="55" spans="1:29" x14ac:dyDescent="0.3">
      <c r="A55" s="6">
        <v>4197</v>
      </c>
      <c r="B55" s="7" t="s">
        <v>143</v>
      </c>
      <c r="C55" s="10">
        <v>45596</v>
      </c>
      <c r="D55" s="10">
        <v>45639</v>
      </c>
      <c r="E55" s="13">
        <v>15.99</v>
      </c>
      <c r="F55" s="6">
        <v>183</v>
      </c>
      <c r="G55" s="7" t="s">
        <v>100</v>
      </c>
      <c r="H55" s="6">
        <v>3</v>
      </c>
      <c r="I55" s="6">
        <v>5</v>
      </c>
      <c r="J55" s="7" t="b">
        <v>0</v>
      </c>
      <c r="K55" s="6">
        <v>490</v>
      </c>
      <c r="L55" s="6">
        <v>127</v>
      </c>
      <c r="M55" s="7" t="s">
        <v>43</v>
      </c>
      <c r="N55" s="7" t="s">
        <v>44</v>
      </c>
      <c r="O55" s="7" t="s">
        <v>29</v>
      </c>
      <c r="P55" s="6">
        <v>40</v>
      </c>
      <c r="Q55" s="11">
        <v>4.5999999999999996</v>
      </c>
      <c r="R55" s="7" t="b">
        <v>1</v>
      </c>
      <c r="S55" s="7" t="s">
        <v>30</v>
      </c>
      <c r="T55" s="6">
        <v>4691</v>
      </c>
      <c r="U55" s="7" t="s">
        <v>38</v>
      </c>
      <c r="V55" s="12" t="s">
        <v>69</v>
      </c>
      <c r="W55" s="7" t="s">
        <v>60</v>
      </c>
      <c r="X55" s="6">
        <f t="shared" si="3"/>
        <v>43</v>
      </c>
      <c r="Y55" t="str" cm="1">
        <f t="array" ref="Y55">_xlfn.IFS(E55=7.99,"BASIC",E55=11.99,"STANDARD",E55=15.99,"PREMIUM")</f>
        <v>PREMIUM</v>
      </c>
      <c r="Z55" s="4">
        <f t="shared" si="0"/>
        <v>29.790697674418603</v>
      </c>
      <c r="AA55" s="3" t="str" cm="1">
        <f t="array" ref="AA55">_xlfn.IFS(
(F55/(X55/7)) &lt; 5, "Casual",
AND((F55/(X55/7)) &gt;= 5, (F55/(X55/7)) &lt; 15), "Regular",
(F55/(X55/7)) &gt;= 15, "Power"
)</f>
        <v>Power</v>
      </c>
      <c r="AB55" s="3">
        <f t="shared" si="4"/>
        <v>0.29659643435980548</v>
      </c>
      <c r="AC55" t="str">
        <f t="shared" si="2"/>
        <v>Viewers</v>
      </c>
    </row>
    <row r="56" spans="1:29" x14ac:dyDescent="0.3">
      <c r="A56" s="6">
        <v>9700</v>
      </c>
      <c r="B56" s="7" t="s">
        <v>160</v>
      </c>
      <c r="C56" s="10">
        <v>44921</v>
      </c>
      <c r="D56" s="10">
        <v>45626</v>
      </c>
      <c r="E56" s="13">
        <v>15.99</v>
      </c>
      <c r="F56" s="6">
        <v>272</v>
      </c>
      <c r="G56" s="7" t="s">
        <v>51</v>
      </c>
      <c r="H56" s="6">
        <v>5</v>
      </c>
      <c r="I56" s="6">
        <v>1</v>
      </c>
      <c r="J56" s="7" t="b">
        <v>0</v>
      </c>
      <c r="K56" s="6">
        <v>201</v>
      </c>
      <c r="L56" s="6">
        <v>122</v>
      </c>
      <c r="M56" s="7" t="s">
        <v>55</v>
      </c>
      <c r="N56" s="7" t="s">
        <v>75</v>
      </c>
      <c r="O56" s="7" t="s">
        <v>64</v>
      </c>
      <c r="P56" s="6">
        <v>94</v>
      </c>
      <c r="Q56" s="11">
        <v>4.5999999999999996</v>
      </c>
      <c r="R56" s="7" t="b">
        <v>1</v>
      </c>
      <c r="S56" s="7" t="s">
        <v>30</v>
      </c>
      <c r="T56" s="6">
        <v>4674</v>
      </c>
      <c r="U56" s="7" t="s">
        <v>65</v>
      </c>
      <c r="V56" s="12" t="s">
        <v>69</v>
      </c>
      <c r="W56" s="7" t="s">
        <v>93</v>
      </c>
      <c r="X56" s="6">
        <f t="shared" si="3"/>
        <v>705</v>
      </c>
      <c r="Y56" t="str" cm="1">
        <f t="array" ref="Y56">_xlfn.IFS(E56=7.99,"BASIC",E56=11.99,"STANDARD",E56=15.99,"PREMIUM")</f>
        <v>PREMIUM</v>
      </c>
      <c r="Z56" s="4">
        <f t="shared" si="0"/>
        <v>2.7007092198581564</v>
      </c>
      <c r="AA56" s="3" t="str" cm="1">
        <f t="array" ref="AA56">_xlfn.IFS(
(F56/(X56/7)) &lt; 5, "Casual",
AND((F56/(X56/7)) &gt;= 5, (F56/(X56/7)) &lt; 15), "Regular",
(F56/(X56/7)) &gt;= 15, "Power"
)</f>
        <v>Casual</v>
      </c>
      <c r="AB56" s="3">
        <f t="shared" si="4"/>
        <v>0.84210526315789469</v>
      </c>
      <c r="AC56" t="str">
        <f t="shared" si="2"/>
        <v>Viewers</v>
      </c>
    </row>
    <row r="57" spans="1:29" x14ac:dyDescent="0.3">
      <c r="A57" s="6">
        <v>5644</v>
      </c>
      <c r="B57" s="7" t="s">
        <v>126</v>
      </c>
      <c r="C57" s="10">
        <v>45388</v>
      </c>
      <c r="D57" s="10">
        <v>45629</v>
      </c>
      <c r="E57" s="13">
        <v>11.99</v>
      </c>
      <c r="F57" s="6">
        <v>19</v>
      </c>
      <c r="G57" s="7" t="s">
        <v>73</v>
      </c>
      <c r="H57" s="6">
        <v>4</v>
      </c>
      <c r="I57" s="6">
        <v>2</v>
      </c>
      <c r="J57" s="7" t="b">
        <v>1</v>
      </c>
      <c r="K57" s="6">
        <v>741</v>
      </c>
      <c r="L57" s="6">
        <v>36</v>
      </c>
      <c r="M57" s="7" t="s">
        <v>92</v>
      </c>
      <c r="N57" s="7" t="s">
        <v>28</v>
      </c>
      <c r="O57" s="7" t="s">
        <v>64</v>
      </c>
      <c r="P57" s="6">
        <v>13</v>
      </c>
      <c r="Q57" s="11">
        <v>4.4000000000000004</v>
      </c>
      <c r="R57" s="7" t="b">
        <v>0</v>
      </c>
      <c r="S57" s="7" t="s">
        <v>30</v>
      </c>
      <c r="T57" s="6">
        <v>3641</v>
      </c>
      <c r="U57" s="7" t="s">
        <v>76</v>
      </c>
      <c r="V57" s="12" t="s">
        <v>59</v>
      </c>
      <c r="W57" s="7" t="s">
        <v>93</v>
      </c>
      <c r="X57" s="6">
        <f t="shared" si="3"/>
        <v>241</v>
      </c>
      <c r="Y57" t="str" cm="1">
        <f t="array" ref="Y57">_xlfn.IFS(E57=7.99,"BASIC",E57=11.99,"STANDARD",E57=15.99,"PREMIUM")</f>
        <v>STANDARD</v>
      </c>
      <c r="Z57" s="4">
        <f t="shared" si="0"/>
        <v>0.55186721991701237</v>
      </c>
      <c r="AA57" s="3" t="str" cm="1">
        <f t="array" ref="AA57">_xlfn.IFS(
(F57/(X57/7)) &lt; 5, "Casual",
AND((F57/(X57/7)) &gt;= 5, (F57/(X57/7)) &lt; 15), "Regular",
(F57/(X57/7)) &gt;= 15, "Power"
)</f>
        <v>Casual</v>
      </c>
      <c r="AB57" s="3">
        <f t="shared" si="4"/>
        <v>2.4453024453024452E-2</v>
      </c>
      <c r="AC57" t="str">
        <f t="shared" si="2"/>
        <v xml:space="preserve"> Browsers</v>
      </c>
    </row>
    <row r="58" spans="1:29" x14ac:dyDescent="0.3">
      <c r="A58" s="6">
        <v>5420</v>
      </c>
      <c r="B58" s="7" t="s">
        <v>162</v>
      </c>
      <c r="C58" s="10">
        <v>44926</v>
      </c>
      <c r="D58" s="10">
        <v>45627</v>
      </c>
      <c r="E58" s="13">
        <v>11.99</v>
      </c>
      <c r="F58" s="6">
        <v>204</v>
      </c>
      <c r="G58" s="7" t="s">
        <v>36</v>
      </c>
      <c r="H58" s="6">
        <v>4</v>
      </c>
      <c r="I58" s="6">
        <v>6</v>
      </c>
      <c r="J58" s="7" t="b">
        <v>0</v>
      </c>
      <c r="K58" s="6">
        <v>928</v>
      </c>
      <c r="L58" s="6">
        <v>30</v>
      </c>
      <c r="M58" s="7" t="s">
        <v>55</v>
      </c>
      <c r="N58" s="7" t="s">
        <v>56</v>
      </c>
      <c r="O58" s="7" t="s">
        <v>45</v>
      </c>
      <c r="P58" s="6">
        <v>58</v>
      </c>
      <c r="Q58" s="11">
        <v>4.4000000000000004</v>
      </c>
      <c r="R58" s="7" t="b">
        <v>0</v>
      </c>
      <c r="S58" s="7" t="s">
        <v>30</v>
      </c>
      <c r="T58" s="6">
        <v>1765</v>
      </c>
      <c r="U58" s="7" t="s">
        <v>31</v>
      </c>
      <c r="V58" s="12" t="s">
        <v>69</v>
      </c>
      <c r="W58" s="7" t="s">
        <v>33</v>
      </c>
      <c r="X58" s="6">
        <f t="shared" si="3"/>
        <v>701</v>
      </c>
      <c r="Y58" t="str" cm="1">
        <f t="array" ref="Y58">_xlfn.IFS(E58=7.99,"BASIC",E58=11.99,"STANDARD",E58=15.99,"PREMIUM")</f>
        <v>STANDARD</v>
      </c>
      <c r="Z58" s="4">
        <f t="shared" si="0"/>
        <v>2.037089871611983</v>
      </c>
      <c r="AA58" s="3" t="str" cm="1">
        <f t="array" ref="AA58">_xlfn.IFS(
(F58/(X58/7)) &lt; 5, "Casual",
AND((F58/(X58/7)) &gt;= 5, (F58/(X58/7)) &lt; 15), "Regular",
(F58/(X58/7)) &gt;= 15, "Power"
)</f>
        <v>Casual</v>
      </c>
      <c r="AB58" s="3">
        <f t="shared" si="4"/>
        <v>0.21294363256784968</v>
      </c>
      <c r="AC58" t="str">
        <f t="shared" si="2"/>
        <v>Viewers</v>
      </c>
    </row>
    <row r="59" spans="1:29" x14ac:dyDescent="0.3">
      <c r="A59" s="6">
        <v>7560</v>
      </c>
      <c r="B59" s="7" t="s">
        <v>164</v>
      </c>
      <c r="C59" s="10">
        <v>44919</v>
      </c>
      <c r="D59" s="10">
        <v>45629</v>
      </c>
      <c r="E59" s="13">
        <v>7.99</v>
      </c>
      <c r="F59" s="6">
        <v>345</v>
      </c>
      <c r="G59" s="7" t="s">
        <v>63</v>
      </c>
      <c r="H59" s="6">
        <v>3</v>
      </c>
      <c r="I59" s="6">
        <v>3</v>
      </c>
      <c r="J59" s="7" t="b">
        <v>0</v>
      </c>
      <c r="K59" s="6">
        <v>80</v>
      </c>
      <c r="L59" s="6">
        <v>100</v>
      </c>
      <c r="M59" s="7" t="s">
        <v>27</v>
      </c>
      <c r="N59" s="7" t="s">
        <v>56</v>
      </c>
      <c r="O59" s="7" t="s">
        <v>29</v>
      </c>
      <c r="P59" s="6">
        <v>40</v>
      </c>
      <c r="Q59" s="11">
        <v>4.9000000000000004</v>
      </c>
      <c r="R59" s="7" t="b">
        <v>1</v>
      </c>
      <c r="S59" s="7" t="s">
        <v>30</v>
      </c>
      <c r="T59" s="6">
        <v>3462</v>
      </c>
      <c r="U59" s="7" t="s">
        <v>31</v>
      </c>
      <c r="V59" s="12" t="s">
        <v>79</v>
      </c>
      <c r="W59" s="7" t="s">
        <v>60</v>
      </c>
      <c r="X59" s="6">
        <f t="shared" si="3"/>
        <v>710</v>
      </c>
      <c r="Y59" t="str" cm="1">
        <f t="array" ref="Y59">_xlfn.IFS(E59=7.99,"BASIC",E59=11.99,"STANDARD",E59=15.99,"PREMIUM")</f>
        <v>BASIC</v>
      </c>
      <c r="Z59" s="4">
        <f t="shared" si="0"/>
        <v>3.4014084507042255</v>
      </c>
      <c r="AA59" s="3" t="str" cm="1">
        <f t="array" ref="AA59">_xlfn.IFS(
(F59/(X59/7)) &lt; 5, "Casual",
AND((F59/(X59/7)) &gt;= 5, (F59/(X59/7)) &lt; 15), "Regular",
(F59/(X59/7)) &gt;= 15, "Power"
)</f>
        <v>Casual</v>
      </c>
      <c r="AB59" s="3">
        <f t="shared" si="4"/>
        <v>1.9166666666666667</v>
      </c>
      <c r="AC59" t="str">
        <f t="shared" si="2"/>
        <v>Viewers</v>
      </c>
    </row>
    <row r="60" spans="1:29" x14ac:dyDescent="0.3">
      <c r="A60" s="6">
        <v>9644</v>
      </c>
      <c r="B60" s="7" t="s">
        <v>106</v>
      </c>
      <c r="C60" s="10">
        <v>45543</v>
      </c>
      <c r="D60" s="10">
        <v>45621</v>
      </c>
      <c r="E60" s="13">
        <v>7.99</v>
      </c>
      <c r="F60" s="6">
        <v>294</v>
      </c>
      <c r="G60" s="7" t="s">
        <v>73</v>
      </c>
      <c r="H60" s="6">
        <v>4</v>
      </c>
      <c r="I60" s="6">
        <v>1</v>
      </c>
      <c r="J60" s="7" t="b">
        <v>1</v>
      </c>
      <c r="K60" s="6">
        <v>453</v>
      </c>
      <c r="L60" s="6">
        <v>149</v>
      </c>
      <c r="M60" s="7" t="s">
        <v>92</v>
      </c>
      <c r="N60" s="7" t="s">
        <v>28</v>
      </c>
      <c r="O60" s="7" t="s">
        <v>29</v>
      </c>
      <c r="P60" s="6">
        <v>82</v>
      </c>
      <c r="Q60" s="11">
        <v>3.9</v>
      </c>
      <c r="R60" s="7" t="b">
        <v>1</v>
      </c>
      <c r="S60" s="7" t="s">
        <v>30</v>
      </c>
      <c r="T60" s="6">
        <v>790</v>
      </c>
      <c r="U60" s="7" t="s">
        <v>38</v>
      </c>
      <c r="V60" s="12" t="s">
        <v>59</v>
      </c>
      <c r="W60" s="7" t="s">
        <v>60</v>
      </c>
      <c r="X60" s="6">
        <f t="shared" si="3"/>
        <v>78</v>
      </c>
      <c r="Y60" t="str" cm="1">
        <f t="array" ref="Y60">_xlfn.IFS(E60=7.99,"BASIC",E60=11.99,"STANDARD",E60=15.99,"PREMIUM")</f>
        <v>BASIC</v>
      </c>
      <c r="Z60" s="4">
        <f t="shared" si="0"/>
        <v>26.384615384615387</v>
      </c>
      <c r="AA60" s="3" t="str" cm="1">
        <f t="array" ref="AA60">_xlfn.IFS(
(F60/(X60/7)) &lt; 5, "Casual",
AND((F60/(X60/7)) &gt;= 5, (F60/(X60/7)) &lt; 15), "Regular",
(F60/(X60/7)) &gt;= 15, "Power"
)</f>
        <v>Power</v>
      </c>
      <c r="AB60" s="3">
        <f t="shared" si="4"/>
        <v>0.48837209302325579</v>
      </c>
      <c r="AC60" t="str">
        <f t="shared" si="2"/>
        <v>Viewers</v>
      </c>
    </row>
    <row r="61" spans="1:29" x14ac:dyDescent="0.3">
      <c r="A61" s="6">
        <v>7239</v>
      </c>
      <c r="B61" s="7" t="s">
        <v>166</v>
      </c>
      <c r="C61" s="10">
        <v>45279</v>
      </c>
      <c r="D61" s="10">
        <v>45625</v>
      </c>
      <c r="E61" s="13">
        <v>15.99</v>
      </c>
      <c r="F61" s="6">
        <v>318</v>
      </c>
      <c r="G61" s="7" t="s">
        <v>26</v>
      </c>
      <c r="H61" s="6">
        <v>3</v>
      </c>
      <c r="I61" s="6">
        <v>2</v>
      </c>
      <c r="J61" s="7" t="b">
        <v>1</v>
      </c>
      <c r="K61" s="6">
        <v>943</v>
      </c>
      <c r="L61" s="6">
        <v>116</v>
      </c>
      <c r="M61" s="7" t="s">
        <v>43</v>
      </c>
      <c r="N61" s="7" t="s">
        <v>28</v>
      </c>
      <c r="O61" s="7" t="s">
        <v>29</v>
      </c>
      <c r="P61" s="6">
        <v>22</v>
      </c>
      <c r="Q61" s="11">
        <v>4.0999999999999996</v>
      </c>
      <c r="R61" s="7" t="b">
        <v>0</v>
      </c>
      <c r="S61" s="7" t="s">
        <v>30</v>
      </c>
      <c r="T61" s="6">
        <v>4732</v>
      </c>
      <c r="U61" s="7" t="s">
        <v>65</v>
      </c>
      <c r="V61" s="12" t="s">
        <v>39</v>
      </c>
      <c r="W61" s="7" t="s">
        <v>93</v>
      </c>
      <c r="X61" s="6">
        <f t="shared" si="3"/>
        <v>346</v>
      </c>
      <c r="Y61" t="str" cm="1">
        <f t="array" ref="Y61">_xlfn.IFS(E61=7.99,"BASIC",E61=11.99,"STANDARD",E61=15.99,"PREMIUM")</f>
        <v>PREMIUM</v>
      </c>
      <c r="Z61" s="4">
        <f t="shared" si="0"/>
        <v>6.4335260115606934</v>
      </c>
      <c r="AA61" s="3" t="str" cm="1">
        <f t="array" ref="AA61">_xlfn.IFS(
(F61/(X61/7)) &lt; 5, "Casual",
AND((F61/(X61/7)) &gt;= 5, (F61/(X61/7)) &lt; 15), "Regular",
(F61/(X61/7)) &gt;= 15, "Power"
)</f>
        <v>Regular</v>
      </c>
      <c r="AB61" s="3">
        <f t="shared" si="4"/>
        <v>0.3002832861189802</v>
      </c>
      <c r="AC61" t="str">
        <f t="shared" si="2"/>
        <v>Viewers</v>
      </c>
    </row>
    <row r="62" spans="1:29" x14ac:dyDescent="0.3">
      <c r="A62" s="6">
        <v>6415</v>
      </c>
      <c r="B62" s="7" t="s">
        <v>169</v>
      </c>
      <c r="C62" s="10">
        <v>45211</v>
      </c>
      <c r="D62" s="10">
        <v>45615</v>
      </c>
      <c r="E62" s="13">
        <v>11.99</v>
      </c>
      <c r="F62" s="6">
        <v>396</v>
      </c>
      <c r="G62" s="7" t="s">
        <v>26</v>
      </c>
      <c r="H62" s="6">
        <v>1</v>
      </c>
      <c r="I62" s="6">
        <v>2</v>
      </c>
      <c r="J62" s="7" t="b">
        <v>0</v>
      </c>
      <c r="K62" s="6">
        <v>348</v>
      </c>
      <c r="L62" s="6">
        <v>172</v>
      </c>
      <c r="M62" s="7" t="s">
        <v>49</v>
      </c>
      <c r="N62" s="7" t="s">
        <v>75</v>
      </c>
      <c r="O62" s="7" t="s">
        <v>29</v>
      </c>
      <c r="P62" s="6">
        <v>61</v>
      </c>
      <c r="Q62" s="11">
        <v>3.9</v>
      </c>
      <c r="R62" s="7" t="b">
        <v>0</v>
      </c>
      <c r="S62" s="7" t="s">
        <v>30</v>
      </c>
      <c r="T62" s="6">
        <v>4599</v>
      </c>
      <c r="U62" s="7" t="s">
        <v>31</v>
      </c>
      <c r="V62" s="12" t="s">
        <v>32</v>
      </c>
      <c r="W62" s="7" t="s">
        <v>93</v>
      </c>
      <c r="X62" s="6">
        <f t="shared" si="3"/>
        <v>404</v>
      </c>
      <c r="Y62" t="str" cm="1">
        <f t="array" ref="Y62">_xlfn.IFS(E62=7.99,"BASIC",E62=11.99,"STANDARD",E62=15.99,"PREMIUM")</f>
        <v>STANDARD</v>
      </c>
      <c r="Z62" s="4">
        <f t="shared" si="0"/>
        <v>6.8613861386138613</v>
      </c>
      <c r="AA62" s="3" t="str" cm="1">
        <f t="array" ref="AA62">_xlfn.IFS(
(F62/(X62/7)) &lt; 5, "Casual",
AND((F62/(X62/7)) &gt;= 5, (F62/(X62/7)) &lt; 15), "Regular",
(F62/(X62/7)) &gt;= 15, "Power"
)</f>
        <v>Regular</v>
      </c>
      <c r="AB62" s="3">
        <f t="shared" si="4"/>
        <v>0.7615384615384615</v>
      </c>
      <c r="AC62" t="str">
        <f t="shared" si="2"/>
        <v>Viewers</v>
      </c>
    </row>
    <row r="63" spans="1:29" x14ac:dyDescent="0.3">
      <c r="A63" s="6">
        <v>9020</v>
      </c>
      <c r="B63" s="7" t="s">
        <v>170</v>
      </c>
      <c r="C63" s="10">
        <v>44960</v>
      </c>
      <c r="D63" s="10">
        <v>45629</v>
      </c>
      <c r="E63" s="13">
        <v>11.99</v>
      </c>
      <c r="F63" s="6">
        <v>455</v>
      </c>
      <c r="G63" s="7" t="s">
        <v>63</v>
      </c>
      <c r="H63" s="6">
        <v>5</v>
      </c>
      <c r="I63" s="6">
        <v>3</v>
      </c>
      <c r="J63" s="7" t="b">
        <v>1</v>
      </c>
      <c r="K63" s="6">
        <v>112</v>
      </c>
      <c r="L63" s="6">
        <v>158</v>
      </c>
      <c r="M63" s="7" t="s">
        <v>55</v>
      </c>
      <c r="N63" s="7" t="s">
        <v>56</v>
      </c>
      <c r="O63" s="7" t="s">
        <v>37</v>
      </c>
      <c r="P63" s="6">
        <v>15</v>
      </c>
      <c r="Q63" s="11">
        <v>3.9</v>
      </c>
      <c r="R63" s="7" t="b">
        <v>1</v>
      </c>
      <c r="S63" s="7" t="s">
        <v>30</v>
      </c>
      <c r="T63" s="6">
        <v>965</v>
      </c>
      <c r="U63" s="7" t="s">
        <v>58</v>
      </c>
      <c r="V63" s="12" t="s">
        <v>39</v>
      </c>
      <c r="W63" s="7" t="s">
        <v>60</v>
      </c>
      <c r="X63" s="6">
        <f t="shared" si="3"/>
        <v>669</v>
      </c>
      <c r="Y63" t="str" cm="1">
        <f t="array" ref="Y63">_xlfn.IFS(E63=7.99,"BASIC",E63=11.99,"STANDARD",E63=15.99,"PREMIUM")</f>
        <v>STANDARD</v>
      </c>
      <c r="Z63" s="4">
        <f t="shared" si="0"/>
        <v>4.7608370702541105</v>
      </c>
      <c r="AA63" s="3" t="str" cm="1">
        <f t="array" ref="AA63">_xlfn.IFS(
(F63/(X63/7)) &lt; 5, "Casual",
AND((F63/(X63/7)) &gt;= 5, (F63/(X63/7)) &lt; 15), "Regular",
(F63/(X63/7)) &gt;= 15, "Power"
)</f>
        <v>Casual</v>
      </c>
      <c r="AB63" s="3">
        <f t="shared" si="4"/>
        <v>1.6851851851851851</v>
      </c>
      <c r="AC63" t="str">
        <f t="shared" si="2"/>
        <v>Viewers</v>
      </c>
    </row>
    <row r="64" spans="1:29" x14ac:dyDescent="0.3">
      <c r="A64" s="6">
        <v>2324</v>
      </c>
      <c r="B64" s="7" t="s">
        <v>171</v>
      </c>
      <c r="C64" s="10">
        <v>45620</v>
      </c>
      <c r="D64" s="10">
        <v>45637</v>
      </c>
      <c r="E64" s="13">
        <v>7.99</v>
      </c>
      <c r="F64" s="6">
        <v>175</v>
      </c>
      <c r="G64" s="7" t="s">
        <v>73</v>
      </c>
      <c r="H64" s="6">
        <v>5</v>
      </c>
      <c r="I64" s="6">
        <v>6</v>
      </c>
      <c r="J64" s="7" t="b">
        <v>1</v>
      </c>
      <c r="K64" s="6">
        <v>606</v>
      </c>
      <c r="L64" s="6">
        <v>195</v>
      </c>
      <c r="M64" s="7" t="s">
        <v>27</v>
      </c>
      <c r="N64" s="7" t="s">
        <v>56</v>
      </c>
      <c r="O64" s="7" t="s">
        <v>64</v>
      </c>
      <c r="P64" s="6">
        <v>95</v>
      </c>
      <c r="Q64" s="11">
        <v>4</v>
      </c>
      <c r="R64" s="7" t="b">
        <v>0</v>
      </c>
      <c r="S64" s="7" t="s">
        <v>30</v>
      </c>
      <c r="T64" s="6">
        <v>1155</v>
      </c>
      <c r="U64" s="7" t="s">
        <v>76</v>
      </c>
      <c r="V64" s="12" t="s">
        <v>32</v>
      </c>
      <c r="W64" s="7" t="s">
        <v>33</v>
      </c>
      <c r="X64" s="6">
        <f t="shared" si="3"/>
        <v>17</v>
      </c>
      <c r="Y64" t="str" cm="1">
        <f t="array" ref="Y64">_xlfn.IFS(E64=7.99,"BASIC",E64=11.99,"STANDARD",E64=15.99,"PREMIUM")</f>
        <v>BASIC</v>
      </c>
      <c r="Z64" s="4">
        <f t="shared" si="0"/>
        <v>72.058823529411768</v>
      </c>
      <c r="AA64" s="3" t="str" cm="1">
        <f t="array" ref="AA64">_xlfn.IFS(
(F64/(X64/7)) &lt; 5, "Casual",
AND((F64/(X64/7)) &gt;= 5, (F64/(X64/7)) &lt; 15), "Regular",
(F64/(X64/7)) &gt;= 15, "Power"
)</f>
        <v>Power</v>
      </c>
      <c r="AB64" s="3">
        <f t="shared" si="4"/>
        <v>0.2184769038701623</v>
      </c>
      <c r="AC64" t="str">
        <f t="shared" si="2"/>
        <v>Viewers</v>
      </c>
    </row>
    <row r="65" spans="1:29" x14ac:dyDescent="0.3">
      <c r="A65" s="6">
        <v>1354</v>
      </c>
      <c r="B65" s="7" t="s">
        <v>172</v>
      </c>
      <c r="C65" s="10">
        <v>45101</v>
      </c>
      <c r="D65" s="10">
        <v>45633</v>
      </c>
      <c r="E65" s="13">
        <v>7.99</v>
      </c>
      <c r="F65" s="6">
        <v>36</v>
      </c>
      <c r="G65" s="7" t="s">
        <v>48</v>
      </c>
      <c r="H65" s="6">
        <v>1</v>
      </c>
      <c r="I65" s="6">
        <v>6</v>
      </c>
      <c r="J65" s="7" t="b">
        <v>0</v>
      </c>
      <c r="K65" s="6">
        <v>214</v>
      </c>
      <c r="L65" s="6">
        <v>114</v>
      </c>
      <c r="M65" s="7" t="s">
        <v>55</v>
      </c>
      <c r="N65" s="7" t="s">
        <v>28</v>
      </c>
      <c r="O65" s="7" t="s">
        <v>57</v>
      </c>
      <c r="P65" s="6">
        <v>39</v>
      </c>
      <c r="Q65" s="11">
        <v>4.9000000000000004</v>
      </c>
      <c r="R65" s="7" t="b">
        <v>0</v>
      </c>
      <c r="S65" s="7" t="s">
        <v>30</v>
      </c>
      <c r="T65" s="6">
        <v>1110</v>
      </c>
      <c r="U65" s="7" t="s">
        <v>76</v>
      </c>
      <c r="V65" s="12" t="s">
        <v>59</v>
      </c>
      <c r="W65" s="7" t="s">
        <v>93</v>
      </c>
      <c r="X65" s="6">
        <f t="shared" si="3"/>
        <v>532</v>
      </c>
      <c r="Y65" t="str" cm="1">
        <f t="array" ref="Y65">_xlfn.IFS(E65=7.99,"BASIC",E65=11.99,"STANDARD",E65=15.99,"PREMIUM")</f>
        <v>BASIC</v>
      </c>
      <c r="Z65" s="4">
        <f t="shared" si="0"/>
        <v>0.47368421052631576</v>
      </c>
      <c r="AA65" s="3" t="str" cm="1">
        <f t="array" ref="AA65">_xlfn.IFS(
(F65/(X65/7)) &lt; 5, "Casual",
AND((F65/(X65/7)) &gt;= 5, (F65/(X65/7)) &lt; 15), "Regular",
(F65/(X65/7)) &gt;= 15, "Power"
)</f>
        <v>Casual</v>
      </c>
      <c r="AB65" s="3">
        <f t="shared" si="4"/>
        <v>0.10975609756097561</v>
      </c>
      <c r="AC65" t="str">
        <f t="shared" si="2"/>
        <v xml:space="preserve"> Browsers</v>
      </c>
    </row>
    <row r="66" spans="1:29" x14ac:dyDescent="0.3">
      <c r="A66" s="6">
        <v>4019</v>
      </c>
      <c r="B66" s="7" t="s">
        <v>174</v>
      </c>
      <c r="C66" s="10">
        <v>45289</v>
      </c>
      <c r="D66" s="10">
        <v>45632</v>
      </c>
      <c r="E66" s="13">
        <v>15.99</v>
      </c>
      <c r="F66" s="6">
        <v>349</v>
      </c>
      <c r="G66" s="7" t="s">
        <v>51</v>
      </c>
      <c r="H66" s="6">
        <v>1</v>
      </c>
      <c r="I66" s="6">
        <v>6</v>
      </c>
      <c r="J66" s="7" t="b">
        <v>1</v>
      </c>
      <c r="K66" s="6">
        <v>334</v>
      </c>
      <c r="L66" s="6">
        <v>76</v>
      </c>
      <c r="M66" s="7" t="s">
        <v>43</v>
      </c>
      <c r="N66" s="7" t="s">
        <v>56</v>
      </c>
      <c r="O66" s="7" t="s">
        <v>45</v>
      </c>
      <c r="P66" s="6">
        <v>32</v>
      </c>
      <c r="Q66" s="11">
        <v>3.3</v>
      </c>
      <c r="R66" s="7" t="b">
        <v>0</v>
      </c>
      <c r="S66" s="7" t="s">
        <v>30</v>
      </c>
      <c r="T66" s="6">
        <v>1911</v>
      </c>
      <c r="U66" s="7" t="s">
        <v>58</v>
      </c>
      <c r="V66" s="12" t="s">
        <v>79</v>
      </c>
      <c r="W66" s="7" t="s">
        <v>93</v>
      </c>
      <c r="X66" s="6">
        <f t="shared" si="3"/>
        <v>343</v>
      </c>
      <c r="Y66" t="str" cm="1">
        <f t="array" ref="Y66">_xlfn.IFS(E66=7.99,"BASIC",E66=11.99,"STANDARD",E66=15.99,"PREMIUM")</f>
        <v>PREMIUM</v>
      </c>
      <c r="Z66" s="4">
        <f t="shared" ref="Z66:Z129" si="5">F66/(X66/7)</f>
        <v>7.1224489795918364</v>
      </c>
      <c r="AA66" s="3" t="str" cm="1">
        <f t="array" ref="AA66">_xlfn.IFS(
(F66/(X66/7)) &lt; 5, "Casual",
AND((F66/(X66/7)) &gt;= 5, (F66/(X66/7)) &lt; 15), "Regular",
(F66/(X66/7)) &gt;= 15, "Power"
)</f>
        <v>Regular</v>
      </c>
      <c r="AB66" s="3">
        <f t="shared" si="4"/>
        <v>0.85121951219512193</v>
      </c>
      <c r="AC66" t="str">
        <f t="shared" ref="AC66:AC129" si="6">IF(F66/(K66+L66) &lt; 0.15," Browsers","Viewers")</f>
        <v>Viewers</v>
      </c>
    </row>
    <row r="67" spans="1:29" x14ac:dyDescent="0.3">
      <c r="A67" s="6">
        <v>6178</v>
      </c>
      <c r="B67" s="7" t="s">
        <v>176</v>
      </c>
      <c r="C67" s="10">
        <v>44986</v>
      </c>
      <c r="D67" s="10">
        <v>45635</v>
      </c>
      <c r="E67" s="13">
        <v>11.99</v>
      </c>
      <c r="F67" s="6">
        <v>262</v>
      </c>
      <c r="G67" s="7" t="s">
        <v>51</v>
      </c>
      <c r="H67" s="6">
        <v>5</v>
      </c>
      <c r="I67" s="6">
        <v>5</v>
      </c>
      <c r="J67" s="7" t="b">
        <v>1</v>
      </c>
      <c r="K67" s="6">
        <v>849</v>
      </c>
      <c r="L67" s="6">
        <v>68</v>
      </c>
      <c r="M67" s="7" t="s">
        <v>55</v>
      </c>
      <c r="N67" s="7" t="s">
        <v>56</v>
      </c>
      <c r="O67" s="7" t="s">
        <v>78</v>
      </c>
      <c r="P67" s="6">
        <v>24</v>
      </c>
      <c r="Q67" s="11">
        <v>3</v>
      </c>
      <c r="R67" s="7" t="b">
        <v>0</v>
      </c>
      <c r="S67" s="7" t="s">
        <v>30</v>
      </c>
      <c r="T67" s="6">
        <v>1721</v>
      </c>
      <c r="U67" s="7" t="s">
        <v>31</v>
      </c>
      <c r="V67" s="12" t="s">
        <v>59</v>
      </c>
      <c r="W67" s="7" t="s">
        <v>60</v>
      </c>
      <c r="X67" s="6">
        <f t="shared" ref="X67:X130" si="7">D67-C67</f>
        <v>649</v>
      </c>
      <c r="Y67" t="str" cm="1">
        <f t="array" ref="Y67">_xlfn.IFS(E67=7.99,"BASIC",E67=11.99,"STANDARD",E67=15.99,"PREMIUM")</f>
        <v>STANDARD</v>
      </c>
      <c r="Z67" s="4">
        <f t="shared" si="5"/>
        <v>2.8258859784283517</v>
      </c>
      <c r="AA67" s="3" t="str" cm="1">
        <f t="array" ref="AA67">_xlfn.IFS(
(F67/(X67/7)) &lt; 5, "Casual",
AND((F67/(X67/7)) &gt;= 5, (F67/(X67/7)) &lt; 15), "Regular",
(F67/(X67/7)) &gt;= 15, "Power"
)</f>
        <v>Casual</v>
      </c>
      <c r="AB67" s="3">
        <f t="shared" si="4"/>
        <v>0.2857142857142857</v>
      </c>
      <c r="AC67" t="str">
        <f t="shared" si="6"/>
        <v>Viewers</v>
      </c>
    </row>
    <row r="68" spans="1:29" x14ac:dyDescent="0.3">
      <c r="A68" s="6">
        <v>8673</v>
      </c>
      <c r="B68" s="7" t="s">
        <v>135</v>
      </c>
      <c r="C68" s="10">
        <v>45289</v>
      </c>
      <c r="D68" s="10">
        <v>45637</v>
      </c>
      <c r="E68" s="13">
        <v>7.99</v>
      </c>
      <c r="F68" s="6">
        <v>378</v>
      </c>
      <c r="G68" s="7" t="s">
        <v>26</v>
      </c>
      <c r="H68" s="6">
        <v>2</v>
      </c>
      <c r="I68" s="6">
        <v>3</v>
      </c>
      <c r="J68" s="7" t="b">
        <v>0</v>
      </c>
      <c r="K68" s="6">
        <v>155</v>
      </c>
      <c r="L68" s="6">
        <v>69</v>
      </c>
      <c r="M68" s="7" t="s">
        <v>49</v>
      </c>
      <c r="N68" s="7" t="s">
        <v>44</v>
      </c>
      <c r="O68" s="7" t="s">
        <v>57</v>
      </c>
      <c r="P68" s="6">
        <v>11</v>
      </c>
      <c r="Q68" s="11">
        <v>3.3</v>
      </c>
      <c r="R68" s="7" t="b">
        <v>0</v>
      </c>
      <c r="S68" s="7" t="s">
        <v>30</v>
      </c>
      <c r="T68" s="6">
        <v>353</v>
      </c>
      <c r="U68" s="7" t="s">
        <v>58</v>
      </c>
      <c r="V68" s="12" t="s">
        <v>79</v>
      </c>
      <c r="W68" s="7" t="s">
        <v>60</v>
      </c>
      <c r="X68" s="6">
        <f t="shared" si="7"/>
        <v>348</v>
      </c>
      <c r="Y68" t="str" cm="1">
        <f t="array" ref="Y68">_xlfn.IFS(E68=7.99,"BASIC",E68=11.99,"STANDARD",E68=15.99,"PREMIUM")</f>
        <v>BASIC</v>
      </c>
      <c r="Z68" s="4">
        <f t="shared" si="5"/>
        <v>7.6034482758620685</v>
      </c>
      <c r="AA68" s="3" t="str" cm="1">
        <f t="array" ref="AA68">_xlfn.IFS(
(F68/(X68/7)) &lt; 5, "Casual",
AND((F68/(X68/7)) &gt;= 5, (F68/(X68/7)) &lt; 15), "Regular",
(F68/(X68/7)) &gt;= 15, "Power"
)</f>
        <v>Regular</v>
      </c>
      <c r="AB68" s="3">
        <f t="shared" si="4"/>
        <v>1.6875</v>
      </c>
      <c r="AC68" t="str">
        <f t="shared" si="6"/>
        <v>Viewers</v>
      </c>
    </row>
    <row r="69" spans="1:29" x14ac:dyDescent="0.3">
      <c r="A69" s="6">
        <v>8250</v>
      </c>
      <c r="B69" s="7" t="s">
        <v>177</v>
      </c>
      <c r="C69" s="10">
        <v>45366</v>
      </c>
      <c r="D69" s="10">
        <v>45625</v>
      </c>
      <c r="E69" s="13">
        <v>15.99</v>
      </c>
      <c r="F69" s="6">
        <v>469</v>
      </c>
      <c r="G69" s="7" t="s">
        <v>51</v>
      </c>
      <c r="H69" s="6">
        <v>3</v>
      </c>
      <c r="I69" s="6">
        <v>5</v>
      </c>
      <c r="J69" s="7" t="b">
        <v>1</v>
      </c>
      <c r="K69" s="6">
        <v>406</v>
      </c>
      <c r="L69" s="6">
        <v>71</v>
      </c>
      <c r="M69" s="7" t="s">
        <v>68</v>
      </c>
      <c r="N69" s="7" t="s">
        <v>75</v>
      </c>
      <c r="O69" s="7" t="s">
        <v>78</v>
      </c>
      <c r="P69" s="6">
        <v>88</v>
      </c>
      <c r="Q69" s="11">
        <v>4.8</v>
      </c>
      <c r="R69" s="7" t="b">
        <v>1</v>
      </c>
      <c r="S69" s="7" t="s">
        <v>30</v>
      </c>
      <c r="T69" s="6">
        <v>423</v>
      </c>
      <c r="U69" s="7" t="s">
        <v>76</v>
      </c>
      <c r="V69" s="12" t="s">
        <v>32</v>
      </c>
      <c r="W69" s="7" t="s">
        <v>93</v>
      </c>
      <c r="X69" s="6">
        <f t="shared" si="7"/>
        <v>259</v>
      </c>
      <c r="Y69" t="str" cm="1">
        <f t="array" ref="Y69">_xlfn.IFS(E69=7.99,"BASIC",E69=11.99,"STANDARD",E69=15.99,"PREMIUM")</f>
        <v>PREMIUM</v>
      </c>
      <c r="Z69" s="4">
        <f t="shared" si="5"/>
        <v>12.675675675675675</v>
      </c>
      <c r="AA69" s="3" t="str" cm="1">
        <f t="array" ref="AA69">_xlfn.IFS(
(F69/(X69/7)) &lt; 5, "Casual",
AND((F69/(X69/7)) &gt;= 5, (F69/(X69/7)) &lt; 15), "Regular",
(F69/(X69/7)) &gt;= 15, "Power"
)</f>
        <v>Regular</v>
      </c>
      <c r="AB69" s="3">
        <f t="shared" si="4"/>
        <v>0.98322851153039836</v>
      </c>
      <c r="AC69" t="str">
        <f t="shared" si="6"/>
        <v>Viewers</v>
      </c>
    </row>
    <row r="70" spans="1:29" x14ac:dyDescent="0.3">
      <c r="A70" s="6">
        <v>1609</v>
      </c>
      <c r="B70" s="7" t="s">
        <v>179</v>
      </c>
      <c r="C70" s="10">
        <v>45029</v>
      </c>
      <c r="D70" s="10">
        <v>45643</v>
      </c>
      <c r="E70" s="13">
        <v>7.99</v>
      </c>
      <c r="F70" s="6">
        <v>87</v>
      </c>
      <c r="G70" s="7" t="s">
        <v>63</v>
      </c>
      <c r="H70" s="6">
        <v>4</v>
      </c>
      <c r="I70" s="6">
        <v>4</v>
      </c>
      <c r="J70" s="7" t="b">
        <v>0</v>
      </c>
      <c r="K70" s="6">
        <v>571</v>
      </c>
      <c r="L70" s="6">
        <v>54</v>
      </c>
      <c r="M70" s="7" t="s">
        <v>43</v>
      </c>
      <c r="N70" s="7" t="s">
        <v>56</v>
      </c>
      <c r="O70" s="7" t="s">
        <v>37</v>
      </c>
      <c r="P70" s="6">
        <v>57</v>
      </c>
      <c r="Q70" s="11">
        <v>4.2</v>
      </c>
      <c r="R70" s="7" t="b">
        <v>0</v>
      </c>
      <c r="S70" s="7" t="s">
        <v>30</v>
      </c>
      <c r="T70" s="6">
        <v>344</v>
      </c>
      <c r="U70" s="7" t="s">
        <v>58</v>
      </c>
      <c r="V70" s="12" t="s">
        <v>79</v>
      </c>
      <c r="W70" s="7" t="s">
        <v>60</v>
      </c>
      <c r="X70" s="6">
        <f t="shared" si="7"/>
        <v>614</v>
      </c>
      <c r="Y70" t="str" cm="1">
        <f t="array" ref="Y70">_xlfn.IFS(E70=7.99,"BASIC",E70=11.99,"STANDARD",E70=15.99,"PREMIUM")</f>
        <v>BASIC</v>
      </c>
      <c r="Z70" s="4">
        <f t="shared" si="5"/>
        <v>0.99185667752443007</v>
      </c>
      <c r="AA70" s="3" t="str" cm="1">
        <f t="array" ref="AA70">_xlfn.IFS(
(F70/(X70/7)) &lt; 5, "Casual",
AND((F70/(X70/7)) &gt;= 5, (F70/(X70/7)) &lt; 15), "Regular",
(F70/(X70/7)) &gt;= 15, "Power"
)</f>
        <v>Casual</v>
      </c>
      <c r="AB70" s="3">
        <f t="shared" si="4"/>
        <v>0.13919999999999999</v>
      </c>
      <c r="AC70" t="str">
        <f t="shared" si="6"/>
        <v xml:space="preserve"> Browsers</v>
      </c>
    </row>
    <row r="71" spans="1:29" x14ac:dyDescent="0.3">
      <c r="A71" s="6">
        <v>3806</v>
      </c>
      <c r="B71" s="7" t="s">
        <v>181</v>
      </c>
      <c r="C71" s="10">
        <v>44976</v>
      </c>
      <c r="D71" s="10">
        <v>45638</v>
      </c>
      <c r="E71" s="13">
        <v>15.99</v>
      </c>
      <c r="F71" s="6">
        <v>471</v>
      </c>
      <c r="G71" s="7" t="s">
        <v>51</v>
      </c>
      <c r="H71" s="6">
        <v>3</v>
      </c>
      <c r="I71" s="6">
        <v>6</v>
      </c>
      <c r="J71" s="7" t="b">
        <v>1</v>
      </c>
      <c r="K71" s="6">
        <v>56</v>
      </c>
      <c r="L71" s="6">
        <v>69</v>
      </c>
      <c r="M71" s="7" t="s">
        <v>43</v>
      </c>
      <c r="N71" s="7" t="s">
        <v>28</v>
      </c>
      <c r="O71" s="7" t="s">
        <v>45</v>
      </c>
      <c r="P71" s="6">
        <v>44</v>
      </c>
      <c r="Q71" s="11">
        <v>3.6</v>
      </c>
      <c r="R71" s="7" t="b">
        <v>1</v>
      </c>
      <c r="S71" s="7" t="s">
        <v>30</v>
      </c>
      <c r="T71" s="6">
        <v>4117</v>
      </c>
      <c r="U71" s="7" t="s">
        <v>76</v>
      </c>
      <c r="V71" s="12" t="s">
        <v>79</v>
      </c>
      <c r="W71" s="7" t="s">
        <v>60</v>
      </c>
      <c r="X71" s="6">
        <f t="shared" si="7"/>
        <v>662</v>
      </c>
      <c r="Y71" t="str" cm="1">
        <f t="array" ref="Y71">_xlfn.IFS(E71=7.99,"BASIC",E71=11.99,"STANDARD",E71=15.99,"PREMIUM")</f>
        <v>PREMIUM</v>
      </c>
      <c r="Z71" s="4">
        <f t="shared" si="5"/>
        <v>4.9803625377643508</v>
      </c>
      <c r="AA71" s="3" t="str" cm="1">
        <f t="array" ref="AA71">_xlfn.IFS(
(F71/(X71/7)) &lt; 5, "Casual",
AND((F71/(X71/7)) &gt;= 5, (F71/(X71/7)) &lt; 15), "Regular",
(F71/(X71/7)) &gt;= 15, "Power"
)</f>
        <v>Casual</v>
      </c>
      <c r="AB71" s="3">
        <f t="shared" si="4"/>
        <v>3.7679999999999998</v>
      </c>
      <c r="AC71" t="str">
        <f t="shared" si="6"/>
        <v>Viewers</v>
      </c>
    </row>
    <row r="72" spans="1:29" x14ac:dyDescent="0.3">
      <c r="A72" s="6">
        <v>7973</v>
      </c>
      <c r="B72" s="7" t="s">
        <v>183</v>
      </c>
      <c r="C72" s="10">
        <v>45566</v>
      </c>
      <c r="D72" s="10">
        <v>45629</v>
      </c>
      <c r="E72" s="13">
        <v>7.99</v>
      </c>
      <c r="F72" s="6">
        <v>469</v>
      </c>
      <c r="G72" s="7" t="s">
        <v>100</v>
      </c>
      <c r="H72" s="6">
        <v>5</v>
      </c>
      <c r="I72" s="6">
        <v>2</v>
      </c>
      <c r="J72" s="7" t="b">
        <v>1</v>
      </c>
      <c r="K72" s="6">
        <v>748</v>
      </c>
      <c r="L72" s="6">
        <v>147</v>
      </c>
      <c r="M72" s="7" t="s">
        <v>92</v>
      </c>
      <c r="N72" s="7" t="s">
        <v>75</v>
      </c>
      <c r="O72" s="7" t="s">
        <v>29</v>
      </c>
      <c r="P72" s="6">
        <v>33</v>
      </c>
      <c r="Q72" s="11">
        <v>4.5999999999999996</v>
      </c>
      <c r="R72" s="7" t="b">
        <v>1</v>
      </c>
      <c r="S72" s="7" t="s">
        <v>30</v>
      </c>
      <c r="T72" s="6">
        <v>3983</v>
      </c>
      <c r="U72" s="7" t="s">
        <v>58</v>
      </c>
      <c r="V72" s="12" t="s">
        <v>79</v>
      </c>
      <c r="W72" s="7" t="s">
        <v>40</v>
      </c>
      <c r="X72" s="6">
        <f t="shared" si="7"/>
        <v>63</v>
      </c>
      <c r="Y72" t="str" cm="1">
        <f t="array" ref="Y72">_xlfn.IFS(E72=7.99,"BASIC",E72=11.99,"STANDARD",E72=15.99,"PREMIUM")</f>
        <v>BASIC</v>
      </c>
      <c r="Z72" s="4">
        <f t="shared" si="5"/>
        <v>52.111111111111114</v>
      </c>
      <c r="AA72" s="3" t="str" cm="1">
        <f t="array" ref="AA72">_xlfn.IFS(
(F72/(X72/7)) &lt; 5, "Casual",
AND((F72/(X72/7)) &gt;= 5, (F72/(X72/7)) &lt; 15), "Regular",
(F72/(X72/7)) &gt;= 15, "Power"
)</f>
        <v>Power</v>
      </c>
      <c r="AB72" s="3">
        <f t="shared" si="4"/>
        <v>0.52402234636871503</v>
      </c>
      <c r="AC72" t="str">
        <f t="shared" si="6"/>
        <v>Viewers</v>
      </c>
    </row>
    <row r="73" spans="1:29" x14ac:dyDescent="0.3">
      <c r="A73" s="6">
        <v>7948</v>
      </c>
      <c r="B73" s="7" t="s">
        <v>184</v>
      </c>
      <c r="C73" s="10">
        <v>45256</v>
      </c>
      <c r="D73" s="10">
        <v>45619</v>
      </c>
      <c r="E73" s="13">
        <v>15.99</v>
      </c>
      <c r="F73" s="6">
        <v>298</v>
      </c>
      <c r="G73" s="7" t="s">
        <v>48</v>
      </c>
      <c r="H73" s="6">
        <v>4</v>
      </c>
      <c r="I73" s="6">
        <v>1</v>
      </c>
      <c r="J73" s="7" t="b">
        <v>0</v>
      </c>
      <c r="K73" s="6">
        <v>603</v>
      </c>
      <c r="L73" s="6">
        <v>161</v>
      </c>
      <c r="M73" s="7" t="s">
        <v>74</v>
      </c>
      <c r="N73" s="7" t="s">
        <v>28</v>
      </c>
      <c r="O73" s="7" t="s">
        <v>57</v>
      </c>
      <c r="P73" s="6">
        <v>68</v>
      </c>
      <c r="Q73" s="11">
        <v>4.4000000000000004</v>
      </c>
      <c r="R73" s="7" t="b">
        <v>0</v>
      </c>
      <c r="S73" s="7" t="s">
        <v>30</v>
      </c>
      <c r="T73" s="6">
        <v>3941</v>
      </c>
      <c r="U73" s="7" t="s">
        <v>65</v>
      </c>
      <c r="V73" s="12" t="s">
        <v>32</v>
      </c>
      <c r="W73" s="7" t="s">
        <v>93</v>
      </c>
      <c r="X73" s="6">
        <f t="shared" si="7"/>
        <v>363</v>
      </c>
      <c r="Y73" t="str" cm="1">
        <f t="array" ref="Y73">_xlfn.IFS(E73=7.99,"BASIC",E73=11.99,"STANDARD",E73=15.99,"PREMIUM")</f>
        <v>PREMIUM</v>
      </c>
      <c r="Z73" s="4">
        <f t="shared" si="5"/>
        <v>5.7465564738292017</v>
      </c>
      <c r="AA73" s="3" t="str" cm="1">
        <f t="array" ref="AA73">_xlfn.IFS(
(F73/(X73/7)) &lt; 5, "Casual",
AND((F73/(X73/7)) &gt;= 5, (F73/(X73/7)) &lt; 15), "Regular",
(F73/(X73/7)) &gt;= 15, "Power"
)</f>
        <v>Regular</v>
      </c>
      <c r="AB73" s="3">
        <f t="shared" ref="AB73:AB136" si="8">(F73/(K73+L73))</f>
        <v>0.3900523560209424</v>
      </c>
      <c r="AC73" t="str">
        <f t="shared" si="6"/>
        <v>Viewers</v>
      </c>
    </row>
    <row r="74" spans="1:29" x14ac:dyDescent="0.3">
      <c r="A74" s="6">
        <v>3195</v>
      </c>
      <c r="B74" s="7" t="s">
        <v>186</v>
      </c>
      <c r="C74" s="10">
        <v>45212</v>
      </c>
      <c r="D74" s="10">
        <v>45643</v>
      </c>
      <c r="E74" s="13">
        <v>11.99</v>
      </c>
      <c r="F74" s="6">
        <v>331</v>
      </c>
      <c r="G74" s="7" t="s">
        <v>26</v>
      </c>
      <c r="H74" s="6">
        <v>5</v>
      </c>
      <c r="I74" s="6">
        <v>5</v>
      </c>
      <c r="J74" s="7" t="b">
        <v>0</v>
      </c>
      <c r="K74" s="6">
        <v>990</v>
      </c>
      <c r="L74" s="6">
        <v>72</v>
      </c>
      <c r="M74" s="7" t="s">
        <v>74</v>
      </c>
      <c r="N74" s="7" t="s">
        <v>44</v>
      </c>
      <c r="O74" s="7" t="s">
        <v>57</v>
      </c>
      <c r="P74" s="6">
        <v>80</v>
      </c>
      <c r="Q74" s="11">
        <v>3.7</v>
      </c>
      <c r="R74" s="7" t="b">
        <v>0</v>
      </c>
      <c r="S74" s="7" t="s">
        <v>30</v>
      </c>
      <c r="T74" s="6">
        <v>3085</v>
      </c>
      <c r="U74" s="7" t="s">
        <v>31</v>
      </c>
      <c r="V74" s="12" t="s">
        <v>32</v>
      </c>
      <c r="W74" s="7" t="s">
        <v>60</v>
      </c>
      <c r="X74" s="6">
        <f t="shared" si="7"/>
        <v>431</v>
      </c>
      <c r="Y74" t="str" cm="1">
        <f t="array" ref="Y74">_xlfn.IFS(E74=7.99,"BASIC",E74=11.99,"STANDARD",E74=15.99,"PREMIUM")</f>
        <v>STANDARD</v>
      </c>
      <c r="Z74" s="4">
        <f t="shared" si="5"/>
        <v>5.3758700696055683</v>
      </c>
      <c r="AA74" s="3" t="str" cm="1">
        <f t="array" ref="AA74">_xlfn.IFS(
(F74/(X74/7)) &lt; 5, "Casual",
AND((F74/(X74/7)) &gt;= 5, (F74/(X74/7)) &lt; 15), "Regular",
(F74/(X74/7)) &gt;= 15, "Power"
)</f>
        <v>Regular</v>
      </c>
      <c r="AB74" s="3">
        <f t="shared" si="8"/>
        <v>0.31167608286252352</v>
      </c>
      <c r="AC74" t="str">
        <f t="shared" si="6"/>
        <v>Viewers</v>
      </c>
    </row>
    <row r="75" spans="1:29" x14ac:dyDescent="0.3">
      <c r="A75" s="6">
        <v>6285</v>
      </c>
      <c r="B75" s="7" t="s">
        <v>188</v>
      </c>
      <c r="C75" s="10">
        <v>45138</v>
      </c>
      <c r="D75" s="10">
        <v>45626</v>
      </c>
      <c r="E75" s="13">
        <v>11.99</v>
      </c>
      <c r="F75" s="6">
        <v>238</v>
      </c>
      <c r="G75" s="7" t="s">
        <v>51</v>
      </c>
      <c r="H75" s="6">
        <v>3</v>
      </c>
      <c r="I75" s="6">
        <v>6</v>
      </c>
      <c r="J75" s="7" t="b">
        <v>1</v>
      </c>
      <c r="K75" s="6">
        <v>831</v>
      </c>
      <c r="L75" s="6">
        <v>101</v>
      </c>
      <c r="M75" s="7" t="s">
        <v>27</v>
      </c>
      <c r="N75" s="7" t="s">
        <v>28</v>
      </c>
      <c r="O75" s="7" t="s">
        <v>37</v>
      </c>
      <c r="P75" s="6">
        <v>94</v>
      </c>
      <c r="Q75" s="11">
        <v>4.4000000000000004</v>
      </c>
      <c r="R75" s="7" t="b">
        <v>1</v>
      </c>
      <c r="S75" s="7" t="s">
        <v>30</v>
      </c>
      <c r="T75" s="6">
        <v>48</v>
      </c>
      <c r="U75" s="7" t="s">
        <v>58</v>
      </c>
      <c r="V75" s="12" t="s">
        <v>32</v>
      </c>
      <c r="W75" s="7" t="s">
        <v>40</v>
      </c>
      <c r="X75" s="6">
        <f t="shared" si="7"/>
        <v>488</v>
      </c>
      <c r="Y75" t="str" cm="1">
        <f t="array" ref="Y75">_xlfn.IFS(E75=7.99,"BASIC",E75=11.99,"STANDARD",E75=15.99,"PREMIUM")</f>
        <v>STANDARD</v>
      </c>
      <c r="Z75" s="4">
        <f t="shared" si="5"/>
        <v>3.4139344262295084</v>
      </c>
      <c r="AA75" s="3" t="str" cm="1">
        <f t="array" ref="AA75">_xlfn.IFS(
(F75/(X75/7)) &lt; 5, "Casual",
AND((F75/(X75/7)) &gt;= 5, (F75/(X75/7)) &lt; 15), "Regular",
(F75/(X75/7)) &gt;= 15, "Power"
)</f>
        <v>Casual</v>
      </c>
      <c r="AB75" s="3">
        <f t="shared" si="8"/>
        <v>0.25536480686695279</v>
      </c>
      <c r="AC75" t="str">
        <f t="shared" si="6"/>
        <v>Viewers</v>
      </c>
    </row>
    <row r="76" spans="1:29" x14ac:dyDescent="0.3">
      <c r="A76" s="6">
        <v>4303</v>
      </c>
      <c r="B76" s="7" t="s">
        <v>179</v>
      </c>
      <c r="C76" s="10">
        <v>45175</v>
      </c>
      <c r="D76" s="10">
        <v>45643</v>
      </c>
      <c r="E76" s="13">
        <v>7.99</v>
      </c>
      <c r="F76" s="6">
        <v>231</v>
      </c>
      <c r="G76" s="7" t="s">
        <v>73</v>
      </c>
      <c r="H76" s="6">
        <v>1</v>
      </c>
      <c r="I76" s="6">
        <v>4</v>
      </c>
      <c r="J76" s="7" t="b">
        <v>0</v>
      </c>
      <c r="K76" s="6">
        <v>420</v>
      </c>
      <c r="L76" s="6">
        <v>85</v>
      </c>
      <c r="M76" s="7" t="s">
        <v>74</v>
      </c>
      <c r="N76" s="7" t="s">
        <v>75</v>
      </c>
      <c r="O76" s="7" t="s">
        <v>45</v>
      </c>
      <c r="P76" s="6">
        <v>30</v>
      </c>
      <c r="Q76" s="11">
        <v>3.5</v>
      </c>
      <c r="R76" s="7" t="b">
        <v>0</v>
      </c>
      <c r="S76" s="7" t="s">
        <v>30</v>
      </c>
      <c r="T76" s="6">
        <v>1520</v>
      </c>
      <c r="U76" s="7" t="s">
        <v>58</v>
      </c>
      <c r="V76" s="12" t="s">
        <v>79</v>
      </c>
      <c r="W76" s="7" t="s">
        <v>40</v>
      </c>
      <c r="X76" s="6">
        <f t="shared" si="7"/>
        <v>468</v>
      </c>
      <c r="Y76" t="str" cm="1">
        <f t="array" ref="Y76">_xlfn.IFS(E76=7.99,"BASIC",E76=11.99,"STANDARD",E76=15.99,"PREMIUM")</f>
        <v>BASIC</v>
      </c>
      <c r="Z76" s="4">
        <f t="shared" si="5"/>
        <v>3.4551282051282048</v>
      </c>
      <c r="AA76" s="3" t="str" cm="1">
        <f t="array" ref="AA76">_xlfn.IFS(
(F76/(X76/7)) &lt; 5, "Casual",
AND((F76/(X76/7)) &gt;= 5, (F76/(X76/7)) &lt; 15), "Regular",
(F76/(X76/7)) &gt;= 15, "Power"
)</f>
        <v>Casual</v>
      </c>
      <c r="AB76" s="3">
        <f t="shared" si="8"/>
        <v>0.45742574257425744</v>
      </c>
      <c r="AC76" t="str">
        <f t="shared" si="6"/>
        <v>Viewers</v>
      </c>
    </row>
    <row r="77" spans="1:29" x14ac:dyDescent="0.3">
      <c r="A77" s="6">
        <v>7751</v>
      </c>
      <c r="B77" s="7" t="s">
        <v>190</v>
      </c>
      <c r="C77" s="10">
        <v>45481</v>
      </c>
      <c r="D77" s="10">
        <v>45619</v>
      </c>
      <c r="E77" s="13">
        <v>11.99</v>
      </c>
      <c r="F77" s="6">
        <v>457</v>
      </c>
      <c r="G77" s="7" t="s">
        <v>48</v>
      </c>
      <c r="H77" s="6">
        <v>2</v>
      </c>
      <c r="I77" s="6">
        <v>5</v>
      </c>
      <c r="J77" s="7" t="b">
        <v>1</v>
      </c>
      <c r="K77" s="6">
        <v>754</v>
      </c>
      <c r="L77" s="6">
        <v>98</v>
      </c>
      <c r="M77" s="7" t="s">
        <v>43</v>
      </c>
      <c r="N77" s="7" t="s">
        <v>28</v>
      </c>
      <c r="O77" s="7" t="s">
        <v>45</v>
      </c>
      <c r="P77" s="6">
        <v>53</v>
      </c>
      <c r="Q77" s="11">
        <v>3.6</v>
      </c>
      <c r="R77" s="7" t="b">
        <v>1</v>
      </c>
      <c r="S77" s="7" t="s">
        <v>30</v>
      </c>
      <c r="T77" s="6">
        <v>935</v>
      </c>
      <c r="U77" s="7" t="s">
        <v>31</v>
      </c>
      <c r="V77" s="12" t="s">
        <v>79</v>
      </c>
      <c r="W77" s="7" t="s">
        <v>40</v>
      </c>
      <c r="X77" s="6">
        <f t="shared" si="7"/>
        <v>138</v>
      </c>
      <c r="Y77" t="str" cm="1">
        <f t="array" ref="Y77">_xlfn.IFS(E77=7.99,"BASIC",E77=11.99,"STANDARD",E77=15.99,"PREMIUM")</f>
        <v>STANDARD</v>
      </c>
      <c r="Z77" s="4">
        <f t="shared" si="5"/>
        <v>23.181159420289855</v>
      </c>
      <c r="AA77" s="3" t="str" cm="1">
        <f t="array" ref="AA77">_xlfn.IFS(
(F77/(X77/7)) &lt; 5, "Casual",
AND((F77/(X77/7)) &gt;= 5, (F77/(X77/7)) &lt; 15), "Regular",
(F77/(X77/7)) &gt;= 15, "Power"
)</f>
        <v>Power</v>
      </c>
      <c r="AB77" s="3">
        <f t="shared" si="8"/>
        <v>0.53638497652582162</v>
      </c>
      <c r="AC77" t="str">
        <f t="shared" si="6"/>
        <v>Viewers</v>
      </c>
    </row>
    <row r="78" spans="1:29" x14ac:dyDescent="0.3">
      <c r="A78" s="6">
        <v>7813</v>
      </c>
      <c r="B78" s="7" t="s">
        <v>191</v>
      </c>
      <c r="C78" s="10">
        <v>45493</v>
      </c>
      <c r="D78" s="10">
        <v>45617</v>
      </c>
      <c r="E78" s="13">
        <v>15.99</v>
      </c>
      <c r="F78" s="6">
        <v>373</v>
      </c>
      <c r="G78" s="7" t="s">
        <v>36</v>
      </c>
      <c r="H78" s="6">
        <v>4</v>
      </c>
      <c r="I78" s="6">
        <v>4</v>
      </c>
      <c r="J78" s="7" t="b">
        <v>1</v>
      </c>
      <c r="K78" s="6">
        <v>782</v>
      </c>
      <c r="L78" s="6">
        <v>7</v>
      </c>
      <c r="M78" s="7" t="s">
        <v>55</v>
      </c>
      <c r="N78" s="7" t="s">
        <v>75</v>
      </c>
      <c r="O78" s="7" t="s">
        <v>57</v>
      </c>
      <c r="P78" s="6">
        <v>18</v>
      </c>
      <c r="Q78" s="11">
        <v>3.2</v>
      </c>
      <c r="R78" s="7" t="b">
        <v>1</v>
      </c>
      <c r="S78" s="7" t="s">
        <v>30</v>
      </c>
      <c r="T78" s="6">
        <v>4641</v>
      </c>
      <c r="U78" s="7" t="s">
        <v>58</v>
      </c>
      <c r="V78" s="12" t="s">
        <v>79</v>
      </c>
      <c r="W78" s="7" t="s">
        <v>40</v>
      </c>
      <c r="X78" s="6">
        <f t="shared" si="7"/>
        <v>124</v>
      </c>
      <c r="Y78" t="str" cm="1">
        <f t="array" ref="Y78">_xlfn.IFS(E78=7.99,"BASIC",E78=11.99,"STANDARD",E78=15.99,"PREMIUM")</f>
        <v>PREMIUM</v>
      </c>
      <c r="Z78" s="4">
        <f t="shared" si="5"/>
        <v>21.056451612903224</v>
      </c>
      <c r="AA78" s="3" t="str" cm="1">
        <f t="array" ref="AA78">_xlfn.IFS(
(F78/(X78/7)) &lt; 5, "Casual",
AND((F78/(X78/7)) &gt;= 5, (F78/(X78/7)) &lt; 15), "Regular",
(F78/(X78/7)) &gt;= 15, "Power"
)</f>
        <v>Power</v>
      </c>
      <c r="AB78" s="3">
        <f t="shared" si="8"/>
        <v>0.47275031685678076</v>
      </c>
      <c r="AC78" t="str">
        <f t="shared" si="6"/>
        <v>Viewers</v>
      </c>
    </row>
    <row r="79" spans="1:29" x14ac:dyDescent="0.3">
      <c r="A79" s="6">
        <v>9028</v>
      </c>
      <c r="B79" s="7" t="s">
        <v>193</v>
      </c>
      <c r="C79" s="10">
        <v>45266</v>
      </c>
      <c r="D79" s="10">
        <v>45624</v>
      </c>
      <c r="E79" s="13">
        <v>15.99</v>
      </c>
      <c r="F79" s="6">
        <v>11</v>
      </c>
      <c r="G79" s="7" t="s">
        <v>26</v>
      </c>
      <c r="H79" s="6">
        <v>1</v>
      </c>
      <c r="I79" s="6">
        <v>4</v>
      </c>
      <c r="J79" s="7" t="b">
        <v>0</v>
      </c>
      <c r="K79" s="6">
        <v>557</v>
      </c>
      <c r="L79" s="6">
        <v>165</v>
      </c>
      <c r="M79" s="7" t="s">
        <v>27</v>
      </c>
      <c r="N79" s="7" t="s">
        <v>28</v>
      </c>
      <c r="O79" s="7" t="s">
        <v>78</v>
      </c>
      <c r="P79" s="6">
        <v>11</v>
      </c>
      <c r="Q79" s="11">
        <v>4</v>
      </c>
      <c r="R79" s="7" t="b">
        <v>1</v>
      </c>
      <c r="S79" s="7" t="s">
        <v>30</v>
      </c>
      <c r="T79" s="6">
        <v>2941</v>
      </c>
      <c r="U79" s="7" t="s">
        <v>31</v>
      </c>
      <c r="V79" s="12" t="s">
        <v>39</v>
      </c>
      <c r="W79" s="7" t="s">
        <v>33</v>
      </c>
      <c r="X79" s="6">
        <f t="shared" si="7"/>
        <v>358</v>
      </c>
      <c r="Y79" t="str" cm="1">
        <f t="array" ref="Y79">_xlfn.IFS(E79=7.99,"BASIC",E79=11.99,"STANDARD",E79=15.99,"PREMIUM")</f>
        <v>PREMIUM</v>
      </c>
      <c r="Z79" s="4">
        <f t="shared" si="5"/>
        <v>0.21508379888268156</v>
      </c>
      <c r="AA79" s="3" t="str" cm="1">
        <f t="array" ref="AA79">_xlfn.IFS(
(F79/(X79/7)) &lt; 5, "Casual",
AND((F79/(X79/7)) &gt;= 5, (F79/(X79/7)) &lt; 15), "Regular",
(F79/(X79/7)) &gt;= 15, "Power"
)</f>
        <v>Casual</v>
      </c>
      <c r="AB79" s="3">
        <f t="shared" si="8"/>
        <v>1.5235457063711912E-2</v>
      </c>
      <c r="AC79" t="str">
        <f t="shared" si="6"/>
        <v xml:space="preserve"> Browsers</v>
      </c>
    </row>
    <row r="80" spans="1:29" x14ac:dyDescent="0.3">
      <c r="A80" s="6">
        <v>6109</v>
      </c>
      <c r="B80" s="7" t="s">
        <v>194</v>
      </c>
      <c r="C80" s="10">
        <v>45224</v>
      </c>
      <c r="D80" s="10">
        <v>45632</v>
      </c>
      <c r="E80" s="13">
        <v>15.99</v>
      </c>
      <c r="F80" s="6">
        <v>425</v>
      </c>
      <c r="G80" s="7" t="s">
        <v>100</v>
      </c>
      <c r="H80" s="6">
        <v>2</v>
      </c>
      <c r="I80" s="6">
        <v>2</v>
      </c>
      <c r="J80" s="7" t="b">
        <v>1</v>
      </c>
      <c r="K80" s="6">
        <v>552</v>
      </c>
      <c r="L80" s="6">
        <v>27</v>
      </c>
      <c r="M80" s="7" t="s">
        <v>74</v>
      </c>
      <c r="N80" s="7" t="s">
        <v>75</v>
      </c>
      <c r="O80" s="7" t="s">
        <v>64</v>
      </c>
      <c r="P80" s="6">
        <v>36</v>
      </c>
      <c r="Q80" s="11">
        <v>4</v>
      </c>
      <c r="R80" s="7" t="b">
        <v>1</v>
      </c>
      <c r="S80" s="7" t="s">
        <v>30</v>
      </c>
      <c r="T80" s="6">
        <v>1325</v>
      </c>
      <c r="U80" s="7" t="s">
        <v>76</v>
      </c>
      <c r="V80" s="12" t="s">
        <v>59</v>
      </c>
      <c r="W80" s="7" t="s">
        <v>33</v>
      </c>
      <c r="X80" s="6">
        <f t="shared" si="7"/>
        <v>408</v>
      </c>
      <c r="Y80" t="str" cm="1">
        <f t="array" ref="Y80">_xlfn.IFS(E80=7.99,"BASIC",E80=11.99,"STANDARD",E80=15.99,"PREMIUM")</f>
        <v>PREMIUM</v>
      </c>
      <c r="Z80" s="4">
        <f t="shared" si="5"/>
        <v>7.291666666666667</v>
      </c>
      <c r="AA80" s="3" t="str" cm="1">
        <f t="array" ref="AA80">_xlfn.IFS(
(F80/(X80/7)) &lt; 5, "Casual",
AND((F80/(X80/7)) &gt;= 5, (F80/(X80/7)) &lt; 15), "Regular",
(F80/(X80/7)) &gt;= 15, "Power"
)</f>
        <v>Regular</v>
      </c>
      <c r="AB80" s="3">
        <f t="shared" si="8"/>
        <v>0.73402417962003452</v>
      </c>
      <c r="AC80" t="str">
        <f t="shared" si="6"/>
        <v>Viewers</v>
      </c>
    </row>
    <row r="81" spans="1:29" x14ac:dyDescent="0.3">
      <c r="A81" s="6">
        <v>2565</v>
      </c>
      <c r="B81" s="7" t="s">
        <v>196</v>
      </c>
      <c r="C81" s="10">
        <v>45550</v>
      </c>
      <c r="D81" s="10">
        <v>45644</v>
      </c>
      <c r="E81" s="13">
        <v>7.99</v>
      </c>
      <c r="F81" s="6">
        <v>231</v>
      </c>
      <c r="G81" s="7" t="s">
        <v>73</v>
      </c>
      <c r="H81" s="6">
        <v>5</v>
      </c>
      <c r="I81" s="6">
        <v>4</v>
      </c>
      <c r="J81" s="7" t="b">
        <v>1</v>
      </c>
      <c r="K81" s="6">
        <v>356</v>
      </c>
      <c r="L81" s="6">
        <v>81</v>
      </c>
      <c r="M81" s="7" t="s">
        <v>68</v>
      </c>
      <c r="N81" s="7" t="s">
        <v>56</v>
      </c>
      <c r="O81" s="7" t="s">
        <v>78</v>
      </c>
      <c r="P81" s="6">
        <v>73</v>
      </c>
      <c r="Q81" s="11">
        <v>3.4</v>
      </c>
      <c r="R81" s="7" t="b">
        <v>0</v>
      </c>
      <c r="S81" s="7" t="s">
        <v>30</v>
      </c>
      <c r="T81" s="6">
        <v>4465</v>
      </c>
      <c r="U81" s="7" t="s">
        <v>76</v>
      </c>
      <c r="V81" s="12" t="s">
        <v>79</v>
      </c>
      <c r="W81" s="7" t="s">
        <v>33</v>
      </c>
      <c r="X81" s="6">
        <f t="shared" si="7"/>
        <v>94</v>
      </c>
      <c r="Y81" t="str" cm="1">
        <f t="array" ref="Y81">_xlfn.IFS(E81=7.99,"BASIC",E81=11.99,"STANDARD",E81=15.99,"PREMIUM")</f>
        <v>BASIC</v>
      </c>
      <c r="Z81" s="4">
        <f t="shared" si="5"/>
        <v>17.202127659574469</v>
      </c>
      <c r="AA81" s="3" t="str" cm="1">
        <f t="array" ref="AA81">_xlfn.IFS(
(F81/(X81/7)) &lt; 5, "Casual",
AND((F81/(X81/7)) &gt;= 5, (F81/(X81/7)) &lt; 15), "Regular",
(F81/(X81/7)) &gt;= 15, "Power"
)</f>
        <v>Power</v>
      </c>
      <c r="AB81" s="3">
        <f t="shared" si="8"/>
        <v>0.52860411899313497</v>
      </c>
      <c r="AC81" t="str">
        <f t="shared" si="6"/>
        <v>Viewers</v>
      </c>
    </row>
    <row r="82" spans="1:29" x14ac:dyDescent="0.3">
      <c r="A82" s="6">
        <v>7551</v>
      </c>
      <c r="B82" s="7" t="s">
        <v>197</v>
      </c>
      <c r="C82" s="10">
        <v>45291</v>
      </c>
      <c r="D82" s="10">
        <v>45628</v>
      </c>
      <c r="E82" s="13">
        <v>15.99</v>
      </c>
      <c r="F82" s="6">
        <v>483</v>
      </c>
      <c r="G82" s="7" t="s">
        <v>36</v>
      </c>
      <c r="H82" s="6">
        <v>2</v>
      </c>
      <c r="I82" s="6">
        <v>4</v>
      </c>
      <c r="J82" s="7" t="b">
        <v>0</v>
      </c>
      <c r="K82" s="6">
        <v>161</v>
      </c>
      <c r="L82" s="6">
        <v>110</v>
      </c>
      <c r="M82" s="7" t="s">
        <v>27</v>
      </c>
      <c r="N82" s="7" t="s">
        <v>75</v>
      </c>
      <c r="O82" s="7" t="s">
        <v>78</v>
      </c>
      <c r="P82" s="6">
        <v>71</v>
      </c>
      <c r="Q82" s="11">
        <v>4.4000000000000004</v>
      </c>
      <c r="R82" s="7" t="b">
        <v>1</v>
      </c>
      <c r="S82" s="7" t="s">
        <v>30</v>
      </c>
      <c r="T82" s="6">
        <v>3517</v>
      </c>
      <c r="U82" s="7" t="s">
        <v>31</v>
      </c>
      <c r="V82" s="12" t="s">
        <v>39</v>
      </c>
      <c r="W82" s="7" t="s">
        <v>40</v>
      </c>
      <c r="X82" s="6">
        <f t="shared" si="7"/>
        <v>337</v>
      </c>
      <c r="Y82" t="str" cm="1">
        <f t="array" ref="Y82">_xlfn.IFS(E82=7.99,"BASIC",E82=11.99,"STANDARD",E82=15.99,"PREMIUM")</f>
        <v>PREMIUM</v>
      </c>
      <c r="Z82" s="4">
        <f t="shared" si="5"/>
        <v>10.032640949554896</v>
      </c>
      <c r="AA82" s="3" t="str" cm="1">
        <f t="array" ref="AA82">_xlfn.IFS(
(F82/(X82/7)) &lt; 5, "Casual",
AND((F82/(X82/7)) &gt;= 5, (F82/(X82/7)) &lt; 15), "Regular",
(F82/(X82/7)) &gt;= 15, "Power"
)</f>
        <v>Regular</v>
      </c>
      <c r="AB82" s="3">
        <f t="shared" si="8"/>
        <v>1.7822878228782288</v>
      </c>
      <c r="AC82" t="str">
        <f t="shared" si="6"/>
        <v>Viewers</v>
      </c>
    </row>
    <row r="83" spans="1:29" x14ac:dyDescent="0.3">
      <c r="A83" s="6">
        <v>6398</v>
      </c>
      <c r="B83" s="7" t="s">
        <v>199</v>
      </c>
      <c r="C83" s="10">
        <v>45158</v>
      </c>
      <c r="D83" s="10">
        <v>45633</v>
      </c>
      <c r="E83" s="13">
        <v>7.99</v>
      </c>
      <c r="F83" s="6">
        <v>55</v>
      </c>
      <c r="G83" s="7" t="s">
        <v>100</v>
      </c>
      <c r="H83" s="6">
        <v>3</v>
      </c>
      <c r="I83" s="6">
        <v>2</v>
      </c>
      <c r="J83" s="7" t="b">
        <v>1</v>
      </c>
      <c r="K83" s="6">
        <v>17</v>
      </c>
      <c r="L83" s="6">
        <v>40</v>
      </c>
      <c r="M83" s="7" t="s">
        <v>49</v>
      </c>
      <c r="N83" s="7" t="s">
        <v>28</v>
      </c>
      <c r="O83" s="7" t="s">
        <v>45</v>
      </c>
      <c r="P83" s="6">
        <v>48</v>
      </c>
      <c r="Q83" s="11">
        <v>3.7</v>
      </c>
      <c r="R83" s="7" t="b">
        <v>0</v>
      </c>
      <c r="S83" s="7" t="s">
        <v>30</v>
      </c>
      <c r="T83" s="6">
        <v>1672</v>
      </c>
      <c r="U83" s="7" t="s">
        <v>58</v>
      </c>
      <c r="V83" s="12" t="s">
        <v>69</v>
      </c>
      <c r="W83" s="7" t="s">
        <v>33</v>
      </c>
      <c r="X83" s="6">
        <f t="shared" si="7"/>
        <v>475</v>
      </c>
      <c r="Y83" t="str" cm="1">
        <f t="array" ref="Y83">_xlfn.IFS(E83=7.99,"BASIC",E83=11.99,"STANDARD",E83=15.99,"PREMIUM")</f>
        <v>BASIC</v>
      </c>
      <c r="Z83" s="4">
        <f t="shared" si="5"/>
        <v>0.81052631578947365</v>
      </c>
      <c r="AA83" s="3" t="str" cm="1">
        <f t="array" ref="AA83">_xlfn.IFS(
(F83/(X83/7)) &lt; 5, "Casual",
AND((F83/(X83/7)) &gt;= 5, (F83/(X83/7)) &lt; 15), "Regular",
(F83/(X83/7)) &gt;= 15, "Power"
)</f>
        <v>Casual</v>
      </c>
      <c r="AB83" s="3">
        <f t="shared" si="8"/>
        <v>0.96491228070175439</v>
      </c>
      <c r="AC83" t="str">
        <f t="shared" si="6"/>
        <v>Viewers</v>
      </c>
    </row>
    <row r="84" spans="1:29" x14ac:dyDescent="0.3">
      <c r="A84" s="6">
        <v>4982</v>
      </c>
      <c r="B84" s="7" t="s">
        <v>201</v>
      </c>
      <c r="C84" s="10">
        <v>45249</v>
      </c>
      <c r="D84" s="10">
        <v>45638</v>
      </c>
      <c r="E84" s="13">
        <v>11.99</v>
      </c>
      <c r="F84" s="6">
        <v>375</v>
      </c>
      <c r="G84" s="7" t="s">
        <v>36</v>
      </c>
      <c r="H84" s="6">
        <v>4</v>
      </c>
      <c r="I84" s="6">
        <v>3</v>
      </c>
      <c r="J84" s="7" t="b">
        <v>0</v>
      </c>
      <c r="K84" s="6">
        <v>366</v>
      </c>
      <c r="L84" s="6">
        <v>13</v>
      </c>
      <c r="M84" s="7" t="s">
        <v>43</v>
      </c>
      <c r="N84" s="7" t="s">
        <v>28</v>
      </c>
      <c r="O84" s="7" t="s">
        <v>29</v>
      </c>
      <c r="P84" s="6">
        <v>73</v>
      </c>
      <c r="Q84" s="11">
        <v>4.8</v>
      </c>
      <c r="R84" s="7" t="b">
        <v>1</v>
      </c>
      <c r="S84" s="7" t="s">
        <v>30</v>
      </c>
      <c r="T84" s="6">
        <v>2164</v>
      </c>
      <c r="U84" s="7" t="s">
        <v>76</v>
      </c>
      <c r="V84" s="12" t="s">
        <v>39</v>
      </c>
      <c r="W84" s="7" t="s">
        <v>93</v>
      </c>
      <c r="X84" s="6">
        <f t="shared" si="7"/>
        <v>389</v>
      </c>
      <c r="Y84" t="str" cm="1">
        <f t="array" ref="Y84">_xlfn.IFS(E84=7.99,"BASIC",E84=11.99,"STANDARD",E84=15.99,"PREMIUM")</f>
        <v>STANDARD</v>
      </c>
      <c r="Z84" s="4">
        <f t="shared" si="5"/>
        <v>6.7480719794344477</v>
      </c>
      <c r="AA84" s="3" t="str" cm="1">
        <f t="array" ref="AA84">_xlfn.IFS(
(F84/(X84/7)) &lt; 5, "Casual",
AND((F84/(X84/7)) &gt;= 5, (F84/(X84/7)) &lt; 15), "Regular",
(F84/(X84/7)) &gt;= 15, "Power"
)</f>
        <v>Regular</v>
      </c>
      <c r="AB84" s="3">
        <f t="shared" si="8"/>
        <v>0.98944591029023743</v>
      </c>
      <c r="AC84" t="str">
        <f t="shared" si="6"/>
        <v>Viewers</v>
      </c>
    </row>
    <row r="85" spans="1:29" x14ac:dyDescent="0.3">
      <c r="A85" s="6">
        <v>8108</v>
      </c>
      <c r="B85" s="7" t="s">
        <v>202</v>
      </c>
      <c r="C85" s="10">
        <v>45585</v>
      </c>
      <c r="D85" s="10">
        <v>45626</v>
      </c>
      <c r="E85" s="13">
        <v>11.99</v>
      </c>
      <c r="F85" s="6">
        <v>336</v>
      </c>
      <c r="G85" s="7" t="s">
        <v>73</v>
      </c>
      <c r="H85" s="6">
        <v>1</v>
      </c>
      <c r="I85" s="6">
        <v>2</v>
      </c>
      <c r="J85" s="7" t="b">
        <v>0</v>
      </c>
      <c r="K85" s="6">
        <v>758</v>
      </c>
      <c r="L85" s="6">
        <v>32</v>
      </c>
      <c r="M85" s="7" t="s">
        <v>43</v>
      </c>
      <c r="N85" s="7" t="s">
        <v>75</v>
      </c>
      <c r="O85" s="7" t="s">
        <v>37</v>
      </c>
      <c r="P85" s="6">
        <v>64</v>
      </c>
      <c r="Q85" s="11">
        <v>5</v>
      </c>
      <c r="R85" s="7" t="b">
        <v>0</v>
      </c>
      <c r="S85" s="7" t="s">
        <v>30</v>
      </c>
      <c r="T85" s="6">
        <v>3663</v>
      </c>
      <c r="U85" s="7" t="s">
        <v>31</v>
      </c>
      <c r="V85" s="12" t="s">
        <v>59</v>
      </c>
      <c r="W85" s="7" t="s">
        <v>40</v>
      </c>
      <c r="X85" s="6">
        <f t="shared" si="7"/>
        <v>41</v>
      </c>
      <c r="Y85" t="str" cm="1">
        <f t="array" ref="Y85">_xlfn.IFS(E85=7.99,"BASIC",E85=11.99,"STANDARD",E85=15.99,"PREMIUM")</f>
        <v>STANDARD</v>
      </c>
      <c r="Z85" s="4">
        <f t="shared" si="5"/>
        <v>57.365853658536587</v>
      </c>
      <c r="AA85" s="3" t="str" cm="1">
        <f t="array" ref="AA85">_xlfn.IFS(
(F85/(X85/7)) &lt; 5, "Casual",
AND((F85/(X85/7)) &gt;= 5, (F85/(X85/7)) &lt; 15), "Regular",
(F85/(X85/7)) &gt;= 15, "Power"
)</f>
        <v>Power</v>
      </c>
      <c r="AB85" s="3">
        <f t="shared" si="8"/>
        <v>0.42531645569620252</v>
      </c>
      <c r="AC85" t="str">
        <f t="shared" si="6"/>
        <v>Viewers</v>
      </c>
    </row>
    <row r="86" spans="1:29" x14ac:dyDescent="0.3">
      <c r="A86" s="6">
        <v>6779</v>
      </c>
      <c r="B86" s="7" t="s">
        <v>204</v>
      </c>
      <c r="C86" s="10">
        <v>45495</v>
      </c>
      <c r="D86" s="10">
        <v>45629</v>
      </c>
      <c r="E86" s="13">
        <v>7.99</v>
      </c>
      <c r="F86" s="6">
        <v>196</v>
      </c>
      <c r="G86" s="7" t="s">
        <v>100</v>
      </c>
      <c r="H86" s="6">
        <v>1</v>
      </c>
      <c r="I86" s="6">
        <v>6</v>
      </c>
      <c r="J86" s="7" t="b">
        <v>1</v>
      </c>
      <c r="K86" s="6">
        <v>936</v>
      </c>
      <c r="L86" s="6">
        <v>152</v>
      </c>
      <c r="M86" s="7" t="s">
        <v>68</v>
      </c>
      <c r="N86" s="7" t="s">
        <v>28</v>
      </c>
      <c r="O86" s="7" t="s">
        <v>45</v>
      </c>
      <c r="P86" s="6">
        <v>3</v>
      </c>
      <c r="Q86" s="11">
        <v>3.1</v>
      </c>
      <c r="R86" s="7" t="b">
        <v>1</v>
      </c>
      <c r="S86" s="7" t="s">
        <v>30</v>
      </c>
      <c r="T86" s="6">
        <v>2845</v>
      </c>
      <c r="U86" s="7" t="s">
        <v>31</v>
      </c>
      <c r="V86" s="12" t="s">
        <v>69</v>
      </c>
      <c r="W86" s="7" t="s">
        <v>93</v>
      </c>
      <c r="X86" s="6">
        <f t="shared" si="7"/>
        <v>134</v>
      </c>
      <c r="Y86" t="str" cm="1">
        <f t="array" ref="Y86">_xlfn.IFS(E86=7.99,"BASIC",E86=11.99,"STANDARD",E86=15.99,"PREMIUM")</f>
        <v>BASIC</v>
      </c>
      <c r="Z86" s="4">
        <f t="shared" si="5"/>
        <v>10.238805970149254</v>
      </c>
      <c r="AA86" s="3" t="str" cm="1">
        <f t="array" ref="AA86">_xlfn.IFS(
(F86/(X86/7)) &lt; 5, "Casual",
AND((F86/(X86/7)) &gt;= 5, (F86/(X86/7)) &lt; 15), "Regular",
(F86/(X86/7)) &gt;= 15, "Power"
)</f>
        <v>Regular</v>
      </c>
      <c r="AB86" s="3">
        <f t="shared" si="8"/>
        <v>0.18014705882352941</v>
      </c>
      <c r="AC86" t="str">
        <f t="shared" si="6"/>
        <v>Viewers</v>
      </c>
    </row>
    <row r="87" spans="1:29" x14ac:dyDescent="0.3">
      <c r="A87" s="6">
        <v>1169</v>
      </c>
      <c r="B87" s="7" t="s">
        <v>157</v>
      </c>
      <c r="C87" s="10">
        <v>45525</v>
      </c>
      <c r="D87" s="10">
        <v>45629</v>
      </c>
      <c r="E87" s="13">
        <v>11.99</v>
      </c>
      <c r="F87" s="6">
        <v>285</v>
      </c>
      <c r="G87" s="7" t="s">
        <v>36</v>
      </c>
      <c r="H87" s="6">
        <v>3</v>
      </c>
      <c r="I87" s="6">
        <v>1</v>
      </c>
      <c r="J87" s="7" t="b">
        <v>0</v>
      </c>
      <c r="K87" s="6">
        <v>13</v>
      </c>
      <c r="L87" s="6">
        <v>103</v>
      </c>
      <c r="M87" s="7" t="s">
        <v>68</v>
      </c>
      <c r="N87" s="7" t="s">
        <v>56</v>
      </c>
      <c r="O87" s="7" t="s">
        <v>57</v>
      </c>
      <c r="P87" s="6">
        <v>11</v>
      </c>
      <c r="Q87" s="11">
        <v>3.7</v>
      </c>
      <c r="R87" s="7" t="b">
        <v>0</v>
      </c>
      <c r="S87" s="7" t="s">
        <v>30</v>
      </c>
      <c r="T87" s="6">
        <v>2390</v>
      </c>
      <c r="U87" s="7" t="s">
        <v>65</v>
      </c>
      <c r="V87" s="12" t="s">
        <v>59</v>
      </c>
      <c r="W87" s="7" t="s">
        <v>60</v>
      </c>
      <c r="X87" s="6">
        <f t="shared" si="7"/>
        <v>104</v>
      </c>
      <c r="Y87" t="str" cm="1">
        <f t="array" ref="Y87">_xlfn.IFS(E87=7.99,"BASIC",E87=11.99,"STANDARD",E87=15.99,"PREMIUM")</f>
        <v>STANDARD</v>
      </c>
      <c r="Z87" s="4">
        <f t="shared" si="5"/>
        <v>19.182692307692307</v>
      </c>
      <c r="AA87" s="3" t="str" cm="1">
        <f t="array" ref="AA87">_xlfn.IFS(
(F87/(X87/7)) &lt; 5, "Casual",
AND((F87/(X87/7)) &gt;= 5, (F87/(X87/7)) &lt; 15), "Regular",
(F87/(X87/7)) &gt;= 15, "Power"
)</f>
        <v>Power</v>
      </c>
      <c r="AB87" s="3">
        <f t="shared" si="8"/>
        <v>2.4568965517241379</v>
      </c>
      <c r="AC87" t="str">
        <f t="shared" si="6"/>
        <v>Viewers</v>
      </c>
    </row>
    <row r="88" spans="1:29" x14ac:dyDescent="0.3">
      <c r="A88" s="6">
        <v>5067</v>
      </c>
      <c r="B88" s="7" t="s">
        <v>207</v>
      </c>
      <c r="C88" s="10">
        <v>45535</v>
      </c>
      <c r="D88" s="10">
        <v>45623</v>
      </c>
      <c r="E88" s="13">
        <v>7.99</v>
      </c>
      <c r="F88" s="6">
        <v>155</v>
      </c>
      <c r="G88" s="7" t="s">
        <v>51</v>
      </c>
      <c r="H88" s="6">
        <v>5</v>
      </c>
      <c r="I88" s="6">
        <v>1</v>
      </c>
      <c r="J88" s="7" t="b">
        <v>1</v>
      </c>
      <c r="K88" s="6">
        <v>305</v>
      </c>
      <c r="L88" s="6">
        <v>77</v>
      </c>
      <c r="M88" s="7" t="s">
        <v>27</v>
      </c>
      <c r="N88" s="7" t="s">
        <v>75</v>
      </c>
      <c r="O88" s="7" t="s">
        <v>78</v>
      </c>
      <c r="P88" s="6">
        <v>66</v>
      </c>
      <c r="Q88" s="11">
        <v>3.4</v>
      </c>
      <c r="R88" s="7" t="b">
        <v>0</v>
      </c>
      <c r="S88" s="7" t="s">
        <v>30</v>
      </c>
      <c r="T88" s="6">
        <v>234</v>
      </c>
      <c r="U88" s="7" t="s">
        <v>31</v>
      </c>
      <c r="V88" s="12" t="s">
        <v>79</v>
      </c>
      <c r="W88" s="7" t="s">
        <v>93</v>
      </c>
      <c r="X88" s="6">
        <f t="shared" si="7"/>
        <v>88</v>
      </c>
      <c r="Y88" t="str" cm="1">
        <f t="array" ref="Y88">_xlfn.IFS(E88=7.99,"BASIC",E88=11.99,"STANDARD",E88=15.99,"PREMIUM")</f>
        <v>BASIC</v>
      </c>
      <c r="Z88" s="4">
        <f t="shared" si="5"/>
        <v>12.329545454545455</v>
      </c>
      <c r="AA88" s="3" t="str" cm="1">
        <f t="array" ref="AA88">_xlfn.IFS(
(F88/(X88/7)) &lt; 5, "Casual",
AND((F88/(X88/7)) &gt;= 5, (F88/(X88/7)) &lt; 15), "Regular",
(F88/(X88/7)) &gt;= 15, "Power"
)</f>
        <v>Regular</v>
      </c>
      <c r="AB88" s="3">
        <f t="shared" si="8"/>
        <v>0.40575916230366493</v>
      </c>
      <c r="AC88" t="str">
        <f t="shared" si="6"/>
        <v>Viewers</v>
      </c>
    </row>
    <row r="89" spans="1:29" x14ac:dyDescent="0.3">
      <c r="A89" s="6">
        <v>5299</v>
      </c>
      <c r="B89" s="7" t="s">
        <v>209</v>
      </c>
      <c r="C89" s="10">
        <v>45046</v>
      </c>
      <c r="D89" s="10">
        <v>45628</v>
      </c>
      <c r="E89" s="13">
        <v>7.99</v>
      </c>
      <c r="F89" s="6">
        <v>275</v>
      </c>
      <c r="G89" s="7" t="s">
        <v>73</v>
      </c>
      <c r="H89" s="6">
        <v>2</v>
      </c>
      <c r="I89" s="6">
        <v>2</v>
      </c>
      <c r="J89" s="7" t="b">
        <v>1</v>
      </c>
      <c r="K89" s="6">
        <v>755</v>
      </c>
      <c r="L89" s="6">
        <v>166</v>
      </c>
      <c r="M89" s="7" t="s">
        <v>74</v>
      </c>
      <c r="N89" s="7" t="s">
        <v>44</v>
      </c>
      <c r="O89" s="7" t="s">
        <v>45</v>
      </c>
      <c r="P89" s="6">
        <v>45</v>
      </c>
      <c r="Q89" s="11">
        <v>3.9</v>
      </c>
      <c r="R89" s="7" t="b">
        <v>0</v>
      </c>
      <c r="S89" s="7" t="s">
        <v>30</v>
      </c>
      <c r="T89" s="6">
        <v>3975</v>
      </c>
      <c r="U89" s="7" t="s">
        <v>76</v>
      </c>
      <c r="V89" s="12" t="s">
        <v>32</v>
      </c>
      <c r="W89" s="7" t="s">
        <v>60</v>
      </c>
      <c r="X89" s="6">
        <f t="shared" si="7"/>
        <v>582</v>
      </c>
      <c r="Y89" t="str" cm="1">
        <f t="array" ref="Y89">_xlfn.IFS(E89=7.99,"BASIC",E89=11.99,"STANDARD",E89=15.99,"PREMIUM")</f>
        <v>BASIC</v>
      </c>
      <c r="Z89" s="4">
        <f t="shared" si="5"/>
        <v>3.3075601374570449</v>
      </c>
      <c r="AA89" s="3" t="str" cm="1">
        <f t="array" ref="AA89">_xlfn.IFS(
(F89/(X89/7)) &lt; 5, "Casual",
AND((F89/(X89/7)) &gt;= 5, (F89/(X89/7)) &lt; 15), "Regular",
(F89/(X89/7)) &gt;= 15, "Power"
)</f>
        <v>Casual</v>
      </c>
      <c r="AB89" s="3">
        <f t="shared" si="8"/>
        <v>0.29858849077090122</v>
      </c>
      <c r="AC89" t="str">
        <f t="shared" si="6"/>
        <v>Viewers</v>
      </c>
    </row>
    <row r="90" spans="1:29" x14ac:dyDescent="0.3">
      <c r="A90" s="6">
        <v>3978</v>
      </c>
      <c r="B90" s="7" t="s">
        <v>143</v>
      </c>
      <c r="C90" s="10">
        <v>45427</v>
      </c>
      <c r="D90" s="10">
        <v>45624</v>
      </c>
      <c r="E90" s="13">
        <v>7.99</v>
      </c>
      <c r="F90" s="6">
        <v>341</v>
      </c>
      <c r="G90" s="7" t="s">
        <v>36</v>
      </c>
      <c r="H90" s="6">
        <v>3</v>
      </c>
      <c r="I90" s="6">
        <v>4</v>
      </c>
      <c r="J90" s="7" t="b">
        <v>0</v>
      </c>
      <c r="K90" s="6">
        <v>27</v>
      </c>
      <c r="L90" s="6">
        <v>82</v>
      </c>
      <c r="M90" s="7" t="s">
        <v>27</v>
      </c>
      <c r="N90" s="7" t="s">
        <v>44</v>
      </c>
      <c r="O90" s="7" t="s">
        <v>37</v>
      </c>
      <c r="P90" s="6">
        <v>98</v>
      </c>
      <c r="Q90" s="11">
        <v>3.7</v>
      </c>
      <c r="R90" s="7" t="b">
        <v>1</v>
      </c>
      <c r="S90" s="7" t="s">
        <v>30</v>
      </c>
      <c r="T90" s="6">
        <v>561</v>
      </c>
      <c r="U90" s="7" t="s">
        <v>76</v>
      </c>
      <c r="V90" s="12" t="s">
        <v>69</v>
      </c>
      <c r="W90" s="7" t="s">
        <v>93</v>
      </c>
      <c r="X90" s="6">
        <f t="shared" si="7"/>
        <v>197</v>
      </c>
      <c r="Y90" t="str" cm="1">
        <f t="array" ref="Y90">_xlfn.IFS(E90=7.99,"BASIC",E90=11.99,"STANDARD",E90=15.99,"PREMIUM")</f>
        <v>BASIC</v>
      </c>
      <c r="Z90" s="4">
        <f t="shared" si="5"/>
        <v>12.116751269035532</v>
      </c>
      <c r="AA90" s="3" t="str" cm="1">
        <f t="array" ref="AA90">_xlfn.IFS(
(F90/(X90/7)) &lt; 5, "Casual",
AND((F90/(X90/7)) &gt;= 5, (F90/(X90/7)) &lt; 15), "Regular",
(F90/(X90/7)) &gt;= 15, "Power"
)</f>
        <v>Regular</v>
      </c>
      <c r="AB90" s="3">
        <f t="shared" si="8"/>
        <v>3.1284403669724772</v>
      </c>
      <c r="AC90" t="str">
        <f t="shared" si="6"/>
        <v>Viewers</v>
      </c>
    </row>
    <row r="91" spans="1:29" x14ac:dyDescent="0.3">
      <c r="A91" s="6">
        <v>8634</v>
      </c>
      <c r="B91" s="7" t="s">
        <v>211</v>
      </c>
      <c r="C91" s="10">
        <v>45140</v>
      </c>
      <c r="D91" s="10">
        <v>45639</v>
      </c>
      <c r="E91" s="13">
        <v>15.99</v>
      </c>
      <c r="F91" s="6">
        <v>321</v>
      </c>
      <c r="G91" s="7" t="s">
        <v>36</v>
      </c>
      <c r="H91" s="6">
        <v>2</v>
      </c>
      <c r="I91" s="6">
        <v>2</v>
      </c>
      <c r="J91" s="7" t="b">
        <v>0</v>
      </c>
      <c r="K91" s="6">
        <v>676</v>
      </c>
      <c r="L91" s="6">
        <v>81</v>
      </c>
      <c r="M91" s="7" t="s">
        <v>27</v>
      </c>
      <c r="N91" s="7" t="s">
        <v>75</v>
      </c>
      <c r="O91" s="7" t="s">
        <v>64</v>
      </c>
      <c r="P91" s="6">
        <v>65</v>
      </c>
      <c r="Q91" s="11">
        <v>4.5999999999999996</v>
      </c>
      <c r="R91" s="7" t="b">
        <v>0</v>
      </c>
      <c r="S91" s="7" t="s">
        <v>30</v>
      </c>
      <c r="T91" s="6">
        <v>4647</v>
      </c>
      <c r="U91" s="7" t="s">
        <v>76</v>
      </c>
      <c r="V91" s="12" t="s">
        <v>79</v>
      </c>
      <c r="W91" s="7" t="s">
        <v>33</v>
      </c>
      <c r="X91" s="6">
        <f t="shared" si="7"/>
        <v>499</v>
      </c>
      <c r="Y91" t="str" cm="1">
        <f t="array" ref="Y91">_xlfn.IFS(E91=7.99,"BASIC",E91=11.99,"STANDARD",E91=15.99,"PREMIUM")</f>
        <v>PREMIUM</v>
      </c>
      <c r="Z91" s="4">
        <f t="shared" si="5"/>
        <v>4.5030060120240476</v>
      </c>
      <c r="AA91" s="3" t="str" cm="1">
        <f t="array" ref="AA91">_xlfn.IFS(
(F91/(X91/7)) &lt; 5, "Casual",
AND((F91/(X91/7)) &gt;= 5, (F91/(X91/7)) &lt; 15), "Regular",
(F91/(X91/7)) &gt;= 15, "Power"
)</f>
        <v>Casual</v>
      </c>
      <c r="AB91" s="3">
        <f t="shared" si="8"/>
        <v>0.42404227212681639</v>
      </c>
      <c r="AC91" t="str">
        <f t="shared" si="6"/>
        <v>Viewers</v>
      </c>
    </row>
    <row r="92" spans="1:29" x14ac:dyDescent="0.3">
      <c r="A92" s="6">
        <v>9635</v>
      </c>
      <c r="B92" s="7" t="s">
        <v>212</v>
      </c>
      <c r="C92" s="10">
        <v>45278</v>
      </c>
      <c r="D92" s="10">
        <v>45622</v>
      </c>
      <c r="E92" s="13">
        <v>11.99</v>
      </c>
      <c r="F92" s="6">
        <v>456</v>
      </c>
      <c r="G92" s="7" t="s">
        <v>73</v>
      </c>
      <c r="H92" s="6">
        <v>2</v>
      </c>
      <c r="I92" s="6">
        <v>5</v>
      </c>
      <c r="J92" s="7" t="b">
        <v>0</v>
      </c>
      <c r="K92" s="6">
        <v>734</v>
      </c>
      <c r="L92" s="6">
        <v>83</v>
      </c>
      <c r="M92" s="7" t="s">
        <v>55</v>
      </c>
      <c r="N92" s="7" t="s">
        <v>44</v>
      </c>
      <c r="O92" s="7" t="s">
        <v>78</v>
      </c>
      <c r="P92" s="6">
        <v>87</v>
      </c>
      <c r="Q92" s="11">
        <v>3.8</v>
      </c>
      <c r="R92" s="7" t="b">
        <v>1</v>
      </c>
      <c r="S92" s="7" t="s">
        <v>30</v>
      </c>
      <c r="T92" s="6">
        <v>581</v>
      </c>
      <c r="U92" s="7" t="s">
        <v>76</v>
      </c>
      <c r="V92" s="12" t="s">
        <v>32</v>
      </c>
      <c r="W92" s="7" t="s">
        <v>40</v>
      </c>
      <c r="X92" s="6">
        <f t="shared" si="7"/>
        <v>344</v>
      </c>
      <c r="Y92" t="str" cm="1">
        <f t="array" ref="Y92">_xlfn.IFS(E92=7.99,"BASIC",E92=11.99,"STANDARD",E92=15.99,"PREMIUM")</f>
        <v>STANDARD</v>
      </c>
      <c r="Z92" s="4">
        <f t="shared" si="5"/>
        <v>9.2790697674418592</v>
      </c>
      <c r="AA92" s="3" t="str" cm="1">
        <f t="array" ref="AA92">_xlfn.IFS(
(F92/(X92/7)) &lt; 5, "Casual",
AND((F92/(X92/7)) &gt;= 5, (F92/(X92/7)) &lt; 15), "Regular",
(F92/(X92/7)) &gt;= 15, "Power"
)</f>
        <v>Regular</v>
      </c>
      <c r="AB92" s="3">
        <f t="shared" si="8"/>
        <v>0.55813953488372092</v>
      </c>
      <c r="AC92" t="str">
        <f t="shared" si="6"/>
        <v>Viewers</v>
      </c>
    </row>
    <row r="93" spans="1:29" x14ac:dyDescent="0.3">
      <c r="A93" s="6">
        <v>1776</v>
      </c>
      <c r="B93" s="7" t="s">
        <v>215</v>
      </c>
      <c r="C93" s="10">
        <v>45221</v>
      </c>
      <c r="D93" s="10">
        <v>45616</v>
      </c>
      <c r="E93" s="13">
        <v>15.99</v>
      </c>
      <c r="F93" s="6">
        <v>15</v>
      </c>
      <c r="G93" s="7" t="s">
        <v>73</v>
      </c>
      <c r="H93" s="6">
        <v>1</v>
      </c>
      <c r="I93" s="6">
        <v>4</v>
      </c>
      <c r="J93" s="7" t="b">
        <v>0</v>
      </c>
      <c r="K93" s="6">
        <v>687</v>
      </c>
      <c r="L93" s="6">
        <v>183</v>
      </c>
      <c r="M93" s="7" t="s">
        <v>92</v>
      </c>
      <c r="N93" s="7" t="s">
        <v>75</v>
      </c>
      <c r="O93" s="7" t="s">
        <v>29</v>
      </c>
      <c r="P93" s="6">
        <v>46</v>
      </c>
      <c r="Q93" s="11">
        <v>4.2</v>
      </c>
      <c r="R93" s="7" t="b">
        <v>1</v>
      </c>
      <c r="S93" s="7" t="s">
        <v>30</v>
      </c>
      <c r="T93" s="6">
        <v>1250</v>
      </c>
      <c r="U93" s="7" t="s">
        <v>38</v>
      </c>
      <c r="V93" s="12" t="s">
        <v>79</v>
      </c>
      <c r="W93" s="7" t="s">
        <v>33</v>
      </c>
      <c r="X93" s="6">
        <f t="shared" si="7"/>
        <v>395</v>
      </c>
      <c r="Y93" t="str" cm="1">
        <f t="array" ref="Y93">_xlfn.IFS(E93=7.99,"BASIC",E93=11.99,"STANDARD",E93=15.99,"PREMIUM")</f>
        <v>PREMIUM</v>
      </c>
      <c r="Z93" s="4">
        <f t="shared" si="5"/>
        <v>0.26582278481012656</v>
      </c>
      <c r="AA93" s="3" t="str" cm="1">
        <f t="array" ref="AA93">_xlfn.IFS(
(F93/(X93/7)) &lt; 5, "Casual",
AND((F93/(X93/7)) &gt;= 5, (F93/(X93/7)) &lt; 15), "Regular",
(F93/(X93/7)) &gt;= 15, "Power"
)</f>
        <v>Casual</v>
      </c>
      <c r="AB93" s="3">
        <f t="shared" si="8"/>
        <v>1.7241379310344827E-2</v>
      </c>
      <c r="AC93" t="str">
        <f t="shared" si="6"/>
        <v xml:space="preserve"> Browsers</v>
      </c>
    </row>
    <row r="94" spans="1:29" x14ac:dyDescent="0.3">
      <c r="A94" s="6">
        <v>9703</v>
      </c>
      <c r="B94" s="7" t="s">
        <v>106</v>
      </c>
      <c r="C94" s="10">
        <v>45351</v>
      </c>
      <c r="D94" s="10">
        <v>45638</v>
      </c>
      <c r="E94" s="13">
        <v>11.99</v>
      </c>
      <c r="F94" s="6">
        <v>410</v>
      </c>
      <c r="G94" s="7" t="s">
        <v>48</v>
      </c>
      <c r="H94" s="6">
        <v>3</v>
      </c>
      <c r="I94" s="6">
        <v>5</v>
      </c>
      <c r="J94" s="7" t="b">
        <v>0</v>
      </c>
      <c r="K94" s="6">
        <v>826</v>
      </c>
      <c r="L94" s="6">
        <v>182</v>
      </c>
      <c r="M94" s="7" t="s">
        <v>49</v>
      </c>
      <c r="N94" s="7" t="s">
        <v>75</v>
      </c>
      <c r="O94" s="7" t="s">
        <v>64</v>
      </c>
      <c r="P94" s="6">
        <v>69</v>
      </c>
      <c r="Q94" s="11">
        <v>4.2</v>
      </c>
      <c r="R94" s="7" t="b">
        <v>0</v>
      </c>
      <c r="S94" s="7" t="s">
        <v>30</v>
      </c>
      <c r="T94" s="6">
        <v>3441</v>
      </c>
      <c r="U94" s="7" t="s">
        <v>31</v>
      </c>
      <c r="V94" s="12" t="s">
        <v>32</v>
      </c>
      <c r="W94" s="7" t="s">
        <v>40</v>
      </c>
      <c r="X94" s="6">
        <f t="shared" si="7"/>
        <v>287</v>
      </c>
      <c r="Y94" t="str" cm="1">
        <f t="array" ref="Y94">_xlfn.IFS(E94=7.99,"BASIC",E94=11.99,"STANDARD",E94=15.99,"PREMIUM")</f>
        <v>STANDARD</v>
      </c>
      <c r="Z94" s="4">
        <f t="shared" si="5"/>
        <v>10</v>
      </c>
      <c r="AA94" s="3" t="str" cm="1">
        <f t="array" ref="AA94">_xlfn.IFS(
(F94/(X94/7)) &lt; 5, "Casual",
AND((F94/(X94/7)) &gt;= 5, (F94/(X94/7)) &lt; 15), "Regular",
(F94/(X94/7)) &gt;= 15, "Power"
)</f>
        <v>Regular</v>
      </c>
      <c r="AB94" s="3">
        <f t="shared" si="8"/>
        <v>0.40674603174603174</v>
      </c>
      <c r="AC94" t="str">
        <f t="shared" si="6"/>
        <v>Viewers</v>
      </c>
    </row>
    <row r="95" spans="1:29" x14ac:dyDescent="0.3">
      <c r="A95" s="6">
        <v>3498</v>
      </c>
      <c r="B95" s="7" t="s">
        <v>218</v>
      </c>
      <c r="C95" s="10">
        <v>45180</v>
      </c>
      <c r="D95" s="10">
        <v>45627</v>
      </c>
      <c r="E95" s="13">
        <v>15.99</v>
      </c>
      <c r="F95" s="6">
        <v>29</v>
      </c>
      <c r="G95" s="7" t="s">
        <v>36</v>
      </c>
      <c r="H95" s="6">
        <v>2</v>
      </c>
      <c r="I95" s="6">
        <v>4</v>
      </c>
      <c r="J95" s="7" t="b">
        <v>1</v>
      </c>
      <c r="K95" s="6">
        <v>450</v>
      </c>
      <c r="L95" s="6">
        <v>67</v>
      </c>
      <c r="M95" s="7" t="s">
        <v>55</v>
      </c>
      <c r="N95" s="7" t="s">
        <v>56</v>
      </c>
      <c r="O95" s="7" t="s">
        <v>37</v>
      </c>
      <c r="P95" s="6">
        <v>52</v>
      </c>
      <c r="Q95" s="11">
        <v>3.3</v>
      </c>
      <c r="R95" s="7" t="b">
        <v>0</v>
      </c>
      <c r="S95" s="7" t="s">
        <v>30</v>
      </c>
      <c r="T95" s="6">
        <v>3211</v>
      </c>
      <c r="U95" s="7" t="s">
        <v>31</v>
      </c>
      <c r="V95" s="12" t="s">
        <v>79</v>
      </c>
      <c r="W95" s="7" t="s">
        <v>60</v>
      </c>
      <c r="X95" s="6">
        <f t="shared" si="7"/>
        <v>447</v>
      </c>
      <c r="Y95" t="str" cm="1">
        <f t="array" ref="Y95">_xlfn.IFS(E95=7.99,"BASIC",E95=11.99,"STANDARD",E95=15.99,"PREMIUM")</f>
        <v>PREMIUM</v>
      </c>
      <c r="Z95" s="4">
        <f t="shared" si="5"/>
        <v>0.45413870246085014</v>
      </c>
      <c r="AA95" s="3" t="str" cm="1">
        <f t="array" ref="AA95">_xlfn.IFS(
(F95/(X95/7)) &lt; 5, "Casual",
AND((F95/(X95/7)) &gt;= 5, (F95/(X95/7)) &lt; 15), "Regular",
(F95/(X95/7)) &gt;= 15, "Power"
)</f>
        <v>Casual</v>
      </c>
      <c r="AB95" s="3">
        <f t="shared" si="8"/>
        <v>5.6092843326885883E-2</v>
      </c>
      <c r="AC95" t="str">
        <f t="shared" si="6"/>
        <v xml:space="preserve"> Browsers</v>
      </c>
    </row>
    <row r="96" spans="1:29" x14ac:dyDescent="0.3">
      <c r="A96" s="6">
        <v>4260</v>
      </c>
      <c r="B96" s="7" t="s">
        <v>219</v>
      </c>
      <c r="C96" s="10">
        <v>45467</v>
      </c>
      <c r="D96" s="10">
        <v>45642</v>
      </c>
      <c r="E96" s="13">
        <v>7.99</v>
      </c>
      <c r="F96" s="6">
        <v>427</v>
      </c>
      <c r="G96" s="7" t="s">
        <v>63</v>
      </c>
      <c r="H96" s="6">
        <v>1</v>
      </c>
      <c r="I96" s="6">
        <v>1</v>
      </c>
      <c r="J96" s="7" t="b">
        <v>0</v>
      </c>
      <c r="K96" s="6">
        <v>159</v>
      </c>
      <c r="L96" s="6">
        <v>98</v>
      </c>
      <c r="M96" s="7" t="s">
        <v>74</v>
      </c>
      <c r="N96" s="7" t="s">
        <v>56</v>
      </c>
      <c r="O96" s="7" t="s">
        <v>57</v>
      </c>
      <c r="P96" s="6">
        <v>66</v>
      </c>
      <c r="Q96" s="11">
        <v>3.3</v>
      </c>
      <c r="R96" s="7" t="b">
        <v>0</v>
      </c>
      <c r="S96" s="7" t="s">
        <v>30</v>
      </c>
      <c r="T96" s="6">
        <v>647</v>
      </c>
      <c r="U96" s="7" t="s">
        <v>31</v>
      </c>
      <c r="V96" s="12" t="s">
        <v>79</v>
      </c>
      <c r="W96" s="7" t="s">
        <v>33</v>
      </c>
      <c r="X96" s="6">
        <f t="shared" si="7"/>
        <v>175</v>
      </c>
      <c r="Y96" t="str" cm="1">
        <f t="array" ref="Y96">_xlfn.IFS(E96=7.99,"BASIC",E96=11.99,"STANDARD",E96=15.99,"PREMIUM")</f>
        <v>BASIC</v>
      </c>
      <c r="Z96" s="4">
        <f t="shared" si="5"/>
        <v>17.079999999999998</v>
      </c>
      <c r="AA96" s="3" t="str" cm="1">
        <f t="array" ref="AA96">_xlfn.IFS(
(F96/(X96/7)) &lt; 5, "Casual",
AND((F96/(X96/7)) &gt;= 5, (F96/(X96/7)) &lt; 15), "Regular",
(F96/(X96/7)) &gt;= 15, "Power"
)</f>
        <v>Power</v>
      </c>
      <c r="AB96" s="3">
        <f t="shared" si="8"/>
        <v>1.66147859922179</v>
      </c>
      <c r="AC96" t="str">
        <f t="shared" si="6"/>
        <v>Viewers</v>
      </c>
    </row>
    <row r="97" spans="1:29" x14ac:dyDescent="0.3">
      <c r="A97" s="6">
        <v>7152</v>
      </c>
      <c r="B97" s="7" t="s">
        <v>153</v>
      </c>
      <c r="C97" s="10">
        <v>44962</v>
      </c>
      <c r="D97" s="10">
        <v>45630</v>
      </c>
      <c r="E97" s="13">
        <v>11.99</v>
      </c>
      <c r="F97" s="6">
        <v>166</v>
      </c>
      <c r="G97" s="7" t="s">
        <v>26</v>
      </c>
      <c r="H97" s="6">
        <v>5</v>
      </c>
      <c r="I97" s="6">
        <v>3</v>
      </c>
      <c r="J97" s="7" t="b">
        <v>0</v>
      </c>
      <c r="K97" s="6">
        <v>367</v>
      </c>
      <c r="L97" s="6">
        <v>198</v>
      </c>
      <c r="M97" s="7" t="s">
        <v>55</v>
      </c>
      <c r="N97" s="7" t="s">
        <v>44</v>
      </c>
      <c r="O97" s="7" t="s">
        <v>29</v>
      </c>
      <c r="P97" s="6">
        <v>11</v>
      </c>
      <c r="Q97" s="11">
        <v>4.5999999999999996</v>
      </c>
      <c r="R97" s="7" t="b">
        <v>1</v>
      </c>
      <c r="S97" s="7" t="s">
        <v>30</v>
      </c>
      <c r="T97" s="6">
        <v>3751</v>
      </c>
      <c r="U97" s="7" t="s">
        <v>65</v>
      </c>
      <c r="V97" s="12" t="s">
        <v>32</v>
      </c>
      <c r="W97" s="7" t="s">
        <v>93</v>
      </c>
      <c r="X97" s="6">
        <f t="shared" si="7"/>
        <v>668</v>
      </c>
      <c r="Y97" t="str" cm="1">
        <f t="array" ref="Y97">_xlfn.IFS(E97=7.99,"BASIC",E97=11.99,"STANDARD",E97=15.99,"PREMIUM")</f>
        <v>STANDARD</v>
      </c>
      <c r="Z97" s="4">
        <f t="shared" si="5"/>
        <v>1.7395209580838322</v>
      </c>
      <c r="AA97" s="3" t="str" cm="1">
        <f t="array" ref="AA97">_xlfn.IFS(
(F97/(X97/7)) &lt; 5, "Casual",
AND((F97/(X97/7)) &gt;= 5, (F97/(X97/7)) &lt; 15), "Regular",
(F97/(X97/7)) &gt;= 15, "Power"
)</f>
        <v>Casual</v>
      </c>
      <c r="AB97" s="3">
        <f t="shared" si="8"/>
        <v>0.2938053097345133</v>
      </c>
      <c r="AC97" t="str">
        <f t="shared" si="6"/>
        <v>Viewers</v>
      </c>
    </row>
    <row r="98" spans="1:29" x14ac:dyDescent="0.3">
      <c r="A98" s="6">
        <v>2457</v>
      </c>
      <c r="B98" s="7" t="s">
        <v>179</v>
      </c>
      <c r="C98" s="10">
        <v>45220</v>
      </c>
      <c r="D98" s="10">
        <v>45622</v>
      </c>
      <c r="E98" s="13">
        <v>7.99</v>
      </c>
      <c r="F98" s="6">
        <v>192</v>
      </c>
      <c r="G98" s="7" t="s">
        <v>73</v>
      </c>
      <c r="H98" s="6">
        <v>1</v>
      </c>
      <c r="I98" s="6">
        <v>1</v>
      </c>
      <c r="J98" s="7" t="b">
        <v>0</v>
      </c>
      <c r="K98" s="6">
        <v>786</v>
      </c>
      <c r="L98" s="6">
        <v>140</v>
      </c>
      <c r="M98" s="7" t="s">
        <v>43</v>
      </c>
      <c r="N98" s="7" t="s">
        <v>44</v>
      </c>
      <c r="O98" s="7" t="s">
        <v>78</v>
      </c>
      <c r="P98" s="6">
        <v>95</v>
      </c>
      <c r="Q98" s="11">
        <v>3.4</v>
      </c>
      <c r="R98" s="7" t="b">
        <v>0</v>
      </c>
      <c r="S98" s="7" t="s">
        <v>30</v>
      </c>
      <c r="T98" s="6">
        <v>2925</v>
      </c>
      <c r="U98" s="7" t="s">
        <v>76</v>
      </c>
      <c r="V98" s="12" t="s">
        <v>39</v>
      </c>
      <c r="W98" s="7" t="s">
        <v>33</v>
      </c>
      <c r="X98" s="6">
        <f t="shared" si="7"/>
        <v>402</v>
      </c>
      <c r="Y98" t="str" cm="1">
        <f t="array" ref="Y98">_xlfn.IFS(E98=7.99,"BASIC",E98=11.99,"STANDARD",E98=15.99,"PREMIUM")</f>
        <v>BASIC</v>
      </c>
      <c r="Z98" s="4">
        <f t="shared" si="5"/>
        <v>3.3432835820895521</v>
      </c>
      <c r="AA98" s="3" t="str" cm="1">
        <f t="array" ref="AA98">_xlfn.IFS(
(F98/(X98/7)) &lt; 5, "Casual",
AND((F98/(X98/7)) &gt;= 5, (F98/(X98/7)) &lt; 15), "Regular",
(F98/(X98/7)) &gt;= 15, "Power"
)</f>
        <v>Casual</v>
      </c>
      <c r="AB98" s="3">
        <f t="shared" si="8"/>
        <v>0.20734341252699784</v>
      </c>
      <c r="AC98" t="str">
        <f t="shared" si="6"/>
        <v>Viewers</v>
      </c>
    </row>
    <row r="99" spans="1:29" x14ac:dyDescent="0.3">
      <c r="A99" s="6">
        <v>8530</v>
      </c>
      <c r="B99" s="7" t="s">
        <v>222</v>
      </c>
      <c r="C99" s="10">
        <v>45010</v>
      </c>
      <c r="D99" s="10">
        <v>45630</v>
      </c>
      <c r="E99" s="13">
        <v>11.99</v>
      </c>
      <c r="F99" s="6">
        <v>88</v>
      </c>
      <c r="G99" s="7" t="s">
        <v>51</v>
      </c>
      <c r="H99" s="6">
        <v>1</v>
      </c>
      <c r="I99" s="6">
        <v>6</v>
      </c>
      <c r="J99" s="7" t="b">
        <v>1</v>
      </c>
      <c r="K99" s="6">
        <v>962</v>
      </c>
      <c r="L99" s="6">
        <v>183</v>
      </c>
      <c r="M99" s="7" t="s">
        <v>68</v>
      </c>
      <c r="N99" s="7" t="s">
        <v>44</v>
      </c>
      <c r="O99" s="7" t="s">
        <v>64</v>
      </c>
      <c r="P99" s="6">
        <v>90</v>
      </c>
      <c r="Q99" s="11">
        <v>5</v>
      </c>
      <c r="R99" s="7" t="b">
        <v>0</v>
      </c>
      <c r="S99" s="7" t="s">
        <v>30</v>
      </c>
      <c r="T99" s="6">
        <v>4646</v>
      </c>
      <c r="U99" s="7" t="s">
        <v>58</v>
      </c>
      <c r="V99" s="12" t="s">
        <v>79</v>
      </c>
      <c r="W99" s="7" t="s">
        <v>33</v>
      </c>
      <c r="X99" s="6">
        <f t="shared" si="7"/>
        <v>620</v>
      </c>
      <c r="Y99" t="str" cm="1">
        <f t="array" ref="Y99">_xlfn.IFS(E99=7.99,"BASIC",E99=11.99,"STANDARD",E99=15.99,"PREMIUM")</f>
        <v>STANDARD</v>
      </c>
      <c r="Z99" s="4">
        <f t="shared" si="5"/>
        <v>0.99354838709677418</v>
      </c>
      <c r="AA99" s="3" t="str" cm="1">
        <f t="array" ref="AA99">_xlfn.IFS(
(F99/(X99/7)) &lt; 5, "Casual",
AND((F99/(X99/7)) &gt;= 5, (F99/(X99/7)) &lt; 15), "Regular",
(F99/(X99/7)) &gt;= 15, "Power"
)</f>
        <v>Casual</v>
      </c>
      <c r="AB99" s="3">
        <f t="shared" si="8"/>
        <v>7.6855895196506555E-2</v>
      </c>
      <c r="AC99" t="str">
        <f t="shared" si="6"/>
        <v xml:space="preserve"> Browsers</v>
      </c>
    </row>
    <row r="100" spans="1:29" x14ac:dyDescent="0.3">
      <c r="A100" s="6">
        <v>9131</v>
      </c>
      <c r="B100" s="7" t="s">
        <v>223</v>
      </c>
      <c r="C100" s="10">
        <v>45141</v>
      </c>
      <c r="D100" s="10">
        <v>45623</v>
      </c>
      <c r="E100" s="13">
        <v>7.99</v>
      </c>
      <c r="F100" s="6">
        <v>127</v>
      </c>
      <c r="G100" s="7" t="s">
        <v>48</v>
      </c>
      <c r="H100" s="6">
        <v>2</v>
      </c>
      <c r="I100" s="6">
        <v>5</v>
      </c>
      <c r="J100" s="7" t="b">
        <v>0</v>
      </c>
      <c r="K100" s="6">
        <v>482</v>
      </c>
      <c r="L100" s="6">
        <v>5</v>
      </c>
      <c r="M100" s="7" t="s">
        <v>55</v>
      </c>
      <c r="N100" s="7" t="s">
        <v>75</v>
      </c>
      <c r="O100" s="7" t="s">
        <v>64</v>
      </c>
      <c r="P100" s="6">
        <v>99</v>
      </c>
      <c r="Q100" s="11">
        <v>3.6</v>
      </c>
      <c r="R100" s="7" t="b">
        <v>0</v>
      </c>
      <c r="S100" s="7" t="s">
        <v>30</v>
      </c>
      <c r="T100" s="6">
        <v>2867</v>
      </c>
      <c r="U100" s="7" t="s">
        <v>38</v>
      </c>
      <c r="V100" s="12" t="s">
        <v>39</v>
      </c>
      <c r="W100" s="7" t="s">
        <v>93</v>
      </c>
      <c r="X100" s="6">
        <f t="shared" si="7"/>
        <v>482</v>
      </c>
      <c r="Y100" t="str" cm="1">
        <f t="array" ref="Y100">_xlfn.IFS(E100=7.99,"BASIC",E100=11.99,"STANDARD",E100=15.99,"PREMIUM")</f>
        <v>BASIC</v>
      </c>
      <c r="Z100" s="4">
        <f t="shared" si="5"/>
        <v>1.8443983402489625</v>
      </c>
      <c r="AA100" s="3" t="str" cm="1">
        <f t="array" ref="AA100">_xlfn.IFS(
(F100/(X100/7)) &lt; 5, "Casual",
AND((F100/(X100/7)) &gt;= 5, (F100/(X100/7)) &lt; 15), "Regular",
(F100/(X100/7)) &gt;= 15, "Power"
)</f>
        <v>Casual</v>
      </c>
      <c r="AB100" s="3">
        <f t="shared" si="8"/>
        <v>0.26078028747433263</v>
      </c>
      <c r="AC100" t="str">
        <f t="shared" si="6"/>
        <v>Viewers</v>
      </c>
    </row>
    <row r="101" spans="1:29" x14ac:dyDescent="0.3">
      <c r="A101" s="6">
        <v>9770</v>
      </c>
      <c r="B101" s="7" t="s">
        <v>224</v>
      </c>
      <c r="C101" s="10">
        <v>45227</v>
      </c>
      <c r="D101" s="10">
        <v>45620</v>
      </c>
      <c r="E101" s="13">
        <v>7.99</v>
      </c>
      <c r="F101" s="6">
        <v>327</v>
      </c>
      <c r="G101" s="7" t="s">
        <v>100</v>
      </c>
      <c r="H101" s="6">
        <v>4</v>
      </c>
      <c r="I101" s="6">
        <v>3</v>
      </c>
      <c r="J101" s="7" t="b">
        <v>0</v>
      </c>
      <c r="K101" s="6">
        <v>451</v>
      </c>
      <c r="L101" s="6">
        <v>108</v>
      </c>
      <c r="M101" s="7" t="s">
        <v>49</v>
      </c>
      <c r="N101" s="7" t="s">
        <v>28</v>
      </c>
      <c r="O101" s="7" t="s">
        <v>57</v>
      </c>
      <c r="P101" s="6">
        <v>91</v>
      </c>
      <c r="Q101" s="11">
        <v>3.2</v>
      </c>
      <c r="R101" s="7" t="b">
        <v>1</v>
      </c>
      <c r="S101" s="7" t="s">
        <v>30</v>
      </c>
      <c r="T101" s="6">
        <v>4131</v>
      </c>
      <c r="U101" s="7" t="s">
        <v>58</v>
      </c>
      <c r="V101" s="12" t="s">
        <v>39</v>
      </c>
      <c r="W101" s="7" t="s">
        <v>40</v>
      </c>
      <c r="X101" s="6">
        <f t="shared" si="7"/>
        <v>393</v>
      </c>
      <c r="Y101" t="str" cm="1">
        <f t="array" ref="Y101">_xlfn.IFS(E101=7.99,"BASIC",E101=11.99,"STANDARD",E101=15.99,"PREMIUM")</f>
        <v>BASIC</v>
      </c>
      <c r="Z101" s="4">
        <f t="shared" si="5"/>
        <v>5.8244274809160306</v>
      </c>
      <c r="AA101" s="3" t="str" cm="1">
        <f t="array" ref="AA101">_xlfn.IFS(
(F101/(X101/7)) &lt; 5, "Casual",
AND((F101/(X101/7)) &gt;= 5, (F101/(X101/7)) &lt; 15), "Regular",
(F101/(X101/7)) &gt;= 15, "Power"
)</f>
        <v>Regular</v>
      </c>
      <c r="AB101" s="3">
        <f t="shared" si="8"/>
        <v>0.58497316636851515</v>
      </c>
      <c r="AC101" t="str">
        <f t="shared" si="6"/>
        <v>Viewers</v>
      </c>
    </row>
    <row r="102" spans="1:29" x14ac:dyDescent="0.3">
      <c r="A102" s="6">
        <v>8095</v>
      </c>
      <c r="B102" s="7" t="s">
        <v>226</v>
      </c>
      <c r="C102" s="10">
        <v>45031</v>
      </c>
      <c r="D102" s="10">
        <v>45637</v>
      </c>
      <c r="E102" s="13">
        <v>7.99</v>
      </c>
      <c r="F102" s="6">
        <v>10</v>
      </c>
      <c r="G102" s="7" t="s">
        <v>26</v>
      </c>
      <c r="H102" s="6">
        <v>2</v>
      </c>
      <c r="I102" s="6">
        <v>5</v>
      </c>
      <c r="J102" s="7" t="b">
        <v>1</v>
      </c>
      <c r="K102" s="6">
        <v>22</v>
      </c>
      <c r="L102" s="6">
        <v>14</v>
      </c>
      <c r="M102" s="7" t="s">
        <v>68</v>
      </c>
      <c r="N102" s="7" t="s">
        <v>44</v>
      </c>
      <c r="O102" s="7" t="s">
        <v>64</v>
      </c>
      <c r="P102" s="6">
        <v>25</v>
      </c>
      <c r="Q102" s="11">
        <v>4.0999999999999996</v>
      </c>
      <c r="R102" s="7" t="b">
        <v>1</v>
      </c>
      <c r="S102" s="7" t="s">
        <v>30</v>
      </c>
      <c r="T102" s="6">
        <v>2927</v>
      </c>
      <c r="U102" s="7" t="s">
        <v>58</v>
      </c>
      <c r="V102" s="12" t="s">
        <v>32</v>
      </c>
      <c r="W102" s="7" t="s">
        <v>40</v>
      </c>
      <c r="X102" s="6">
        <f t="shared" si="7"/>
        <v>606</v>
      </c>
      <c r="Y102" t="str" cm="1">
        <f t="array" ref="Y102">_xlfn.IFS(E102=7.99,"BASIC",E102=11.99,"STANDARD",E102=15.99,"PREMIUM")</f>
        <v>BASIC</v>
      </c>
      <c r="Z102" s="4">
        <f t="shared" si="5"/>
        <v>0.11551155115511551</v>
      </c>
      <c r="AA102" s="3" t="str" cm="1">
        <f t="array" ref="AA102">_xlfn.IFS(
(F102/(X102/7)) &lt; 5, "Casual",
AND((F102/(X102/7)) &gt;= 5, (F102/(X102/7)) &lt; 15), "Regular",
(F102/(X102/7)) &gt;= 15, "Power"
)</f>
        <v>Casual</v>
      </c>
      <c r="AB102" s="3">
        <f t="shared" si="8"/>
        <v>0.27777777777777779</v>
      </c>
      <c r="AC102" t="str">
        <f t="shared" si="6"/>
        <v>Viewers</v>
      </c>
    </row>
    <row r="103" spans="1:29" x14ac:dyDescent="0.3">
      <c r="A103" s="6">
        <v>3763</v>
      </c>
      <c r="B103" s="7" t="s">
        <v>228</v>
      </c>
      <c r="C103" s="10">
        <v>44914</v>
      </c>
      <c r="D103" s="10">
        <v>45632</v>
      </c>
      <c r="E103" s="13">
        <v>11.99</v>
      </c>
      <c r="F103" s="6">
        <v>181</v>
      </c>
      <c r="G103" s="7" t="s">
        <v>63</v>
      </c>
      <c r="H103" s="6">
        <v>4</v>
      </c>
      <c r="I103" s="6">
        <v>2</v>
      </c>
      <c r="J103" s="7" t="b">
        <v>0</v>
      </c>
      <c r="K103" s="6">
        <v>848</v>
      </c>
      <c r="L103" s="6">
        <v>172</v>
      </c>
      <c r="M103" s="7" t="s">
        <v>55</v>
      </c>
      <c r="N103" s="7" t="s">
        <v>75</v>
      </c>
      <c r="O103" s="7" t="s">
        <v>45</v>
      </c>
      <c r="P103" s="6">
        <v>6</v>
      </c>
      <c r="Q103" s="11">
        <v>3.4</v>
      </c>
      <c r="R103" s="7" t="b">
        <v>0</v>
      </c>
      <c r="S103" s="7" t="s">
        <v>30</v>
      </c>
      <c r="T103" s="6">
        <v>3314</v>
      </c>
      <c r="U103" s="7" t="s">
        <v>31</v>
      </c>
      <c r="V103" s="12" t="s">
        <v>79</v>
      </c>
      <c r="W103" s="7" t="s">
        <v>60</v>
      </c>
      <c r="X103" s="6">
        <f t="shared" si="7"/>
        <v>718</v>
      </c>
      <c r="Y103" t="str" cm="1">
        <f t="array" ref="Y103">_xlfn.IFS(E103=7.99,"BASIC",E103=11.99,"STANDARD",E103=15.99,"PREMIUM")</f>
        <v>STANDARD</v>
      </c>
      <c r="Z103" s="4">
        <f t="shared" si="5"/>
        <v>1.7646239554317549</v>
      </c>
      <c r="AA103" s="3" t="str" cm="1">
        <f t="array" ref="AA103">_xlfn.IFS(
(F103/(X103/7)) &lt; 5, "Casual",
AND((F103/(X103/7)) &gt;= 5, (F103/(X103/7)) &lt; 15), "Regular",
(F103/(X103/7)) &gt;= 15, "Power"
)</f>
        <v>Casual</v>
      </c>
      <c r="AB103" s="3">
        <f t="shared" si="8"/>
        <v>0.17745098039215687</v>
      </c>
      <c r="AC103" t="str">
        <f t="shared" si="6"/>
        <v>Viewers</v>
      </c>
    </row>
    <row r="104" spans="1:29" x14ac:dyDescent="0.3">
      <c r="A104" s="6">
        <v>4346</v>
      </c>
      <c r="B104" s="7" t="s">
        <v>230</v>
      </c>
      <c r="C104" s="10">
        <v>45336</v>
      </c>
      <c r="D104" s="10">
        <v>45638</v>
      </c>
      <c r="E104" s="13">
        <v>15.99</v>
      </c>
      <c r="F104" s="6">
        <v>238</v>
      </c>
      <c r="G104" s="7" t="s">
        <v>26</v>
      </c>
      <c r="H104" s="6">
        <v>4</v>
      </c>
      <c r="I104" s="6">
        <v>2</v>
      </c>
      <c r="J104" s="7" t="b">
        <v>0</v>
      </c>
      <c r="K104" s="6">
        <v>524</v>
      </c>
      <c r="L104" s="6">
        <v>162</v>
      </c>
      <c r="M104" s="7" t="s">
        <v>27</v>
      </c>
      <c r="N104" s="7" t="s">
        <v>75</v>
      </c>
      <c r="O104" s="7" t="s">
        <v>37</v>
      </c>
      <c r="P104" s="6">
        <v>20</v>
      </c>
      <c r="Q104" s="11">
        <v>3</v>
      </c>
      <c r="R104" s="7" t="b">
        <v>1</v>
      </c>
      <c r="S104" s="7" t="s">
        <v>30</v>
      </c>
      <c r="T104" s="6">
        <v>1782</v>
      </c>
      <c r="U104" s="7" t="s">
        <v>31</v>
      </c>
      <c r="V104" s="12" t="s">
        <v>69</v>
      </c>
      <c r="W104" s="7" t="s">
        <v>60</v>
      </c>
      <c r="X104" s="6">
        <f t="shared" si="7"/>
        <v>302</v>
      </c>
      <c r="Y104" t="str" cm="1">
        <f t="array" ref="Y104">_xlfn.IFS(E104=7.99,"BASIC",E104=11.99,"STANDARD",E104=15.99,"PREMIUM")</f>
        <v>PREMIUM</v>
      </c>
      <c r="Z104" s="4">
        <f t="shared" si="5"/>
        <v>5.516556291390728</v>
      </c>
      <c r="AA104" s="3" t="str" cm="1">
        <f t="array" ref="AA104">_xlfn.IFS(
(F104/(X104/7)) &lt; 5, "Casual",
AND((F104/(X104/7)) &gt;= 5, (F104/(X104/7)) &lt; 15), "Regular",
(F104/(X104/7)) &gt;= 15, "Power"
)</f>
        <v>Regular</v>
      </c>
      <c r="AB104" s="3">
        <f t="shared" si="8"/>
        <v>0.34693877551020408</v>
      </c>
      <c r="AC104" t="str">
        <f t="shared" si="6"/>
        <v>Viewers</v>
      </c>
    </row>
    <row r="105" spans="1:29" x14ac:dyDescent="0.3">
      <c r="A105" s="6">
        <v>5866</v>
      </c>
      <c r="B105" s="7" t="s">
        <v>191</v>
      </c>
      <c r="C105" s="10">
        <v>45444</v>
      </c>
      <c r="D105" s="10">
        <v>45622</v>
      </c>
      <c r="E105" s="13">
        <v>7.99</v>
      </c>
      <c r="F105" s="6">
        <v>380</v>
      </c>
      <c r="G105" s="7" t="s">
        <v>51</v>
      </c>
      <c r="H105" s="6">
        <v>2</v>
      </c>
      <c r="I105" s="6">
        <v>3</v>
      </c>
      <c r="J105" s="7" t="b">
        <v>0</v>
      </c>
      <c r="K105" s="6">
        <v>76</v>
      </c>
      <c r="L105" s="6">
        <v>25</v>
      </c>
      <c r="M105" s="7" t="s">
        <v>74</v>
      </c>
      <c r="N105" s="7" t="s">
        <v>28</v>
      </c>
      <c r="O105" s="7" t="s">
        <v>29</v>
      </c>
      <c r="P105" s="6">
        <v>95</v>
      </c>
      <c r="Q105" s="11">
        <v>4.2</v>
      </c>
      <c r="R105" s="7" t="b">
        <v>1</v>
      </c>
      <c r="S105" s="7" t="s">
        <v>30</v>
      </c>
      <c r="T105" s="6">
        <v>1938</v>
      </c>
      <c r="U105" s="7" t="s">
        <v>65</v>
      </c>
      <c r="V105" s="12" t="s">
        <v>79</v>
      </c>
      <c r="W105" s="7" t="s">
        <v>93</v>
      </c>
      <c r="X105" s="6">
        <f t="shared" si="7"/>
        <v>178</v>
      </c>
      <c r="Y105" t="str" cm="1">
        <f t="array" ref="Y105">_xlfn.IFS(E105=7.99,"BASIC",E105=11.99,"STANDARD",E105=15.99,"PREMIUM")</f>
        <v>BASIC</v>
      </c>
      <c r="Z105" s="4">
        <f t="shared" si="5"/>
        <v>14.943820224719103</v>
      </c>
      <c r="AA105" s="3" t="str" cm="1">
        <f t="array" ref="AA105">_xlfn.IFS(
(F105/(X105/7)) &lt; 5, "Casual",
AND((F105/(X105/7)) &gt;= 5, (F105/(X105/7)) &lt; 15), "Regular",
(F105/(X105/7)) &gt;= 15, "Power"
)</f>
        <v>Regular</v>
      </c>
      <c r="AB105" s="3">
        <f t="shared" si="8"/>
        <v>3.7623762376237622</v>
      </c>
      <c r="AC105" t="str">
        <f t="shared" si="6"/>
        <v>Viewers</v>
      </c>
    </row>
    <row r="106" spans="1:29" x14ac:dyDescent="0.3">
      <c r="A106" s="6">
        <v>5865</v>
      </c>
      <c r="B106" s="7" t="s">
        <v>232</v>
      </c>
      <c r="C106" s="10">
        <v>45130</v>
      </c>
      <c r="D106" s="10">
        <v>45620</v>
      </c>
      <c r="E106" s="13">
        <v>11.99</v>
      </c>
      <c r="F106" s="6">
        <v>444</v>
      </c>
      <c r="G106" s="7" t="s">
        <v>48</v>
      </c>
      <c r="H106" s="6">
        <v>2</v>
      </c>
      <c r="I106" s="6">
        <v>3</v>
      </c>
      <c r="J106" s="7" t="b">
        <v>0</v>
      </c>
      <c r="K106" s="6">
        <v>959</v>
      </c>
      <c r="L106" s="6">
        <v>183</v>
      </c>
      <c r="M106" s="7" t="s">
        <v>74</v>
      </c>
      <c r="N106" s="7" t="s">
        <v>28</v>
      </c>
      <c r="O106" s="7" t="s">
        <v>29</v>
      </c>
      <c r="P106" s="6">
        <v>93</v>
      </c>
      <c r="Q106" s="11">
        <v>3.8</v>
      </c>
      <c r="R106" s="7" t="b">
        <v>0</v>
      </c>
      <c r="S106" s="7" t="s">
        <v>30</v>
      </c>
      <c r="T106" s="6">
        <v>3935</v>
      </c>
      <c r="U106" s="7" t="s">
        <v>58</v>
      </c>
      <c r="V106" s="12" t="s">
        <v>59</v>
      </c>
      <c r="W106" s="7" t="s">
        <v>93</v>
      </c>
      <c r="X106" s="6">
        <f t="shared" si="7"/>
        <v>490</v>
      </c>
      <c r="Y106" t="str" cm="1">
        <f t="array" ref="Y106">_xlfn.IFS(E106=7.99,"BASIC",E106=11.99,"STANDARD",E106=15.99,"PREMIUM")</f>
        <v>STANDARD</v>
      </c>
      <c r="Z106" s="4">
        <f t="shared" si="5"/>
        <v>6.3428571428571425</v>
      </c>
      <c r="AA106" s="3" t="str" cm="1">
        <f t="array" ref="AA106">_xlfn.IFS(
(F106/(X106/7)) &lt; 5, "Casual",
AND((F106/(X106/7)) &gt;= 5, (F106/(X106/7)) &lt; 15), "Regular",
(F106/(X106/7)) &gt;= 15, "Power"
)</f>
        <v>Regular</v>
      </c>
      <c r="AB106" s="3">
        <f t="shared" si="8"/>
        <v>0.38879159369527144</v>
      </c>
      <c r="AC106" t="str">
        <f t="shared" si="6"/>
        <v>Viewers</v>
      </c>
    </row>
    <row r="107" spans="1:29" x14ac:dyDescent="0.3">
      <c r="A107" s="6">
        <v>9398</v>
      </c>
      <c r="B107" s="7" t="s">
        <v>234</v>
      </c>
      <c r="C107" s="10">
        <v>45595</v>
      </c>
      <c r="D107" s="10">
        <v>45637</v>
      </c>
      <c r="E107" s="13">
        <v>7.99</v>
      </c>
      <c r="F107" s="6">
        <v>83</v>
      </c>
      <c r="G107" s="7" t="s">
        <v>73</v>
      </c>
      <c r="H107" s="6">
        <v>3</v>
      </c>
      <c r="I107" s="6">
        <v>5</v>
      </c>
      <c r="J107" s="7" t="b">
        <v>1</v>
      </c>
      <c r="K107" s="6">
        <v>148</v>
      </c>
      <c r="L107" s="6">
        <v>154</v>
      </c>
      <c r="M107" s="7" t="s">
        <v>49</v>
      </c>
      <c r="N107" s="7" t="s">
        <v>56</v>
      </c>
      <c r="O107" s="7" t="s">
        <v>29</v>
      </c>
      <c r="P107" s="6">
        <v>21</v>
      </c>
      <c r="Q107" s="11">
        <v>3.1</v>
      </c>
      <c r="R107" s="7" t="b">
        <v>0</v>
      </c>
      <c r="S107" s="7" t="s">
        <v>30</v>
      </c>
      <c r="T107" s="6">
        <v>3206</v>
      </c>
      <c r="U107" s="7" t="s">
        <v>58</v>
      </c>
      <c r="V107" s="12" t="s">
        <v>69</v>
      </c>
      <c r="W107" s="7" t="s">
        <v>33</v>
      </c>
      <c r="X107" s="6">
        <f t="shared" si="7"/>
        <v>42</v>
      </c>
      <c r="Y107" t="str" cm="1">
        <f t="array" ref="Y107">_xlfn.IFS(E107=7.99,"BASIC",E107=11.99,"STANDARD",E107=15.99,"PREMIUM")</f>
        <v>BASIC</v>
      </c>
      <c r="Z107" s="4">
        <f t="shared" si="5"/>
        <v>13.833333333333334</v>
      </c>
      <c r="AA107" s="3" t="str" cm="1">
        <f t="array" ref="AA107">_xlfn.IFS(
(F107/(X107/7)) &lt; 5, "Casual",
AND((F107/(X107/7)) &gt;= 5, (F107/(X107/7)) &lt; 15), "Regular",
(F107/(X107/7)) &gt;= 15, "Power"
)</f>
        <v>Regular</v>
      </c>
      <c r="AB107" s="3">
        <f t="shared" si="8"/>
        <v>0.27483443708609273</v>
      </c>
      <c r="AC107" t="str">
        <f t="shared" si="6"/>
        <v>Viewers</v>
      </c>
    </row>
    <row r="108" spans="1:29" x14ac:dyDescent="0.3">
      <c r="A108" s="6">
        <v>9695</v>
      </c>
      <c r="B108" s="7" t="s">
        <v>236</v>
      </c>
      <c r="C108" s="10">
        <v>45268</v>
      </c>
      <c r="D108" s="10">
        <v>45644</v>
      </c>
      <c r="E108" s="13">
        <v>7.99</v>
      </c>
      <c r="F108" s="6">
        <v>452</v>
      </c>
      <c r="G108" s="7" t="s">
        <v>51</v>
      </c>
      <c r="H108" s="6">
        <v>4</v>
      </c>
      <c r="I108" s="6">
        <v>4</v>
      </c>
      <c r="J108" s="7" t="b">
        <v>0</v>
      </c>
      <c r="K108" s="6">
        <v>338</v>
      </c>
      <c r="L108" s="6">
        <v>132</v>
      </c>
      <c r="M108" s="7" t="s">
        <v>68</v>
      </c>
      <c r="N108" s="7" t="s">
        <v>28</v>
      </c>
      <c r="O108" s="7" t="s">
        <v>57</v>
      </c>
      <c r="P108" s="6">
        <v>63</v>
      </c>
      <c r="Q108" s="11">
        <v>3.3</v>
      </c>
      <c r="R108" s="7" t="b">
        <v>0</v>
      </c>
      <c r="S108" s="7" t="s">
        <v>30</v>
      </c>
      <c r="T108" s="6">
        <v>2523</v>
      </c>
      <c r="U108" s="7" t="s">
        <v>31</v>
      </c>
      <c r="V108" s="12" t="s">
        <v>59</v>
      </c>
      <c r="W108" s="7" t="s">
        <v>33</v>
      </c>
      <c r="X108" s="6">
        <f t="shared" si="7"/>
        <v>376</v>
      </c>
      <c r="Y108" t="str" cm="1">
        <f t="array" ref="Y108">_xlfn.IFS(E108=7.99,"BASIC",E108=11.99,"STANDARD",E108=15.99,"PREMIUM")</f>
        <v>BASIC</v>
      </c>
      <c r="Z108" s="4">
        <f t="shared" si="5"/>
        <v>8.414893617021276</v>
      </c>
      <c r="AA108" s="3" t="str" cm="1">
        <f t="array" ref="AA108">_xlfn.IFS(
(F108/(X108/7)) &lt; 5, "Casual",
AND((F108/(X108/7)) &gt;= 5, (F108/(X108/7)) &lt; 15), "Regular",
(F108/(X108/7)) &gt;= 15, "Power"
)</f>
        <v>Regular</v>
      </c>
      <c r="AB108" s="3">
        <f t="shared" si="8"/>
        <v>0.96170212765957441</v>
      </c>
      <c r="AC108" t="str">
        <f t="shared" si="6"/>
        <v>Viewers</v>
      </c>
    </row>
    <row r="109" spans="1:29" x14ac:dyDescent="0.3">
      <c r="A109" s="6">
        <v>8805</v>
      </c>
      <c r="B109" s="7" t="s">
        <v>85</v>
      </c>
      <c r="C109" s="10">
        <v>45479</v>
      </c>
      <c r="D109" s="10">
        <v>45632</v>
      </c>
      <c r="E109" s="13">
        <v>15.99</v>
      </c>
      <c r="F109" s="6">
        <v>53</v>
      </c>
      <c r="G109" s="7" t="s">
        <v>100</v>
      </c>
      <c r="H109" s="6">
        <v>4</v>
      </c>
      <c r="I109" s="6">
        <v>2</v>
      </c>
      <c r="J109" s="7" t="b">
        <v>1</v>
      </c>
      <c r="K109" s="6">
        <v>720</v>
      </c>
      <c r="L109" s="6">
        <v>37</v>
      </c>
      <c r="M109" s="7" t="s">
        <v>68</v>
      </c>
      <c r="N109" s="7" t="s">
        <v>28</v>
      </c>
      <c r="O109" s="7" t="s">
        <v>57</v>
      </c>
      <c r="P109" s="6">
        <v>8</v>
      </c>
      <c r="Q109" s="11">
        <v>4</v>
      </c>
      <c r="R109" s="7" t="b">
        <v>1</v>
      </c>
      <c r="S109" s="7" t="s">
        <v>30</v>
      </c>
      <c r="T109" s="6">
        <v>2727</v>
      </c>
      <c r="U109" s="7" t="s">
        <v>65</v>
      </c>
      <c r="V109" s="12" t="s">
        <v>79</v>
      </c>
      <c r="W109" s="7" t="s">
        <v>40</v>
      </c>
      <c r="X109" s="6">
        <f t="shared" si="7"/>
        <v>153</v>
      </c>
      <c r="Y109" t="str" cm="1">
        <f t="array" ref="Y109">_xlfn.IFS(E109=7.99,"BASIC",E109=11.99,"STANDARD",E109=15.99,"PREMIUM")</f>
        <v>PREMIUM</v>
      </c>
      <c r="Z109" s="4">
        <f t="shared" si="5"/>
        <v>2.4248366013071894</v>
      </c>
      <c r="AA109" s="3" t="str" cm="1">
        <f t="array" ref="AA109">_xlfn.IFS(
(F109/(X109/7)) &lt; 5, "Casual",
AND((F109/(X109/7)) &gt;= 5, (F109/(X109/7)) &lt; 15), "Regular",
(F109/(X109/7)) &gt;= 15, "Power"
)</f>
        <v>Casual</v>
      </c>
      <c r="AB109" s="3">
        <f t="shared" si="8"/>
        <v>7.0013210039630125E-2</v>
      </c>
      <c r="AC109" t="str">
        <f t="shared" si="6"/>
        <v xml:space="preserve"> Browsers</v>
      </c>
    </row>
    <row r="110" spans="1:29" x14ac:dyDescent="0.3">
      <c r="A110" s="6">
        <v>8353</v>
      </c>
      <c r="B110" s="7" t="s">
        <v>148</v>
      </c>
      <c r="C110" s="10">
        <v>45097</v>
      </c>
      <c r="D110" s="10">
        <v>45615</v>
      </c>
      <c r="E110" s="13">
        <v>15.99</v>
      </c>
      <c r="F110" s="6">
        <v>89</v>
      </c>
      <c r="G110" s="7" t="s">
        <v>100</v>
      </c>
      <c r="H110" s="6">
        <v>5</v>
      </c>
      <c r="I110" s="6">
        <v>3</v>
      </c>
      <c r="J110" s="7" t="b">
        <v>0</v>
      </c>
      <c r="K110" s="6">
        <v>387</v>
      </c>
      <c r="L110" s="6">
        <v>81</v>
      </c>
      <c r="M110" s="7" t="s">
        <v>68</v>
      </c>
      <c r="N110" s="7" t="s">
        <v>28</v>
      </c>
      <c r="O110" s="7" t="s">
        <v>64</v>
      </c>
      <c r="P110" s="6">
        <v>87</v>
      </c>
      <c r="Q110" s="11">
        <v>3.8</v>
      </c>
      <c r="R110" s="7" t="b">
        <v>1</v>
      </c>
      <c r="S110" s="7" t="s">
        <v>30</v>
      </c>
      <c r="T110" s="6">
        <v>2864</v>
      </c>
      <c r="U110" s="7" t="s">
        <v>76</v>
      </c>
      <c r="V110" s="12" t="s">
        <v>69</v>
      </c>
      <c r="W110" s="7" t="s">
        <v>33</v>
      </c>
      <c r="X110" s="6">
        <f t="shared" si="7"/>
        <v>518</v>
      </c>
      <c r="Y110" t="str" cm="1">
        <f t="array" ref="Y110">_xlfn.IFS(E110=7.99,"BASIC",E110=11.99,"STANDARD",E110=15.99,"PREMIUM")</f>
        <v>PREMIUM</v>
      </c>
      <c r="Z110" s="4">
        <f t="shared" si="5"/>
        <v>1.2027027027027026</v>
      </c>
      <c r="AA110" s="3" t="str" cm="1">
        <f t="array" ref="AA110">_xlfn.IFS(
(F110/(X110/7)) &lt; 5, "Casual",
AND((F110/(X110/7)) &gt;= 5, (F110/(X110/7)) &lt; 15), "Regular",
(F110/(X110/7)) &gt;= 15, "Power"
)</f>
        <v>Casual</v>
      </c>
      <c r="AB110" s="3">
        <f t="shared" si="8"/>
        <v>0.19017094017094016</v>
      </c>
      <c r="AC110" t="str">
        <f t="shared" si="6"/>
        <v>Viewers</v>
      </c>
    </row>
    <row r="111" spans="1:29" x14ac:dyDescent="0.3">
      <c r="A111" s="6">
        <v>3178</v>
      </c>
      <c r="B111" s="7" t="s">
        <v>238</v>
      </c>
      <c r="C111" s="10">
        <v>45370</v>
      </c>
      <c r="D111" s="10">
        <v>45637</v>
      </c>
      <c r="E111" s="13">
        <v>7.99</v>
      </c>
      <c r="F111" s="6">
        <v>359</v>
      </c>
      <c r="G111" s="7" t="s">
        <v>63</v>
      </c>
      <c r="H111" s="6">
        <v>5</v>
      </c>
      <c r="I111" s="6">
        <v>4</v>
      </c>
      <c r="J111" s="7" t="b">
        <v>0</v>
      </c>
      <c r="K111" s="6">
        <v>624</v>
      </c>
      <c r="L111" s="6">
        <v>107</v>
      </c>
      <c r="M111" s="7" t="s">
        <v>55</v>
      </c>
      <c r="N111" s="7" t="s">
        <v>44</v>
      </c>
      <c r="O111" s="7" t="s">
        <v>57</v>
      </c>
      <c r="P111" s="6">
        <v>4</v>
      </c>
      <c r="Q111" s="11">
        <v>3.1</v>
      </c>
      <c r="R111" s="7" t="b">
        <v>1</v>
      </c>
      <c r="S111" s="7" t="s">
        <v>30</v>
      </c>
      <c r="T111" s="6">
        <v>3698</v>
      </c>
      <c r="U111" s="7" t="s">
        <v>76</v>
      </c>
      <c r="V111" s="12" t="s">
        <v>69</v>
      </c>
      <c r="W111" s="7" t="s">
        <v>93</v>
      </c>
      <c r="X111" s="6">
        <f t="shared" si="7"/>
        <v>267</v>
      </c>
      <c r="Y111" t="str" cm="1">
        <f t="array" ref="Y111">_xlfn.IFS(E111=7.99,"BASIC",E111=11.99,"STANDARD",E111=15.99,"PREMIUM")</f>
        <v>BASIC</v>
      </c>
      <c r="Z111" s="4">
        <f t="shared" si="5"/>
        <v>9.4119850187265914</v>
      </c>
      <c r="AA111" s="3" t="str" cm="1">
        <f t="array" ref="AA111">_xlfn.IFS(
(F111/(X111/7)) &lt; 5, "Casual",
AND((F111/(X111/7)) &gt;= 5, (F111/(X111/7)) &lt; 15), "Regular",
(F111/(X111/7)) &gt;= 15, "Power"
)</f>
        <v>Regular</v>
      </c>
      <c r="AB111" s="3">
        <f t="shared" si="8"/>
        <v>0.49110807113543092</v>
      </c>
      <c r="AC111" t="str">
        <f t="shared" si="6"/>
        <v>Viewers</v>
      </c>
    </row>
    <row r="112" spans="1:29" x14ac:dyDescent="0.3">
      <c r="A112" s="6">
        <v>4917</v>
      </c>
      <c r="B112" s="7" t="s">
        <v>240</v>
      </c>
      <c r="C112" s="10">
        <v>44976</v>
      </c>
      <c r="D112" s="10">
        <v>45616</v>
      </c>
      <c r="E112" s="13">
        <v>11.99</v>
      </c>
      <c r="F112" s="6">
        <v>487</v>
      </c>
      <c r="G112" s="7" t="s">
        <v>63</v>
      </c>
      <c r="H112" s="6">
        <v>1</v>
      </c>
      <c r="I112" s="6">
        <v>4</v>
      </c>
      <c r="J112" s="7" t="b">
        <v>0</v>
      </c>
      <c r="K112" s="6">
        <v>636</v>
      </c>
      <c r="L112" s="6">
        <v>66</v>
      </c>
      <c r="M112" s="7" t="s">
        <v>68</v>
      </c>
      <c r="N112" s="7" t="s">
        <v>28</v>
      </c>
      <c r="O112" s="7" t="s">
        <v>78</v>
      </c>
      <c r="P112" s="6">
        <v>78</v>
      </c>
      <c r="Q112" s="11">
        <v>3.5</v>
      </c>
      <c r="R112" s="7" t="b">
        <v>0</v>
      </c>
      <c r="S112" s="7" t="s">
        <v>30</v>
      </c>
      <c r="T112" s="6">
        <v>1531</v>
      </c>
      <c r="U112" s="7" t="s">
        <v>31</v>
      </c>
      <c r="V112" s="12" t="s">
        <v>69</v>
      </c>
      <c r="W112" s="7" t="s">
        <v>60</v>
      </c>
      <c r="X112" s="6">
        <f t="shared" si="7"/>
        <v>640</v>
      </c>
      <c r="Y112" t="str" cm="1">
        <f t="array" ref="Y112">_xlfn.IFS(E112=7.99,"BASIC",E112=11.99,"STANDARD",E112=15.99,"PREMIUM")</f>
        <v>STANDARD</v>
      </c>
      <c r="Z112" s="4">
        <f t="shared" si="5"/>
        <v>5.3265624999999996</v>
      </c>
      <c r="AA112" s="3" t="str" cm="1">
        <f t="array" ref="AA112">_xlfn.IFS(
(F112/(X112/7)) &lt; 5, "Casual",
AND((F112/(X112/7)) &gt;= 5, (F112/(X112/7)) &lt; 15), "Regular",
(F112/(X112/7)) &gt;= 15, "Power"
)</f>
        <v>Regular</v>
      </c>
      <c r="AB112" s="3">
        <f t="shared" si="8"/>
        <v>0.69373219373219375</v>
      </c>
      <c r="AC112" t="str">
        <f t="shared" si="6"/>
        <v>Viewers</v>
      </c>
    </row>
    <row r="113" spans="1:30" x14ac:dyDescent="0.3">
      <c r="A113" s="6">
        <v>8878</v>
      </c>
      <c r="B113" s="7" t="s">
        <v>241</v>
      </c>
      <c r="C113" s="10">
        <v>45351</v>
      </c>
      <c r="D113" s="10">
        <v>45617</v>
      </c>
      <c r="E113" s="13">
        <v>7.99</v>
      </c>
      <c r="F113" s="6">
        <v>337</v>
      </c>
      <c r="G113" s="7" t="s">
        <v>73</v>
      </c>
      <c r="H113" s="6">
        <v>5</v>
      </c>
      <c r="I113" s="6">
        <v>1</v>
      </c>
      <c r="J113" s="7" t="b">
        <v>1</v>
      </c>
      <c r="K113" s="6">
        <v>429</v>
      </c>
      <c r="L113" s="6">
        <v>190</v>
      </c>
      <c r="M113" s="7" t="s">
        <v>43</v>
      </c>
      <c r="N113" s="7" t="s">
        <v>56</v>
      </c>
      <c r="O113" s="7" t="s">
        <v>45</v>
      </c>
      <c r="P113" s="6">
        <v>88</v>
      </c>
      <c r="Q113" s="11">
        <v>4.8</v>
      </c>
      <c r="R113" s="7" t="b">
        <v>0</v>
      </c>
      <c r="S113" s="7" t="s">
        <v>30</v>
      </c>
      <c r="T113" s="6">
        <v>4884</v>
      </c>
      <c r="U113" s="7" t="s">
        <v>31</v>
      </c>
      <c r="V113" s="12" t="s">
        <v>32</v>
      </c>
      <c r="W113" s="7" t="s">
        <v>93</v>
      </c>
      <c r="X113" s="6">
        <f t="shared" si="7"/>
        <v>266</v>
      </c>
      <c r="Y113" t="str" cm="1">
        <f t="array" ref="Y113">_xlfn.IFS(E113=7.99,"BASIC",E113=11.99,"STANDARD",E113=15.99,"PREMIUM")</f>
        <v>BASIC</v>
      </c>
      <c r="Z113" s="4">
        <f t="shared" si="5"/>
        <v>8.8684210526315788</v>
      </c>
      <c r="AA113" s="3" t="str" cm="1">
        <f t="array" ref="AA113">_xlfn.IFS(
(F113/(X113/7)) &lt; 5, "Casual",
AND((F113/(X113/7)) &gt;= 5, (F113/(X113/7)) &lt; 15), "Regular",
(F113/(X113/7)) &gt;= 15, "Power"
)</f>
        <v>Regular</v>
      </c>
      <c r="AB113" s="3">
        <f t="shared" si="8"/>
        <v>0.54442649434571888</v>
      </c>
      <c r="AC113" t="str">
        <f t="shared" si="6"/>
        <v>Viewers</v>
      </c>
    </row>
    <row r="114" spans="1:30" x14ac:dyDescent="0.3">
      <c r="A114" s="6">
        <v>3810</v>
      </c>
      <c r="B114" s="7" t="s">
        <v>242</v>
      </c>
      <c r="C114" s="10">
        <v>44974</v>
      </c>
      <c r="D114" s="10">
        <v>45630</v>
      </c>
      <c r="E114" s="13">
        <v>15.99</v>
      </c>
      <c r="F114" s="6">
        <v>427</v>
      </c>
      <c r="G114" s="7" t="s">
        <v>63</v>
      </c>
      <c r="H114" s="6">
        <v>5</v>
      </c>
      <c r="I114" s="6">
        <v>3</v>
      </c>
      <c r="J114" s="7" t="b">
        <v>0</v>
      </c>
      <c r="K114" s="6">
        <v>832</v>
      </c>
      <c r="L114" s="6">
        <v>103</v>
      </c>
      <c r="M114" s="7" t="s">
        <v>68</v>
      </c>
      <c r="N114" s="7" t="s">
        <v>75</v>
      </c>
      <c r="O114" s="7" t="s">
        <v>45</v>
      </c>
      <c r="P114" s="6">
        <v>79</v>
      </c>
      <c r="Q114" s="11">
        <v>3.3</v>
      </c>
      <c r="R114" s="7" t="b">
        <v>0</v>
      </c>
      <c r="S114" s="7" t="s">
        <v>30</v>
      </c>
      <c r="T114" s="6">
        <v>3633</v>
      </c>
      <c r="U114" s="7" t="s">
        <v>31</v>
      </c>
      <c r="V114" s="12" t="s">
        <v>39</v>
      </c>
      <c r="W114" s="7" t="s">
        <v>40</v>
      </c>
      <c r="X114" s="6">
        <f t="shared" si="7"/>
        <v>656</v>
      </c>
      <c r="Y114" t="str" cm="1">
        <f t="array" ref="Y114">_xlfn.IFS(E114=7.99,"BASIC",E114=11.99,"STANDARD",E114=15.99,"PREMIUM")</f>
        <v>PREMIUM</v>
      </c>
      <c r="Z114" s="4">
        <f t="shared" si="5"/>
        <v>4.5564024390243905</v>
      </c>
      <c r="AA114" s="3" t="str" cm="1">
        <f t="array" ref="AA114">_xlfn.IFS(
(F114/(X114/7)) &lt; 5, "Casual",
AND((F114/(X114/7)) &gt;= 5, (F114/(X114/7)) &lt; 15), "Regular",
(F114/(X114/7)) &gt;= 15, "Power"
)</f>
        <v>Casual</v>
      </c>
      <c r="AB114" s="3">
        <f t="shared" si="8"/>
        <v>0.45668449197860961</v>
      </c>
      <c r="AC114" t="str">
        <f t="shared" si="6"/>
        <v>Viewers</v>
      </c>
    </row>
    <row r="115" spans="1:30" x14ac:dyDescent="0.3">
      <c r="A115" s="6">
        <v>9353</v>
      </c>
      <c r="B115" s="7" t="s">
        <v>244</v>
      </c>
      <c r="C115" s="10">
        <v>45144</v>
      </c>
      <c r="D115" s="10">
        <v>45622</v>
      </c>
      <c r="E115" s="13">
        <v>7.99</v>
      </c>
      <c r="F115" s="6">
        <v>397</v>
      </c>
      <c r="G115" s="7" t="s">
        <v>51</v>
      </c>
      <c r="H115" s="6">
        <v>4</v>
      </c>
      <c r="I115" s="6">
        <v>4</v>
      </c>
      <c r="J115" s="7" t="b">
        <v>1</v>
      </c>
      <c r="K115" s="6">
        <v>63</v>
      </c>
      <c r="L115" s="6">
        <v>126</v>
      </c>
      <c r="M115" s="7" t="s">
        <v>74</v>
      </c>
      <c r="N115" s="7" t="s">
        <v>44</v>
      </c>
      <c r="O115" s="7" t="s">
        <v>45</v>
      </c>
      <c r="P115" s="6">
        <v>77</v>
      </c>
      <c r="Q115" s="11">
        <v>3.9</v>
      </c>
      <c r="R115" s="7" t="b">
        <v>1</v>
      </c>
      <c r="S115" s="7" t="s">
        <v>30</v>
      </c>
      <c r="T115" s="6">
        <v>4719</v>
      </c>
      <c r="U115" s="7" t="s">
        <v>31</v>
      </c>
      <c r="V115" s="12" t="s">
        <v>39</v>
      </c>
      <c r="W115" s="7" t="s">
        <v>93</v>
      </c>
      <c r="X115" s="6">
        <f t="shared" si="7"/>
        <v>478</v>
      </c>
      <c r="Y115" t="str" cm="1">
        <f t="array" ref="Y115">_xlfn.IFS(E115=7.99,"BASIC",E115=11.99,"STANDARD",E115=15.99,"PREMIUM")</f>
        <v>BASIC</v>
      </c>
      <c r="Z115" s="4">
        <f t="shared" si="5"/>
        <v>5.8138075313807525</v>
      </c>
      <c r="AA115" s="3" t="str" cm="1">
        <f t="array" ref="AA115">_xlfn.IFS(
(F115/(X115/7)) &lt; 5, "Casual",
AND((F115/(X115/7)) &gt;= 5, (F115/(X115/7)) &lt; 15), "Regular",
(F115/(X115/7)) &gt;= 15, "Power"
)</f>
        <v>Regular</v>
      </c>
      <c r="AB115" s="3">
        <f t="shared" si="8"/>
        <v>2.1005291005291005</v>
      </c>
      <c r="AC115" t="str">
        <f t="shared" si="6"/>
        <v>Viewers</v>
      </c>
    </row>
    <row r="116" spans="1:30" x14ac:dyDescent="0.3">
      <c r="A116" s="6">
        <v>1672</v>
      </c>
      <c r="B116" s="7" t="s">
        <v>245</v>
      </c>
      <c r="C116" s="10">
        <v>44916</v>
      </c>
      <c r="D116" s="10">
        <v>45624</v>
      </c>
      <c r="E116" s="13">
        <v>15.99</v>
      </c>
      <c r="F116" s="6">
        <v>200</v>
      </c>
      <c r="G116" s="7" t="s">
        <v>63</v>
      </c>
      <c r="H116" s="6">
        <v>4</v>
      </c>
      <c r="I116" s="6">
        <v>1</v>
      </c>
      <c r="J116" s="7" t="b">
        <v>0</v>
      </c>
      <c r="K116" s="6">
        <v>52</v>
      </c>
      <c r="L116" s="6">
        <v>8</v>
      </c>
      <c r="M116" s="7" t="s">
        <v>92</v>
      </c>
      <c r="N116" s="7" t="s">
        <v>56</v>
      </c>
      <c r="O116" s="7" t="s">
        <v>78</v>
      </c>
      <c r="P116" s="6">
        <v>17</v>
      </c>
      <c r="Q116" s="11">
        <v>3.2</v>
      </c>
      <c r="R116" s="7" t="b">
        <v>1</v>
      </c>
      <c r="S116" s="7" t="s">
        <v>30</v>
      </c>
      <c r="T116" s="6">
        <v>3161</v>
      </c>
      <c r="U116" s="7" t="s">
        <v>58</v>
      </c>
      <c r="V116" s="12" t="s">
        <v>69</v>
      </c>
      <c r="W116" s="7" t="s">
        <v>60</v>
      </c>
      <c r="X116" s="6">
        <f t="shared" si="7"/>
        <v>708</v>
      </c>
      <c r="Y116" t="str" cm="1">
        <f t="array" ref="Y116">_xlfn.IFS(E116=7.99,"BASIC",E116=11.99,"STANDARD",E116=15.99,"PREMIUM")</f>
        <v>PREMIUM</v>
      </c>
      <c r="Z116" s="4">
        <f t="shared" si="5"/>
        <v>1.9774011299435028</v>
      </c>
      <c r="AA116" s="3" t="str" cm="1">
        <f t="array" ref="AA116">_xlfn.IFS(
(F116/(X116/7)) &lt; 5, "Casual",
AND((F116/(X116/7)) &gt;= 5, (F116/(X116/7)) &lt; 15), "Regular",
(F116/(X116/7)) &gt;= 15, "Power"
)</f>
        <v>Casual</v>
      </c>
      <c r="AB116" s="3">
        <f t="shared" si="8"/>
        <v>3.3333333333333335</v>
      </c>
      <c r="AC116" t="str">
        <f t="shared" si="6"/>
        <v>Viewers</v>
      </c>
    </row>
    <row r="117" spans="1:30" x14ac:dyDescent="0.3">
      <c r="A117" s="6">
        <v>6650</v>
      </c>
      <c r="B117" s="7" t="s">
        <v>247</v>
      </c>
      <c r="C117" s="10">
        <v>45354</v>
      </c>
      <c r="D117" s="10">
        <v>45622</v>
      </c>
      <c r="E117" s="13">
        <v>11.99</v>
      </c>
      <c r="F117" s="6">
        <v>464</v>
      </c>
      <c r="G117" s="7" t="s">
        <v>36</v>
      </c>
      <c r="H117" s="6">
        <v>2</v>
      </c>
      <c r="I117" s="6">
        <v>3</v>
      </c>
      <c r="J117" s="7" t="b">
        <v>1</v>
      </c>
      <c r="K117" s="6">
        <v>909</v>
      </c>
      <c r="L117" s="6">
        <v>165</v>
      </c>
      <c r="M117" s="7" t="s">
        <v>74</v>
      </c>
      <c r="N117" s="7" t="s">
        <v>75</v>
      </c>
      <c r="O117" s="7" t="s">
        <v>57</v>
      </c>
      <c r="P117" s="6">
        <v>28</v>
      </c>
      <c r="Q117" s="11">
        <v>3.6</v>
      </c>
      <c r="R117" s="7" t="b">
        <v>1</v>
      </c>
      <c r="S117" s="7" t="s">
        <v>30</v>
      </c>
      <c r="T117" s="6">
        <v>3607</v>
      </c>
      <c r="U117" s="7" t="s">
        <v>38</v>
      </c>
      <c r="V117" s="12" t="s">
        <v>59</v>
      </c>
      <c r="W117" s="7" t="s">
        <v>40</v>
      </c>
      <c r="X117" s="6">
        <f t="shared" si="7"/>
        <v>268</v>
      </c>
      <c r="Y117" t="str" cm="1">
        <f t="array" ref="Y117">_xlfn.IFS(E117=7.99,"BASIC",E117=11.99,"STANDARD",E117=15.99,"PREMIUM")</f>
        <v>STANDARD</v>
      </c>
      <c r="Z117" s="4">
        <f t="shared" si="5"/>
        <v>12.119402985074627</v>
      </c>
      <c r="AA117" s="3" t="str" cm="1">
        <f t="array" ref="AA117">_xlfn.IFS(
(F117/(X117/7)) &lt; 5, "Casual",
AND((F117/(X117/7)) &gt;= 5, (F117/(X117/7)) &lt; 15), "Regular",
(F117/(X117/7)) &gt;= 15, "Power"
)</f>
        <v>Regular</v>
      </c>
      <c r="AB117" s="3">
        <f t="shared" si="8"/>
        <v>0.43202979515828677</v>
      </c>
      <c r="AC117" t="str">
        <f t="shared" si="6"/>
        <v>Viewers</v>
      </c>
    </row>
    <row r="118" spans="1:30" x14ac:dyDescent="0.3">
      <c r="A118" s="6">
        <v>2581</v>
      </c>
      <c r="B118" s="7" t="s">
        <v>248</v>
      </c>
      <c r="C118" s="10">
        <v>45029</v>
      </c>
      <c r="D118" s="10">
        <v>45628</v>
      </c>
      <c r="E118" s="13">
        <v>15.99</v>
      </c>
      <c r="F118" s="6">
        <v>495</v>
      </c>
      <c r="G118" s="7" t="s">
        <v>51</v>
      </c>
      <c r="H118" s="6">
        <v>1</v>
      </c>
      <c r="I118" s="6">
        <v>3</v>
      </c>
      <c r="J118" s="7" t="b">
        <v>0</v>
      </c>
      <c r="K118" s="6">
        <v>704</v>
      </c>
      <c r="L118" s="6">
        <v>53</v>
      </c>
      <c r="M118" s="7" t="s">
        <v>49</v>
      </c>
      <c r="N118" s="7" t="s">
        <v>56</v>
      </c>
      <c r="O118" s="7" t="s">
        <v>64</v>
      </c>
      <c r="P118" s="6">
        <v>94</v>
      </c>
      <c r="Q118" s="11">
        <v>3.4</v>
      </c>
      <c r="R118" s="7" t="b">
        <v>0</v>
      </c>
      <c r="S118" s="7" t="s">
        <v>30</v>
      </c>
      <c r="T118" s="6">
        <v>944</v>
      </c>
      <c r="U118" s="7" t="s">
        <v>76</v>
      </c>
      <c r="V118" s="12" t="s">
        <v>79</v>
      </c>
      <c r="W118" s="7" t="s">
        <v>40</v>
      </c>
      <c r="X118" s="6">
        <f t="shared" si="7"/>
        <v>599</v>
      </c>
      <c r="Y118" t="str" cm="1">
        <f t="array" ref="Y118">_xlfn.IFS(E118=7.99,"BASIC",E118=11.99,"STANDARD",E118=15.99,"PREMIUM")</f>
        <v>PREMIUM</v>
      </c>
      <c r="Z118" s="4">
        <f t="shared" si="5"/>
        <v>5.7846410684474128</v>
      </c>
      <c r="AA118" s="3" t="str" cm="1">
        <f t="array" ref="AA118">_xlfn.IFS(
(F118/(X118/7)) &lt; 5, "Casual",
AND((F118/(X118/7)) &gt;= 5, (F118/(X118/7)) &lt; 15), "Regular",
(F118/(X118/7)) &gt;= 15, "Power"
)</f>
        <v>Regular</v>
      </c>
      <c r="AB118" s="3">
        <f t="shared" si="8"/>
        <v>0.65389696169088507</v>
      </c>
      <c r="AC118" t="str">
        <f t="shared" si="6"/>
        <v>Viewers</v>
      </c>
    </row>
    <row r="119" spans="1:30" x14ac:dyDescent="0.3">
      <c r="A119" s="6">
        <v>6860</v>
      </c>
      <c r="B119" s="7" t="s">
        <v>249</v>
      </c>
      <c r="C119" s="10">
        <v>45333</v>
      </c>
      <c r="D119" s="10">
        <v>45642</v>
      </c>
      <c r="E119" s="13">
        <v>7.99</v>
      </c>
      <c r="F119" s="6">
        <v>286</v>
      </c>
      <c r="G119" s="7" t="s">
        <v>36</v>
      </c>
      <c r="H119" s="6">
        <v>5</v>
      </c>
      <c r="I119" s="6">
        <v>4</v>
      </c>
      <c r="J119" s="7" t="b">
        <v>0</v>
      </c>
      <c r="K119" s="6">
        <v>751</v>
      </c>
      <c r="L119" s="6">
        <v>103</v>
      </c>
      <c r="M119" s="7" t="s">
        <v>49</v>
      </c>
      <c r="N119" s="7" t="s">
        <v>75</v>
      </c>
      <c r="O119" s="7" t="s">
        <v>78</v>
      </c>
      <c r="P119" s="6">
        <v>33</v>
      </c>
      <c r="Q119" s="11">
        <v>3.6</v>
      </c>
      <c r="R119" s="7" t="b">
        <v>0</v>
      </c>
      <c r="S119" s="7" t="s">
        <v>30</v>
      </c>
      <c r="T119" s="6">
        <v>2757</v>
      </c>
      <c r="U119" s="7" t="s">
        <v>58</v>
      </c>
      <c r="V119" s="12" t="s">
        <v>79</v>
      </c>
      <c r="W119" s="7" t="s">
        <v>33</v>
      </c>
      <c r="X119" s="6">
        <f t="shared" si="7"/>
        <v>309</v>
      </c>
      <c r="Y119" t="str" cm="1">
        <f t="array" ref="Y119">_xlfn.IFS(E119=7.99,"BASIC",E119=11.99,"STANDARD",E119=15.99,"PREMIUM")</f>
        <v>BASIC</v>
      </c>
      <c r="Z119" s="4">
        <f t="shared" si="5"/>
        <v>6.4789644012944976</v>
      </c>
      <c r="AA119" s="3" t="str" cm="1">
        <f t="array" ref="AA119">_xlfn.IFS(
(F119/(X119/7)) &lt; 5, "Casual",
AND((F119/(X119/7)) &gt;= 5, (F119/(X119/7)) &lt; 15), "Regular",
(F119/(X119/7)) &gt;= 15, "Power"
)</f>
        <v>Regular</v>
      </c>
      <c r="AB119" s="3">
        <f t="shared" si="8"/>
        <v>0.33489461358313816</v>
      </c>
      <c r="AC119" t="str">
        <f t="shared" si="6"/>
        <v>Viewers</v>
      </c>
    </row>
    <row r="120" spans="1:30" x14ac:dyDescent="0.3">
      <c r="A120" s="6">
        <v>4584</v>
      </c>
      <c r="B120" s="7" t="s">
        <v>138</v>
      </c>
      <c r="C120" s="10">
        <v>45561</v>
      </c>
      <c r="D120" s="10">
        <v>45640</v>
      </c>
      <c r="E120" s="13">
        <v>7.99</v>
      </c>
      <c r="F120" s="6">
        <v>446</v>
      </c>
      <c r="G120" s="7" t="s">
        <v>36</v>
      </c>
      <c r="H120" s="6">
        <v>3</v>
      </c>
      <c r="I120" s="6">
        <v>6</v>
      </c>
      <c r="J120" s="7" t="b">
        <v>0</v>
      </c>
      <c r="K120" s="6">
        <v>185</v>
      </c>
      <c r="L120" s="6">
        <v>134</v>
      </c>
      <c r="M120" s="7" t="s">
        <v>27</v>
      </c>
      <c r="N120" s="7" t="s">
        <v>56</v>
      </c>
      <c r="O120" s="7" t="s">
        <v>57</v>
      </c>
      <c r="P120" s="6">
        <v>18</v>
      </c>
      <c r="Q120" s="11">
        <v>3.3</v>
      </c>
      <c r="R120" s="7" t="b">
        <v>0</v>
      </c>
      <c r="S120" s="7" t="s">
        <v>30</v>
      </c>
      <c r="T120" s="6">
        <v>727</v>
      </c>
      <c r="U120" s="7" t="s">
        <v>31</v>
      </c>
      <c r="V120" s="12" t="s">
        <v>69</v>
      </c>
      <c r="W120" s="7" t="s">
        <v>60</v>
      </c>
      <c r="X120" s="6">
        <f t="shared" si="7"/>
        <v>79</v>
      </c>
      <c r="Y120" t="str" cm="1">
        <f t="array" ref="Y120">_xlfn.IFS(E120=7.99,"BASIC",E120=11.99,"STANDARD",E120=15.99,"PREMIUM")</f>
        <v>BASIC</v>
      </c>
      <c r="Z120" s="4">
        <f t="shared" si="5"/>
        <v>39.518987341772146</v>
      </c>
      <c r="AA120" s="3" t="str" cm="1">
        <f t="array" ref="AA120">_xlfn.IFS(
(F120/(X120/7)) &lt; 5, "Casual",
AND((F120/(X120/7)) &gt;= 5, (F120/(X120/7)) &lt; 15), "Regular",
(F120/(X120/7)) &gt;= 15, "Power"
)</f>
        <v>Power</v>
      </c>
      <c r="AB120" s="3">
        <f t="shared" si="8"/>
        <v>1.3981191222570533</v>
      </c>
      <c r="AC120" t="str">
        <f t="shared" si="6"/>
        <v>Viewers</v>
      </c>
    </row>
    <row r="121" spans="1:30" x14ac:dyDescent="0.3">
      <c r="A121" s="6">
        <v>3354</v>
      </c>
      <c r="B121" s="7" t="s">
        <v>148</v>
      </c>
      <c r="C121" s="10">
        <v>45200</v>
      </c>
      <c r="D121" s="10">
        <v>45618</v>
      </c>
      <c r="E121" s="13">
        <v>11.99</v>
      </c>
      <c r="F121" s="6">
        <v>342</v>
      </c>
      <c r="G121" s="7" t="s">
        <v>73</v>
      </c>
      <c r="H121" s="6">
        <v>2</v>
      </c>
      <c r="I121" s="6">
        <v>2</v>
      </c>
      <c r="J121" s="7" t="b">
        <v>0</v>
      </c>
      <c r="K121" s="6">
        <v>503</v>
      </c>
      <c r="L121" s="6">
        <v>6</v>
      </c>
      <c r="M121" s="7" t="s">
        <v>92</v>
      </c>
      <c r="N121" s="7" t="s">
        <v>28</v>
      </c>
      <c r="O121" s="7" t="s">
        <v>78</v>
      </c>
      <c r="P121" s="6">
        <v>23</v>
      </c>
      <c r="Q121" s="11">
        <v>3.2</v>
      </c>
      <c r="R121" s="7" t="b">
        <v>1</v>
      </c>
      <c r="S121" s="7" t="s">
        <v>30</v>
      </c>
      <c r="T121" s="6">
        <v>3496</v>
      </c>
      <c r="U121" s="7" t="s">
        <v>65</v>
      </c>
      <c r="V121" s="12" t="s">
        <v>69</v>
      </c>
      <c r="W121" s="7" t="s">
        <v>93</v>
      </c>
      <c r="X121" s="6">
        <f t="shared" si="7"/>
        <v>418</v>
      </c>
      <c r="Y121" t="str" cm="1">
        <f t="array" ref="Y121">_xlfn.IFS(E121=7.99,"BASIC",E121=11.99,"STANDARD",E121=15.99,"PREMIUM")</f>
        <v>STANDARD</v>
      </c>
      <c r="Z121" s="4">
        <f t="shared" si="5"/>
        <v>5.7272727272727275</v>
      </c>
      <c r="AA121" s="3" t="str" cm="1">
        <f t="array" ref="AA121">_xlfn.IFS(
(F121/(X121/7)) &lt; 5, "Casual",
AND((F121/(X121/7)) &gt;= 5, (F121/(X121/7)) &lt; 15), "Regular",
(F121/(X121/7)) &gt;= 15, "Power"
)</f>
        <v>Regular</v>
      </c>
      <c r="AB121" s="3">
        <f t="shared" si="8"/>
        <v>0.67190569744597251</v>
      </c>
      <c r="AC121" t="str">
        <f t="shared" si="6"/>
        <v>Viewers</v>
      </c>
    </row>
    <row r="122" spans="1:30" x14ac:dyDescent="0.3">
      <c r="A122" s="6">
        <v>4668</v>
      </c>
      <c r="B122" s="7" t="s">
        <v>251</v>
      </c>
      <c r="C122" s="10">
        <f>_xlfn.XLOOKUP(A122,'Data Anomalies -Pls Read It'!A:A,'Data Anomalies -Pls Read It'!D:D,1,0)</f>
        <v>45635</v>
      </c>
      <c r="D122" s="10">
        <f>_xlfn.XLOOKUP(A122,'Data Anomalies -Pls Read It'!A:A,'Data Anomalies -Pls Read It'!C:C,1,0)</f>
        <v>45643</v>
      </c>
      <c r="E122" s="13">
        <v>11.99</v>
      </c>
      <c r="F122" s="6">
        <v>396</v>
      </c>
      <c r="G122" s="7" t="s">
        <v>48</v>
      </c>
      <c r="H122" s="6">
        <v>5</v>
      </c>
      <c r="I122" s="6">
        <v>5</v>
      </c>
      <c r="J122" s="7" t="b">
        <v>1</v>
      </c>
      <c r="K122" s="6">
        <v>549</v>
      </c>
      <c r="L122" s="6">
        <v>35</v>
      </c>
      <c r="M122" s="7" t="s">
        <v>43</v>
      </c>
      <c r="N122" s="7" t="s">
        <v>28</v>
      </c>
      <c r="O122" s="7" t="s">
        <v>37</v>
      </c>
      <c r="P122" s="6">
        <v>66</v>
      </c>
      <c r="Q122" s="11">
        <v>3.6</v>
      </c>
      <c r="R122" s="7" t="b">
        <v>1</v>
      </c>
      <c r="S122" s="7" t="s">
        <v>30</v>
      </c>
      <c r="T122" s="6">
        <v>4293</v>
      </c>
      <c r="U122" s="7" t="s">
        <v>65</v>
      </c>
      <c r="V122" s="12" t="s">
        <v>79</v>
      </c>
      <c r="W122" s="7" t="s">
        <v>60</v>
      </c>
      <c r="X122" s="6">
        <f t="shared" si="7"/>
        <v>8</v>
      </c>
      <c r="Y122" t="str" cm="1">
        <f t="array" ref="Y122">_xlfn.IFS(E122=7.99,"BASIC",E122=11.99,"STANDARD",E122=15.99,"PREMIUM")</f>
        <v>STANDARD</v>
      </c>
      <c r="Z122" s="4">
        <f t="shared" si="5"/>
        <v>346.5</v>
      </c>
      <c r="AA122" s="3" t="str" cm="1">
        <f t="array" ref="AA122">_xlfn.IFS(
(F122/(X122/7)) &lt; 5, "Casual",
AND((F122/(X122/7)) &gt;= 5, (F122/(X122/7)) &lt; 15), "Regular",
(F122/(X122/7)) &gt;= 15, "Power"
)</f>
        <v>Power</v>
      </c>
      <c r="AB122" s="3">
        <f t="shared" si="8"/>
        <v>0.67808219178082196</v>
      </c>
      <c r="AC122" t="str">
        <f t="shared" si="6"/>
        <v>Viewers</v>
      </c>
      <c r="AD122" t="s">
        <v>779</v>
      </c>
    </row>
    <row r="123" spans="1:30" x14ac:dyDescent="0.3">
      <c r="A123" s="6">
        <v>6684</v>
      </c>
      <c r="B123" s="7" t="s">
        <v>252</v>
      </c>
      <c r="C123" s="10">
        <v>45552</v>
      </c>
      <c r="D123" s="10">
        <v>45637</v>
      </c>
      <c r="E123" s="13">
        <v>11.99</v>
      </c>
      <c r="F123" s="6">
        <v>491</v>
      </c>
      <c r="G123" s="7" t="s">
        <v>100</v>
      </c>
      <c r="H123" s="6">
        <v>1</v>
      </c>
      <c r="I123" s="6">
        <v>6</v>
      </c>
      <c r="J123" s="7" t="b">
        <v>1</v>
      </c>
      <c r="K123" s="6">
        <v>434</v>
      </c>
      <c r="L123" s="6">
        <v>182</v>
      </c>
      <c r="M123" s="7" t="s">
        <v>74</v>
      </c>
      <c r="N123" s="7" t="s">
        <v>75</v>
      </c>
      <c r="O123" s="7" t="s">
        <v>57</v>
      </c>
      <c r="P123" s="6">
        <v>24</v>
      </c>
      <c r="Q123" s="11">
        <v>4.0999999999999996</v>
      </c>
      <c r="R123" s="7" t="b">
        <v>0</v>
      </c>
      <c r="S123" s="7" t="s">
        <v>30</v>
      </c>
      <c r="T123" s="6">
        <v>1357</v>
      </c>
      <c r="U123" s="7" t="s">
        <v>76</v>
      </c>
      <c r="V123" s="12" t="s">
        <v>69</v>
      </c>
      <c r="W123" s="7" t="s">
        <v>33</v>
      </c>
      <c r="X123" s="6">
        <f t="shared" si="7"/>
        <v>85</v>
      </c>
      <c r="Y123" t="str" cm="1">
        <f t="array" ref="Y123">_xlfn.IFS(E123=7.99,"BASIC",E123=11.99,"STANDARD",E123=15.99,"PREMIUM")</f>
        <v>STANDARD</v>
      </c>
      <c r="Z123" s="4">
        <f t="shared" si="5"/>
        <v>40.435294117647061</v>
      </c>
      <c r="AA123" s="3" t="str" cm="1">
        <f t="array" ref="AA123">_xlfn.IFS(
(F123/(X123/7)) &lt; 5, "Casual",
AND((F123/(X123/7)) &gt;= 5, (F123/(X123/7)) &lt; 15), "Regular",
(F123/(X123/7)) &gt;= 15, "Power"
)</f>
        <v>Power</v>
      </c>
      <c r="AB123" s="3">
        <f t="shared" si="8"/>
        <v>0.79707792207792205</v>
      </c>
      <c r="AC123" t="str">
        <f t="shared" si="6"/>
        <v>Viewers</v>
      </c>
    </row>
    <row r="124" spans="1:30" x14ac:dyDescent="0.3">
      <c r="A124" s="6">
        <v>8058</v>
      </c>
      <c r="B124" s="7" t="s">
        <v>253</v>
      </c>
      <c r="C124" s="10">
        <v>45018</v>
      </c>
      <c r="D124" s="10">
        <v>45640</v>
      </c>
      <c r="E124" s="13">
        <v>15.99</v>
      </c>
      <c r="F124" s="6">
        <v>239</v>
      </c>
      <c r="G124" s="7" t="s">
        <v>48</v>
      </c>
      <c r="H124" s="6">
        <v>4</v>
      </c>
      <c r="I124" s="6">
        <v>6</v>
      </c>
      <c r="J124" s="7" t="b">
        <v>0</v>
      </c>
      <c r="K124" s="6">
        <v>832</v>
      </c>
      <c r="L124" s="6">
        <v>134</v>
      </c>
      <c r="M124" s="7" t="s">
        <v>68</v>
      </c>
      <c r="N124" s="7" t="s">
        <v>75</v>
      </c>
      <c r="O124" s="7" t="s">
        <v>57</v>
      </c>
      <c r="P124" s="6">
        <v>99</v>
      </c>
      <c r="Q124" s="11">
        <v>4.5999999999999996</v>
      </c>
      <c r="R124" s="7" t="b">
        <v>1</v>
      </c>
      <c r="S124" s="7" t="s">
        <v>30</v>
      </c>
      <c r="T124" s="6">
        <v>3596</v>
      </c>
      <c r="U124" s="7" t="s">
        <v>38</v>
      </c>
      <c r="V124" s="12" t="s">
        <v>59</v>
      </c>
      <c r="W124" s="7" t="s">
        <v>60</v>
      </c>
      <c r="X124" s="6">
        <f t="shared" si="7"/>
        <v>622</v>
      </c>
      <c r="Y124" t="str" cm="1">
        <f t="array" ref="Y124">_xlfn.IFS(E124=7.99,"BASIC",E124=11.99,"STANDARD",E124=15.99,"PREMIUM")</f>
        <v>PREMIUM</v>
      </c>
      <c r="Z124" s="4">
        <f t="shared" si="5"/>
        <v>2.6897106109324755</v>
      </c>
      <c r="AA124" s="3" t="str" cm="1">
        <f t="array" ref="AA124">_xlfn.IFS(
(F124/(X124/7)) &lt; 5, "Casual",
AND((F124/(X124/7)) &gt;= 5, (F124/(X124/7)) &lt; 15), "Regular",
(F124/(X124/7)) &gt;= 15, "Power"
)</f>
        <v>Casual</v>
      </c>
      <c r="AB124" s="3">
        <f t="shared" si="8"/>
        <v>0.2474120082815735</v>
      </c>
      <c r="AC124" t="str">
        <f t="shared" si="6"/>
        <v>Viewers</v>
      </c>
    </row>
    <row r="125" spans="1:30" x14ac:dyDescent="0.3">
      <c r="A125" s="6">
        <v>3035</v>
      </c>
      <c r="B125" s="7" t="s">
        <v>157</v>
      </c>
      <c r="C125" s="10">
        <v>45042</v>
      </c>
      <c r="D125" s="10">
        <v>45620</v>
      </c>
      <c r="E125" s="13">
        <v>15.99</v>
      </c>
      <c r="F125" s="6">
        <v>106</v>
      </c>
      <c r="G125" s="7" t="s">
        <v>100</v>
      </c>
      <c r="H125" s="6">
        <v>3</v>
      </c>
      <c r="I125" s="6">
        <v>3</v>
      </c>
      <c r="J125" s="7" t="b">
        <v>1</v>
      </c>
      <c r="K125" s="6">
        <v>377</v>
      </c>
      <c r="L125" s="6">
        <v>31</v>
      </c>
      <c r="M125" s="7" t="s">
        <v>74</v>
      </c>
      <c r="N125" s="7" t="s">
        <v>56</v>
      </c>
      <c r="O125" s="7" t="s">
        <v>64</v>
      </c>
      <c r="P125" s="6">
        <v>85</v>
      </c>
      <c r="Q125" s="11">
        <v>3.5</v>
      </c>
      <c r="R125" s="7" t="b">
        <v>1</v>
      </c>
      <c r="S125" s="7" t="s">
        <v>30</v>
      </c>
      <c r="T125" s="6">
        <v>613</v>
      </c>
      <c r="U125" s="7" t="s">
        <v>38</v>
      </c>
      <c r="V125" s="12" t="s">
        <v>79</v>
      </c>
      <c r="W125" s="7" t="s">
        <v>33</v>
      </c>
      <c r="X125" s="6">
        <f t="shared" si="7"/>
        <v>578</v>
      </c>
      <c r="Y125" t="str" cm="1">
        <f t="array" ref="Y125">_xlfn.IFS(E125=7.99,"BASIC",E125=11.99,"STANDARD",E125=15.99,"PREMIUM")</f>
        <v>PREMIUM</v>
      </c>
      <c r="Z125" s="4">
        <f t="shared" si="5"/>
        <v>1.2837370242214534</v>
      </c>
      <c r="AA125" s="3" t="str" cm="1">
        <f t="array" ref="AA125">_xlfn.IFS(
(F125/(X125/7)) &lt; 5, "Casual",
AND((F125/(X125/7)) &gt;= 5, (F125/(X125/7)) &lt; 15), "Regular",
(F125/(X125/7)) &gt;= 15, "Power"
)</f>
        <v>Casual</v>
      </c>
      <c r="AB125" s="3">
        <f t="shared" si="8"/>
        <v>0.25980392156862747</v>
      </c>
      <c r="AC125" t="str">
        <f t="shared" si="6"/>
        <v>Viewers</v>
      </c>
    </row>
    <row r="126" spans="1:30" x14ac:dyDescent="0.3">
      <c r="A126" s="6">
        <v>2146</v>
      </c>
      <c r="B126" s="7" t="s">
        <v>254</v>
      </c>
      <c r="C126" s="10">
        <v>45484</v>
      </c>
      <c r="D126" s="10">
        <v>45618</v>
      </c>
      <c r="E126" s="13">
        <v>11.99</v>
      </c>
      <c r="F126" s="6">
        <v>388</v>
      </c>
      <c r="G126" s="7" t="s">
        <v>63</v>
      </c>
      <c r="H126" s="6">
        <v>5</v>
      </c>
      <c r="I126" s="6">
        <v>4</v>
      </c>
      <c r="J126" s="7" t="b">
        <v>1</v>
      </c>
      <c r="K126" s="6">
        <v>380</v>
      </c>
      <c r="L126" s="6">
        <v>125</v>
      </c>
      <c r="M126" s="7" t="s">
        <v>68</v>
      </c>
      <c r="N126" s="7" t="s">
        <v>28</v>
      </c>
      <c r="O126" s="7" t="s">
        <v>37</v>
      </c>
      <c r="P126" s="6">
        <v>14</v>
      </c>
      <c r="Q126" s="11">
        <v>3.2</v>
      </c>
      <c r="R126" s="7" t="b">
        <v>0</v>
      </c>
      <c r="S126" s="7" t="s">
        <v>30</v>
      </c>
      <c r="T126" s="6">
        <v>2381</v>
      </c>
      <c r="U126" s="7" t="s">
        <v>76</v>
      </c>
      <c r="V126" s="12" t="s">
        <v>39</v>
      </c>
      <c r="W126" s="7" t="s">
        <v>93</v>
      </c>
      <c r="X126" s="6">
        <f t="shared" si="7"/>
        <v>134</v>
      </c>
      <c r="Y126" t="str" cm="1">
        <f t="array" ref="Y126">_xlfn.IFS(E126=7.99,"BASIC",E126=11.99,"STANDARD",E126=15.99,"PREMIUM")</f>
        <v>STANDARD</v>
      </c>
      <c r="Z126" s="4">
        <f t="shared" si="5"/>
        <v>20.268656716417912</v>
      </c>
      <c r="AA126" s="3" t="str" cm="1">
        <f t="array" ref="AA126">_xlfn.IFS(
(F126/(X126/7)) &lt; 5, "Casual",
AND((F126/(X126/7)) &gt;= 5, (F126/(X126/7)) &lt; 15), "Regular",
(F126/(X126/7)) &gt;= 15, "Power"
)</f>
        <v>Power</v>
      </c>
      <c r="AB126" s="3">
        <f t="shared" si="8"/>
        <v>0.76831683168316833</v>
      </c>
      <c r="AC126" t="str">
        <f t="shared" si="6"/>
        <v>Viewers</v>
      </c>
    </row>
    <row r="127" spans="1:30" x14ac:dyDescent="0.3">
      <c r="A127" s="6">
        <v>5761</v>
      </c>
      <c r="B127" s="7" t="s">
        <v>255</v>
      </c>
      <c r="C127" s="10">
        <v>45311</v>
      </c>
      <c r="D127" s="10">
        <v>45634</v>
      </c>
      <c r="E127" s="13">
        <v>15.99</v>
      </c>
      <c r="F127" s="6">
        <v>452</v>
      </c>
      <c r="G127" s="7" t="s">
        <v>36</v>
      </c>
      <c r="H127" s="6">
        <v>2</v>
      </c>
      <c r="I127" s="6">
        <v>5</v>
      </c>
      <c r="J127" s="7" t="b">
        <v>0</v>
      </c>
      <c r="K127" s="6">
        <v>315</v>
      </c>
      <c r="L127" s="6">
        <v>118</v>
      </c>
      <c r="M127" s="7" t="s">
        <v>55</v>
      </c>
      <c r="N127" s="7" t="s">
        <v>75</v>
      </c>
      <c r="O127" s="7" t="s">
        <v>57</v>
      </c>
      <c r="P127" s="6">
        <v>28</v>
      </c>
      <c r="Q127" s="11">
        <v>3</v>
      </c>
      <c r="R127" s="7" t="b">
        <v>1</v>
      </c>
      <c r="S127" s="7" t="s">
        <v>30</v>
      </c>
      <c r="T127" s="6">
        <v>2159</v>
      </c>
      <c r="U127" s="7" t="s">
        <v>38</v>
      </c>
      <c r="V127" s="12" t="s">
        <v>69</v>
      </c>
      <c r="W127" s="7" t="s">
        <v>60</v>
      </c>
      <c r="X127" s="6">
        <f t="shared" si="7"/>
        <v>323</v>
      </c>
      <c r="Y127" t="str" cm="1">
        <f t="array" ref="Y127">_xlfn.IFS(E127=7.99,"BASIC",E127=11.99,"STANDARD",E127=15.99,"PREMIUM")</f>
        <v>PREMIUM</v>
      </c>
      <c r="Z127" s="4">
        <f t="shared" si="5"/>
        <v>9.795665634674922</v>
      </c>
      <c r="AA127" s="3" t="str" cm="1">
        <f t="array" ref="AA127">_xlfn.IFS(
(F127/(X127/7)) &lt; 5, "Casual",
AND((F127/(X127/7)) &gt;= 5, (F127/(X127/7)) &lt; 15), "Regular",
(F127/(X127/7)) &gt;= 15, "Power"
)</f>
        <v>Regular</v>
      </c>
      <c r="AB127" s="3">
        <f t="shared" si="8"/>
        <v>1.043879907621247</v>
      </c>
      <c r="AC127" t="str">
        <f t="shared" si="6"/>
        <v>Viewers</v>
      </c>
    </row>
    <row r="128" spans="1:30" x14ac:dyDescent="0.3">
      <c r="A128" s="6">
        <v>5256</v>
      </c>
      <c r="B128" s="7" t="s">
        <v>257</v>
      </c>
      <c r="C128" s="10">
        <v>45614</v>
      </c>
      <c r="D128" s="10">
        <v>45628</v>
      </c>
      <c r="E128" s="13">
        <v>15.99</v>
      </c>
      <c r="F128" s="6">
        <v>368</v>
      </c>
      <c r="G128" s="7" t="s">
        <v>48</v>
      </c>
      <c r="H128" s="6">
        <v>4</v>
      </c>
      <c r="I128" s="6">
        <v>4</v>
      </c>
      <c r="J128" s="7" t="b">
        <v>1</v>
      </c>
      <c r="K128" s="6">
        <v>968</v>
      </c>
      <c r="L128" s="6">
        <v>24</v>
      </c>
      <c r="M128" s="7" t="s">
        <v>68</v>
      </c>
      <c r="N128" s="7" t="s">
        <v>44</v>
      </c>
      <c r="O128" s="7" t="s">
        <v>45</v>
      </c>
      <c r="P128" s="6">
        <v>30</v>
      </c>
      <c r="Q128" s="11">
        <v>3</v>
      </c>
      <c r="R128" s="7" t="b">
        <v>1</v>
      </c>
      <c r="S128" s="7" t="s">
        <v>30</v>
      </c>
      <c r="T128" s="6">
        <v>119</v>
      </c>
      <c r="U128" s="7" t="s">
        <v>76</v>
      </c>
      <c r="V128" s="12" t="s">
        <v>79</v>
      </c>
      <c r="W128" s="7" t="s">
        <v>33</v>
      </c>
      <c r="X128" s="6">
        <f t="shared" si="7"/>
        <v>14</v>
      </c>
      <c r="Y128" t="str" cm="1">
        <f t="array" ref="Y128">_xlfn.IFS(E128=7.99,"BASIC",E128=11.99,"STANDARD",E128=15.99,"PREMIUM")</f>
        <v>PREMIUM</v>
      </c>
      <c r="Z128" s="4">
        <f t="shared" si="5"/>
        <v>184</v>
      </c>
      <c r="AA128" s="3" t="str" cm="1">
        <f t="array" ref="AA128">_xlfn.IFS(
(F128/(X128/7)) &lt; 5, "Casual",
AND((F128/(X128/7)) &gt;= 5, (F128/(X128/7)) &lt; 15), "Regular",
(F128/(X128/7)) &gt;= 15, "Power"
)</f>
        <v>Power</v>
      </c>
      <c r="AB128" s="3">
        <f t="shared" si="8"/>
        <v>0.37096774193548387</v>
      </c>
      <c r="AC128" t="str">
        <f t="shared" si="6"/>
        <v>Viewers</v>
      </c>
    </row>
    <row r="129" spans="1:30" x14ac:dyDescent="0.3">
      <c r="A129" s="6">
        <v>5995</v>
      </c>
      <c r="B129" s="7" t="s">
        <v>238</v>
      </c>
      <c r="C129" s="10">
        <v>45094</v>
      </c>
      <c r="D129" s="10">
        <v>45623</v>
      </c>
      <c r="E129" s="13">
        <v>15.99</v>
      </c>
      <c r="F129" s="6">
        <v>325</v>
      </c>
      <c r="G129" s="7" t="s">
        <v>26</v>
      </c>
      <c r="H129" s="6">
        <v>2</v>
      </c>
      <c r="I129" s="6">
        <v>5</v>
      </c>
      <c r="J129" s="7" t="b">
        <v>1</v>
      </c>
      <c r="K129" s="6">
        <v>757</v>
      </c>
      <c r="L129" s="6">
        <v>35</v>
      </c>
      <c r="M129" s="7" t="s">
        <v>49</v>
      </c>
      <c r="N129" s="7" t="s">
        <v>56</v>
      </c>
      <c r="O129" s="7" t="s">
        <v>45</v>
      </c>
      <c r="P129" s="6">
        <v>81</v>
      </c>
      <c r="Q129" s="11">
        <v>4.5999999999999996</v>
      </c>
      <c r="R129" s="7" t="b">
        <v>0</v>
      </c>
      <c r="S129" s="7" t="s">
        <v>30</v>
      </c>
      <c r="T129" s="6">
        <v>2798</v>
      </c>
      <c r="U129" s="7" t="s">
        <v>31</v>
      </c>
      <c r="V129" s="12" t="s">
        <v>39</v>
      </c>
      <c r="W129" s="7" t="s">
        <v>33</v>
      </c>
      <c r="X129" s="6">
        <f t="shared" si="7"/>
        <v>529</v>
      </c>
      <c r="Y129" t="str" cm="1">
        <f t="array" ref="Y129">_xlfn.IFS(E129=7.99,"BASIC",E129=11.99,"STANDARD",E129=15.99,"PREMIUM")</f>
        <v>PREMIUM</v>
      </c>
      <c r="Z129" s="4">
        <f t="shared" si="5"/>
        <v>4.3005671077504726</v>
      </c>
      <c r="AA129" s="3" t="str" cm="1">
        <f t="array" ref="AA129">_xlfn.IFS(
(F129/(X129/7)) &lt; 5, "Casual",
AND((F129/(X129/7)) &gt;= 5, (F129/(X129/7)) &lt; 15), "Regular",
(F129/(X129/7)) &gt;= 15, "Power"
)</f>
        <v>Casual</v>
      </c>
      <c r="AB129" s="3">
        <f t="shared" si="8"/>
        <v>0.41035353535353536</v>
      </c>
      <c r="AC129" t="str">
        <f t="shared" si="6"/>
        <v>Viewers</v>
      </c>
    </row>
    <row r="130" spans="1:30" x14ac:dyDescent="0.3">
      <c r="A130" s="6">
        <v>4155</v>
      </c>
      <c r="B130" s="7" t="s">
        <v>259</v>
      </c>
      <c r="C130" s="10">
        <v>44992</v>
      </c>
      <c r="D130" s="10">
        <v>45632</v>
      </c>
      <c r="E130" s="13">
        <v>11.99</v>
      </c>
      <c r="F130" s="6">
        <v>42</v>
      </c>
      <c r="G130" s="7" t="s">
        <v>48</v>
      </c>
      <c r="H130" s="6">
        <v>4</v>
      </c>
      <c r="I130" s="6">
        <v>2</v>
      </c>
      <c r="J130" s="7" t="b">
        <v>0</v>
      </c>
      <c r="K130" s="6">
        <v>560</v>
      </c>
      <c r="L130" s="6">
        <v>98</v>
      </c>
      <c r="M130" s="7" t="s">
        <v>92</v>
      </c>
      <c r="N130" s="7" t="s">
        <v>44</v>
      </c>
      <c r="O130" s="7" t="s">
        <v>45</v>
      </c>
      <c r="P130" s="6">
        <v>90</v>
      </c>
      <c r="Q130" s="11">
        <v>3.8</v>
      </c>
      <c r="R130" s="7" t="b">
        <v>0</v>
      </c>
      <c r="S130" s="7" t="s">
        <v>30</v>
      </c>
      <c r="T130" s="6">
        <v>496</v>
      </c>
      <c r="U130" s="7" t="s">
        <v>65</v>
      </c>
      <c r="V130" s="12" t="s">
        <v>59</v>
      </c>
      <c r="W130" s="7" t="s">
        <v>93</v>
      </c>
      <c r="X130" s="6">
        <f t="shared" si="7"/>
        <v>640</v>
      </c>
      <c r="Y130" t="str" cm="1">
        <f t="array" ref="Y130">_xlfn.IFS(E130=7.99,"BASIC",E130=11.99,"STANDARD",E130=15.99,"PREMIUM")</f>
        <v>STANDARD</v>
      </c>
      <c r="Z130" s="4">
        <f t="shared" ref="Z130:Z193" si="9">F130/(X130/7)</f>
        <v>0.45937499999999998</v>
      </c>
      <c r="AA130" s="3" t="str" cm="1">
        <f t="array" ref="AA130">_xlfn.IFS(
(F130/(X130/7)) &lt; 5, "Casual",
AND((F130/(X130/7)) &gt;= 5, (F130/(X130/7)) &lt; 15), "Regular",
(F130/(X130/7)) &gt;= 15, "Power"
)</f>
        <v>Casual</v>
      </c>
      <c r="AB130" s="3">
        <f t="shared" si="8"/>
        <v>6.3829787234042548E-2</v>
      </c>
      <c r="AC130" t="str">
        <f t="shared" ref="AC130:AC193" si="10">IF(F130/(K130+L130) &lt; 0.15," Browsers","Viewers")</f>
        <v xml:space="preserve"> Browsers</v>
      </c>
    </row>
    <row r="131" spans="1:30" x14ac:dyDescent="0.3">
      <c r="A131" s="6">
        <v>1851</v>
      </c>
      <c r="B131" s="7" t="s">
        <v>88</v>
      </c>
      <c r="C131" s="10">
        <v>45202</v>
      </c>
      <c r="D131" s="10">
        <v>45637</v>
      </c>
      <c r="E131" s="13">
        <v>11.99</v>
      </c>
      <c r="F131" s="6">
        <v>344</v>
      </c>
      <c r="G131" s="7" t="s">
        <v>63</v>
      </c>
      <c r="H131" s="6">
        <v>3</v>
      </c>
      <c r="I131" s="6">
        <v>1</v>
      </c>
      <c r="J131" s="7" t="b">
        <v>0</v>
      </c>
      <c r="K131" s="6">
        <v>456</v>
      </c>
      <c r="L131" s="6">
        <v>196</v>
      </c>
      <c r="M131" s="7" t="s">
        <v>92</v>
      </c>
      <c r="N131" s="7" t="s">
        <v>56</v>
      </c>
      <c r="O131" s="7" t="s">
        <v>45</v>
      </c>
      <c r="P131" s="6">
        <v>83</v>
      </c>
      <c r="Q131" s="11">
        <v>5</v>
      </c>
      <c r="R131" s="7" t="b">
        <v>0</v>
      </c>
      <c r="S131" s="7" t="s">
        <v>30</v>
      </c>
      <c r="T131" s="6">
        <v>3599</v>
      </c>
      <c r="U131" s="7" t="s">
        <v>38</v>
      </c>
      <c r="V131" s="12" t="s">
        <v>69</v>
      </c>
      <c r="W131" s="7" t="s">
        <v>40</v>
      </c>
      <c r="X131" s="6">
        <f t="shared" ref="X131:X194" si="11">D131-C131</f>
        <v>435</v>
      </c>
      <c r="Y131" t="str" cm="1">
        <f t="array" ref="Y131">_xlfn.IFS(E131=7.99,"BASIC",E131=11.99,"STANDARD",E131=15.99,"PREMIUM")</f>
        <v>STANDARD</v>
      </c>
      <c r="Z131" s="4">
        <f t="shared" si="9"/>
        <v>5.5356321839080458</v>
      </c>
      <c r="AA131" s="3" t="str" cm="1">
        <f t="array" ref="AA131">_xlfn.IFS(
(F131/(X131/7)) &lt; 5, "Casual",
AND((F131/(X131/7)) &gt;= 5, (F131/(X131/7)) &lt; 15), "Regular",
(F131/(X131/7)) &gt;= 15, "Power"
)</f>
        <v>Regular</v>
      </c>
      <c r="AB131" s="3">
        <f t="shared" si="8"/>
        <v>0.52760736196319014</v>
      </c>
      <c r="AC131" t="str">
        <f t="shared" si="10"/>
        <v>Viewers</v>
      </c>
    </row>
    <row r="132" spans="1:30" x14ac:dyDescent="0.3">
      <c r="A132" s="6">
        <v>8068</v>
      </c>
      <c r="B132" s="7" t="s">
        <v>260</v>
      </c>
      <c r="C132" s="10">
        <f>_xlfn.XLOOKUP(A132,'Data Anomalies -Pls Read It'!A:A,'Data Anomalies -Pls Read It'!D:D,1,0)</f>
        <v>45619</v>
      </c>
      <c r="D132" s="10">
        <f>_xlfn.XLOOKUP(A132,'Data Anomalies -Pls Read It'!A:A,'Data Anomalies -Pls Read It'!C:C,1,0)</f>
        <v>45640</v>
      </c>
      <c r="E132" s="13">
        <v>15.99</v>
      </c>
      <c r="F132" s="6">
        <v>77</v>
      </c>
      <c r="G132" s="7" t="s">
        <v>36</v>
      </c>
      <c r="H132" s="6">
        <v>5</v>
      </c>
      <c r="I132" s="6">
        <v>3</v>
      </c>
      <c r="J132" s="7" t="b">
        <v>0</v>
      </c>
      <c r="K132" s="6">
        <v>780</v>
      </c>
      <c r="L132" s="6">
        <v>138</v>
      </c>
      <c r="M132" s="7" t="s">
        <v>55</v>
      </c>
      <c r="N132" s="7" t="s">
        <v>75</v>
      </c>
      <c r="O132" s="7" t="s">
        <v>78</v>
      </c>
      <c r="P132" s="6">
        <v>66</v>
      </c>
      <c r="Q132" s="11">
        <v>3.4</v>
      </c>
      <c r="R132" s="7" t="b">
        <v>0</v>
      </c>
      <c r="S132" s="7" t="s">
        <v>30</v>
      </c>
      <c r="T132" s="6">
        <v>1752</v>
      </c>
      <c r="U132" s="7" t="s">
        <v>76</v>
      </c>
      <c r="V132" s="12" t="s">
        <v>59</v>
      </c>
      <c r="W132" s="7" t="s">
        <v>93</v>
      </c>
      <c r="X132" s="6">
        <f t="shared" si="11"/>
        <v>21</v>
      </c>
      <c r="Y132" t="str" cm="1">
        <f t="array" ref="Y132">_xlfn.IFS(E132=7.99,"BASIC",E132=11.99,"STANDARD",E132=15.99,"PREMIUM")</f>
        <v>PREMIUM</v>
      </c>
      <c r="Z132" s="4">
        <f t="shared" si="9"/>
        <v>25.666666666666668</v>
      </c>
      <c r="AA132" s="3" t="str" cm="1">
        <f t="array" ref="AA132">_xlfn.IFS(
(F132/(X132/7)) &lt; 5, "Casual",
AND((F132/(X132/7)) &gt;= 5, (F132/(X132/7)) &lt; 15), "Regular",
(F132/(X132/7)) &gt;= 15, "Power"
)</f>
        <v>Power</v>
      </c>
      <c r="AB132" s="3">
        <f t="shared" si="8"/>
        <v>8.3877995642701528E-2</v>
      </c>
      <c r="AC132" t="str">
        <f t="shared" si="10"/>
        <v xml:space="preserve"> Browsers</v>
      </c>
      <c r="AD132" t="s">
        <v>779</v>
      </c>
    </row>
    <row r="133" spans="1:30" x14ac:dyDescent="0.3">
      <c r="A133" s="6">
        <v>8425</v>
      </c>
      <c r="B133" s="7" t="s">
        <v>34</v>
      </c>
      <c r="C133" s="10">
        <v>45610</v>
      </c>
      <c r="D133" s="10">
        <v>45624</v>
      </c>
      <c r="E133" s="13">
        <v>7.99</v>
      </c>
      <c r="F133" s="6">
        <v>237</v>
      </c>
      <c r="G133" s="7" t="s">
        <v>73</v>
      </c>
      <c r="H133" s="6">
        <v>5</v>
      </c>
      <c r="I133" s="6">
        <v>3</v>
      </c>
      <c r="J133" s="7" t="b">
        <v>1</v>
      </c>
      <c r="K133" s="6">
        <v>168</v>
      </c>
      <c r="L133" s="6">
        <v>18</v>
      </c>
      <c r="M133" s="7" t="s">
        <v>68</v>
      </c>
      <c r="N133" s="7" t="s">
        <v>75</v>
      </c>
      <c r="O133" s="7" t="s">
        <v>45</v>
      </c>
      <c r="P133" s="6">
        <v>32</v>
      </c>
      <c r="Q133" s="11">
        <v>3.5</v>
      </c>
      <c r="R133" s="7" t="b">
        <v>1</v>
      </c>
      <c r="S133" s="7" t="s">
        <v>30</v>
      </c>
      <c r="T133" s="6">
        <v>3633</v>
      </c>
      <c r="U133" s="7" t="s">
        <v>65</v>
      </c>
      <c r="V133" s="12" t="s">
        <v>39</v>
      </c>
      <c r="W133" s="7" t="s">
        <v>40</v>
      </c>
      <c r="X133" s="6">
        <f t="shared" si="11"/>
        <v>14</v>
      </c>
      <c r="Y133" t="str" cm="1">
        <f t="array" ref="Y133">_xlfn.IFS(E133=7.99,"BASIC",E133=11.99,"STANDARD",E133=15.99,"PREMIUM")</f>
        <v>BASIC</v>
      </c>
      <c r="Z133" s="4">
        <f t="shared" si="9"/>
        <v>118.5</v>
      </c>
      <c r="AA133" s="3" t="str" cm="1">
        <f t="array" ref="AA133">_xlfn.IFS(
(F133/(X133/7)) &lt; 5, "Casual",
AND((F133/(X133/7)) &gt;= 5, (F133/(X133/7)) &lt; 15), "Regular",
(F133/(X133/7)) &gt;= 15, "Power"
)</f>
        <v>Power</v>
      </c>
      <c r="AB133" s="3">
        <f t="shared" si="8"/>
        <v>1.2741935483870968</v>
      </c>
      <c r="AC133" t="str">
        <f t="shared" si="10"/>
        <v>Viewers</v>
      </c>
    </row>
    <row r="134" spans="1:30" x14ac:dyDescent="0.3">
      <c r="A134" s="6">
        <v>4706</v>
      </c>
      <c r="B134" s="7" t="s">
        <v>170</v>
      </c>
      <c r="C134" s="10">
        <v>44965</v>
      </c>
      <c r="D134" s="10">
        <v>45632</v>
      </c>
      <c r="E134" s="13">
        <v>11.99</v>
      </c>
      <c r="F134" s="6">
        <v>480</v>
      </c>
      <c r="G134" s="7" t="s">
        <v>48</v>
      </c>
      <c r="H134" s="6">
        <v>1</v>
      </c>
      <c r="I134" s="6">
        <v>2</v>
      </c>
      <c r="J134" s="7" t="b">
        <v>1</v>
      </c>
      <c r="K134" s="6">
        <v>350</v>
      </c>
      <c r="L134" s="6">
        <v>122</v>
      </c>
      <c r="M134" s="7" t="s">
        <v>92</v>
      </c>
      <c r="N134" s="7" t="s">
        <v>28</v>
      </c>
      <c r="O134" s="7" t="s">
        <v>57</v>
      </c>
      <c r="P134" s="6">
        <v>59</v>
      </c>
      <c r="Q134" s="11">
        <v>4.5999999999999996</v>
      </c>
      <c r="R134" s="7" t="b">
        <v>0</v>
      </c>
      <c r="S134" s="7" t="s">
        <v>30</v>
      </c>
      <c r="T134" s="6">
        <v>3568</v>
      </c>
      <c r="U134" s="7" t="s">
        <v>38</v>
      </c>
      <c r="V134" s="12" t="s">
        <v>32</v>
      </c>
      <c r="W134" s="7" t="s">
        <v>33</v>
      </c>
      <c r="X134" s="6">
        <f t="shared" si="11"/>
        <v>667</v>
      </c>
      <c r="Y134" t="str" cm="1">
        <f t="array" ref="Y134">_xlfn.IFS(E134=7.99,"BASIC",E134=11.99,"STANDARD",E134=15.99,"PREMIUM")</f>
        <v>STANDARD</v>
      </c>
      <c r="Z134" s="4">
        <f t="shared" si="9"/>
        <v>5.0374812593703142</v>
      </c>
      <c r="AA134" s="3" t="str" cm="1">
        <f t="array" ref="AA134">_xlfn.IFS(
(F134/(X134/7)) &lt; 5, "Casual",
AND((F134/(X134/7)) &gt;= 5, (F134/(X134/7)) &lt; 15), "Regular",
(F134/(X134/7)) &gt;= 15, "Power"
)</f>
        <v>Regular</v>
      </c>
      <c r="AB134" s="3">
        <f t="shared" si="8"/>
        <v>1.0169491525423728</v>
      </c>
      <c r="AC134" t="str">
        <f t="shared" si="10"/>
        <v>Viewers</v>
      </c>
    </row>
    <row r="135" spans="1:30" x14ac:dyDescent="0.3">
      <c r="A135" s="6">
        <v>7544</v>
      </c>
      <c r="B135" s="7" t="s">
        <v>262</v>
      </c>
      <c r="C135" s="10">
        <v>45170</v>
      </c>
      <c r="D135" s="10">
        <v>45621</v>
      </c>
      <c r="E135" s="13">
        <v>15.99</v>
      </c>
      <c r="F135" s="6">
        <v>152</v>
      </c>
      <c r="G135" s="7" t="s">
        <v>63</v>
      </c>
      <c r="H135" s="6">
        <v>1</v>
      </c>
      <c r="I135" s="6">
        <v>3</v>
      </c>
      <c r="J135" s="7" t="b">
        <v>0</v>
      </c>
      <c r="K135" s="6">
        <v>341</v>
      </c>
      <c r="L135" s="6">
        <v>193</v>
      </c>
      <c r="M135" s="7" t="s">
        <v>49</v>
      </c>
      <c r="N135" s="7" t="s">
        <v>56</v>
      </c>
      <c r="O135" s="7" t="s">
        <v>45</v>
      </c>
      <c r="P135" s="6">
        <v>95</v>
      </c>
      <c r="Q135" s="11">
        <v>3.7</v>
      </c>
      <c r="R135" s="7" t="b">
        <v>0</v>
      </c>
      <c r="S135" s="7" t="s">
        <v>30</v>
      </c>
      <c r="T135" s="6">
        <v>4361</v>
      </c>
      <c r="U135" s="7" t="s">
        <v>31</v>
      </c>
      <c r="V135" s="12" t="s">
        <v>69</v>
      </c>
      <c r="W135" s="7" t="s">
        <v>93</v>
      </c>
      <c r="X135" s="6">
        <f t="shared" si="11"/>
        <v>451</v>
      </c>
      <c r="Y135" t="str" cm="1">
        <f t="array" ref="Y135">_xlfn.IFS(E135=7.99,"BASIC",E135=11.99,"STANDARD",E135=15.99,"PREMIUM")</f>
        <v>PREMIUM</v>
      </c>
      <c r="Z135" s="4">
        <f t="shared" si="9"/>
        <v>2.3592017738359199</v>
      </c>
      <c r="AA135" s="3" t="str" cm="1">
        <f t="array" ref="AA135">_xlfn.IFS(
(F135/(X135/7)) &lt; 5, "Casual",
AND((F135/(X135/7)) &gt;= 5, (F135/(X135/7)) &lt; 15), "Regular",
(F135/(X135/7)) &gt;= 15, "Power"
)</f>
        <v>Casual</v>
      </c>
      <c r="AB135" s="3">
        <f t="shared" si="8"/>
        <v>0.28464419475655428</v>
      </c>
      <c r="AC135" t="str">
        <f t="shared" si="10"/>
        <v>Viewers</v>
      </c>
    </row>
    <row r="136" spans="1:30" x14ac:dyDescent="0.3">
      <c r="A136" s="6">
        <v>4029</v>
      </c>
      <c r="B136" s="7" t="s">
        <v>263</v>
      </c>
      <c r="C136" s="10">
        <v>45580</v>
      </c>
      <c r="D136" s="10">
        <v>45620</v>
      </c>
      <c r="E136" s="13">
        <v>11.99</v>
      </c>
      <c r="F136" s="6">
        <v>308</v>
      </c>
      <c r="G136" s="7" t="s">
        <v>36</v>
      </c>
      <c r="H136" s="6">
        <v>2</v>
      </c>
      <c r="I136" s="6">
        <v>3</v>
      </c>
      <c r="J136" s="7" t="b">
        <v>0</v>
      </c>
      <c r="K136" s="6">
        <v>392</v>
      </c>
      <c r="L136" s="6">
        <v>151</v>
      </c>
      <c r="M136" s="7" t="s">
        <v>43</v>
      </c>
      <c r="N136" s="7" t="s">
        <v>44</v>
      </c>
      <c r="O136" s="7" t="s">
        <v>37</v>
      </c>
      <c r="P136" s="6">
        <v>27</v>
      </c>
      <c r="Q136" s="11">
        <v>4.2</v>
      </c>
      <c r="R136" s="7" t="b">
        <v>1</v>
      </c>
      <c r="S136" s="7" t="s">
        <v>30</v>
      </c>
      <c r="T136" s="6">
        <v>1176</v>
      </c>
      <c r="U136" s="7" t="s">
        <v>31</v>
      </c>
      <c r="V136" s="12" t="s">
        <v>59</v>
      </c>
      <c r="W136" s="7" t="s">
        <v>40</v>
      </c>
      <c r="X136" s="6">
        <f t="shared" si="11"/>
        <v>40</v>
      </c>
      <c r="Y136" t="str" cm="1">
        <f t="array" ref="Y136">_xlfn.IFS(E136=7.99,"BASIC",E136=11.99,"STANDARD",E136=15.99,"PREMIUM")</f>
        <v>STANDARD</v>
      </c>
      <c r="Z136" s="4">
        <f t="shared" si="9"/>
        <v>53.9</v>
      </c>
      <c r="AA136" s="3" t="str" cm="1">
        <f t="array" ref="AA136">_xlfn.IFS(
(F136/(X136/7)) &lt; 5, "Casual",
AND((F136/(X136/7)) &gt;= 5, (F136/(X136/7)) &lt; 15), "Regular",
(F136/(X136/7)) &gt;= 15, "Power"
)</f>
        <v>Power</v>
      </c>
      <c r="AB136" s="3">
        <f t="shared" si="8"/>
        <v>0.56721915285451197</v>
      </c>
      <c r="AC136" t="str">
        <f t="shared" si="10"/>
        <v>Viewers</v>
      </c>
    </row>
    <row r="137" spans="1:30" x14ac:dyDescent="0.3">
      <c r="A137" s="6">
        <v>6117</v>
      </c>
      <c r="B137" s="7" t="s">
        <v>147</v>
      </c>
      <c r="C137" s="10">
        <v>45442</v>
      </c>
      <c r="D137" s="10">
        <v>45623</v>
      </c>
      <c r="E137" s="13">
        <v>7.99</v>
      </c>
      <c r="F137" s="6">
        <v>14</v>
      </c>
      <c r="G137" s="7" t="s">
        <v>36</v>
      </c>
      <c r="H137" s="6">
        <v>5</v>
      </c>
      <c r="I137" s="6">
        <v>5</v>
      </c>
      <c r="J137" s="7" t="b">
        <v>1</v>
      </c>
      <c r="K137" s="6">
        <v>95</v>
      </c>
      <c r="L137" s="6">
        <v>158</v>
      </c>
      <c r="M137" s="7" t="s">
        <v>68</v>
      </c>
      <c r="N137" s="7" t="s">
        <v>56</v>
      </c>
      <c r="O137" s="7" t="s">
        <v>29</v>
      </c>
      <c r="P137" s="6">
        <v>49</v>
      </c>
      <c r="Q137" s="11">
        <v>3.9</v>
      </c>
      <c r="R137" s="7" t="b">
        <v>0</v>
      </c>
      <c r="S137" s="7" t="s">
        <v>30</v>
      </c>
      <c r="T137" s="6">
        <v>1849</v>
      </c>
      <c r="U137" s="7" t="s">
        <v>76</v>
      </c>
      <c r="V137" s="12" t="s">
        <v>59</v>
      </c>
      <c r="W137" s="7" t="s">
        <v>40</v>
      </c>
      <c r="X137" s="6">
        <f t="shared" si="11"/>
        <v>181</v>
      </c>
      <c r="Y137" t="str" cm="1">
        <f t="array" ref="Y137">_xlfn.IFS(E137=7.99,"BASIC",E137=11.99,"STANDARD",E137=15.99,"PREMIUM")</f>
        <v>BASIC</v>
      </c>
      <c r="Z137" s="4">
        <f t="shared" si="9"/>
        <v>0.54143646408839774</v>
      </c>
      <c r="AA137" s="3" t="str" cm="1">
        <f t="array" ref="AA137">_xlfn.IFS(
(F137/(X137/7)) &lt; 5, "Casual",
AND((F137/(X137/7)) &gt;= 5, (F137/(X137/7)) &lt; 15), "Regular",
(F137/(X137/7)) &gt;= 15, "Power"
)</f>
        <v>Casual</v>
      </c>
      <c r="AB137" s="3">
        <f t="shared" ref="AB137:AB200" si="12">(F137/(K137+L137))</f>
        <v>5.533596837944664E-2</v>
      </c>
      <c r="AC137" t="str">
        <f t="shared" si="10"/>
        <v xml:space="preserve"> Browsers</v>
      </c>
    </row>
    <row r="138" spans="1:30" x14ac:dyDescent="0.3">
      <c r="A138" s="6">
        <v>1408</v>
      </c>
      <c r="B138" s="7" t="s">
        <v>266</v>
      </c>
      <c r="C138" s="10">
        <v>44949</v>
      </c>
      <c r="D138" s="10">
        <v>45616</v>
      </c>
      <c r="E138" s="13">
        <v>11.99</v>
      </c>
      <c r="F138" s="6">
        <v>233</v>
      </c>
      <c r="G138" s="7" t="s">
        <v>36</v>
      </c>
      <c r="H138" s="6">
        <v>5</v>
      </c>
      <c r="I138" s="6">
        <v>6</v>
      </c>
      <c r="J138" s="7" t="b">
        <v>1</v>
      </c>
      <c r="K138" s="6">
        <v>186</v>
      </c>
      <c r="L138" s="6">
        <v>129</v>
      </c>
      <c r="M138" s="7" t="s">
        <v>55</v>
      </c>
      <c r="N138" s="7" t="s">
        <v>44</v>
      </c>
      <c r="O138" s="7" t="s">
        <v>29</v>
      </c>
      <c r="P138" s="6">
        <v>38</v>
      </c>
      <c r="Q138" s="11">
        <v>4</v>
      </c>
      <c r="R138" s="7" t="b">
        <v>1</v>
      </c>
      <c r="S138" s="7" t="s">
        <v>30</v>
      </c>
      <c r="T138" s="6">
        <v>3953</v>
      </c>
      <c r="U138" s="7" t="s">
        <v>65</v>
      </c>
      <c r="V138" s="12" t="s">
        <v>32</v>
      </c>
      <c r="W138" s="7" t="s">
        <v>40</v>
      </c>
      <c r="X138" s="6">
        <f t="shared" si="11"/>
        <v>667</v>
      </c>
      <c r="Y138" t="str" cm="1">
        <f t="array" ref="Y138">_xlfn.IFS(E138=7.99,"BASIC",E138=11.99,"STANDARD",E138=15.99,"PREMIUM")</f>
        <v>STANDARD</v>
      </c>
      <c r="Z138" s="4">
        <f t="shared" si="9"/>
        <v>2.4452773613193401</v>
      </c>
      <c r="AA138" s="3" t="str" cm="1">
        <f t="array" ref="AA138">_xlfn.IFS(
(F138/(X138/7)) &lt; 5, "Casual",
AND((F138/(X138/7)) &gt;= 5, (F138/(X138/7)) &lt; 15), "Regular",
(F138/(X138/7)) &gt;= 15, "Power"
)</f>
        <v>Casual</v>
      </c>
      <c r="AB138" s="3">
        <f t="shared" si="12"/>
        <v>0.73968253968253972</v>
      </c>
      <c r="AC138" t="str">
        <f t="shared" si="10"/>
        <v>Viewers</v>
      </c>
    </row>
    <row r="139" spans="1:30" x14ac:dyDescent="0.3">
      <c r="A139" s="6">
        <v>8396</v>
      </c>
      <c r="B139" s="7" t="s">
        <v>52</v>
      </c>
      <c r="C139" s="10">
        <v>45338</v>
      </c>
      <c r="D139" s="10">
        <v>45637</v>
      </c>
      <c r="E139" s="13">
        <v>7.99</v>
      </c>
      <c r="F139" s="6">
        <v>169</v>
      </c>
      <c r="G139" s="7" t="s">
        <v>51</v>
      </c>
      <c r="H139" s="6">
        <v>1</v>
      </c>
      <c r="I139" s="6">
        <v>5</v>
      </c>
      <c r="J139" s="7" t="b">
        <v>0</v>
      </c>
      <c r="K139" s="6">
        <v>543</v>
      </c>
      <c r="L139" s="6">
        <v>111</v>
      </c>
      <c r="M139" s="7" t="s">
        <v>74</v>
      </c>
      <c r="N139" s="7" t="s">
        <v>28</v>
      </c>
      <c r="O139" s="7" t="s">
        <v>78</v>
      </c>
      <c r="P139" s="6">
        <v>28</v>
      </c>
      <c r="Q139" s="11">
        <v>3.7</v>
      </c>
      <c r="R139" s="7" t="b">
        <v>0</v>
      </c>
      <c r="S139" s="7" t="s">
        <v>30</v>
      </c>
      <c r="T139" s="6">
        <v>3277</v>
      </c>
      <c r="U139" s="7" t="s">
        <v>58</v>
      </c>
      <c r="V139" s="12" t="s">
        <v>79</v>
      </c>
      <c r="W139" s="7" t="s">
        <v>40</v>
      </c>
      <c r="X139" s="6">
        <f t="shared" si="11"/>
        <v>299</v>
      </c>
      <c r="Y139" t="str" cm="1">
        <f t="array" ref="Y139">_xlfn.IFS(E139=7.99,"BASIC",E139=11.99,"STANDARD",E139=15.99,"PREMIUM")</f>
        <v>BASIC</v>
      </c>
      <c r="Z139" s="4">
        <f t="shared" si="9"/>
        <v>3.9565217391304346</v>
      </c>
      <c r="AA139" s="3" t="str" cm="1">
        <f t="array" ref="AA139">_xlfn.IFS(
(F139/(X139/7)) &lt; 5, "Casual",
AND((F139/(X139/7)) &gt;= 5, (F139/(X139/7)) &lt; 15), "Regular",
(F139/(X139/7)) &gt;= 15, "Power"
)</f>
        <v>Casual</v>
      </c>
      <c r="AB139" s="3">
        <f t="shared" si="12"/>
        <v>0.25840978593272174</v>
      </c>
      <c r="AC139" t="str">
        <f t="shared" si="10"/>
        <v>Viewers</v>
      </c>
    </row>
    <row r="140" spans="1:30" x14ac:dyDescent="0.3">
      <c r="A140" s="6">
        <v>6806</v>
      </c>
      <c r="B140" s="7" t="s">
        <v>268</v>
      </c>
      <c r="C140" s="10">
        <v>45278</v>
      </c>
      <c r="D140" s="10">
        <v>45619</v>
      </c>
      <c r="E140" s="13">
        <v>7.99</v>
      </c>
      <c r="F140" s="6">
        <v>358</v>
      </c>
      <c r="G140" s="7" t="s">
        <v>26</v>
      </c>
      <c r="H140" s="6">
        <v>2</v>
      </c>
      <c r="I140" s="6">
        <v>3</v>
      </c>
      <c r="J140" s="7" t="b">
        <v>1</v>
      </c>
      <c r="K140" s="6">
        <v>858</v>
      </c>
      <c r="L140" s="6">
        <v>65</v>
      </c>
      <c r="M140" s="7" t="s">
        <v>74</v>
      </c>
      <c r="N140" s="7" t="s">
        <v>44</v>
      </c>
      <c r="O140" s="7" t="s">
        <v>45</v>
      </c>
      <c r="P140" s="6">
        <v>5</v>
      </c>
      <c r="Q140" s="11">
        <v>4.5999999999999996</v>
      </c>
      <c r="R140" s="7" t="b">
        <v>1</v>
      </c>
      <c r="S140" s="7" t="s">
        <v>30</v>
      </c>
      <c r="T140" s="6">
        <v>1572</v>
      </c>
      <c r="U140" s="7" t="s">
        <v>65</v>
      </c>
      <c r="V140" s="12" t="s">
        <v>69</v>
      </c>
      <c r="W140" s="7" t="s">
        <v>93</v>
      </c>
      <c r="X140" s="6">
        <f t="shared" si="11"/>
        <v>341</v>
      </c>
      <c r="Y140" t="str" cm="1">
        <f t="array" ref="Y140">_xlfn.IFS(E140=7.99,"BASIC",E140=11.99,"STANDARD",E140=15.99,"PREMIUM")</f>
        <v>BASIC</v>
      </c>
      <c r="Z140" s="4">
        <f t="shared" si="9"/>
        <v>7.3489736070381229</v>
      </c>
      <c r="AA140" s="3" t="str" cm="1">
        <f t="array" ref="AA140">_xlfn.IFS(
(F140/(X140/7)) &lt; 5, "Casual",
AND((F140/(X140/7)) &gt;= 5, (F140/(X140/7)) &lt; 15), "Regular",
(F140/(X140/7)) &gt;= 15, "Power"
)</f>
        <v>Regular</v>
      </c>
      <c r="AB140" s="3">
        <f t="shared" si="12"/>
        <v>0.38786565547128926</v>
      </c>
      <c r="AC140" t="str">
        <f t="shared" si="10"/>
        <v>Viewers</v>
      </c>
    </row>
    <row r="141" spans="1:30" x14ac:dyDescent="0.3">
      <c r="A141" s="6">
        <v>3496</v>
      </c>
      <c r="B141" s="7" t="s">
        <v>242</v>
      </c>
      <c r="C141" s="10">
        <v>45254</v>
      </c>
      <c r="D141" s="10">
        <v>45637</v>
      </c>
      <c r="E141" s="13">
        <v>11.99</v>
      </c>
      <c r="F141" s="6">
        <v>404</v>
      </c>
      <c r="G141" s="7" t="s">
        <v>36</v>
      </c>
      <c r="H141" s="6">
        <v>4</v>
      </c>
      <c r="I141" s="6">
        <v>6</v>
      </c>
      <c r="J141" s="7" t="b">
        <v>0</v>
      </c>
      <c r="K141" s="6">
        <v>906</v>
      </c>
      <c r="L141" s="6">
        <v>43</v>
      </c>
      <c r="M141" s="7" t="s">
        <v>55</v>
      </c>
      <c r="N141" s="7" t="s">
        <v>28</v>
      </c>
      <c r="O141" s="7" t="s">
        <v>37</v>
      </c>
      <c r="P141" s="6">
        <v>59</v>
      </c>
      <c r="Q141" s="11">
        <v>4.9000000000000004</v>
      </c>
      <c r="R141" s="7" t="b">
        <v>1</v>
      </c>
      <c r="S141" s="7" t="s">
        <v>30</v>
      </c>
      <c r="T141" s="6">
        <v>2676</v>
      </c>
      <c r="U141" s="7" t="s">
        <v>76</v>
      </c>
      <c r="V141" s="12" t="s">
        <v>39</v>
      </c>
      <c r="W141" s="7" t="s">
        <v>60</v>
      </c>
      <c r="X141" s="6">
        <f t="shared" si="11"/>
        <v>383</v>
      </c>
      <c r="Y141" t="str" cm="1">
        <f t="array" ref="Y141">_xlfn.IFS(E141=7.99,"BASIC",E141=11.99,"STANDARD",E141=15.99,"PREMIUM")</f>
        <v>STANDARD</v>
      </c>
      <c r="Z141" s="4">
        <f t="shared" si="9"/>
        <v>7.3838120104438643</v>
      </c>
      <c r="AA141" s="3" t="str" cm="1">
        <f t="array" ref="AA141">_xlfn.IFS(
(F141/(X141/7)) &lt; 5, "Casual",
AND((F141/(X141/7)) &gt;= 5, (F141/(X141/7)) &lt; 15), "Regular",
(F141/(X141/7)) &gt;= 15, "Power"
)</f>
        <v>Regular</v>
      </c>
      <c r="AB141" s="3">
        <f t="shared" si="12"/>
        <v>0.42571127502634354</v>
      </c>
      <c r="AC141" t="str">
        <f t="shared" si="10"/>
        <v>Viewers</v>
      </c>
    </row>
    <row r="142" spans="1:30" x14ac:dyDescent="0.3">
      <c r="A142" s="6">
        <v>7840</v>
      </c>
      <c r="B142" s="7" t="s">
        <v>270</v>
      </c>
      <c r="C142" s="10">
        <v>45324</v>
      </c>
      <c r="D142" s="10">
        <v>45637</v>
      </c>
      <c r="E142" s="13">
        <v>15.99</v>
      </c>
      <c r="F142" s="6">
        <v>131</v>
      </c>
      <c r="G142" s="7" t="s">
        <v>73</v>
      </c>
      <c r="H142" s="6">
        <v>5</v>
      </c>
      <c r="I142" s="6">
        <v>3</v>
      </c>
      <c r="J142" s="7" t="b">
        <v>1</v>
      </c>
      <c r="K142" s="6">
        <v>808</v>
      </c>
      <c r="L142" s="6">
        <v>48</v>
      </c>
      <c r="M142" s="7" t="s">
        <v>49</v>
      </c>
      <c r="N142" s="7" t="s">
        <v>28</v>
      </c>
      <c r="O142" s="7" t="s">
        <v>29</v>
      </c>
      <c r="P142" s="6">
        <v>55</v>
      </c>
      <c r="Q142" s="11">
        <v>3.3</v>
      </c>
      <c r="R142" s="7" t="b">
        <v>1</v>
      </c>
      <c r="S142" s="7" t="s">
        <v>30</v>
      </c>
      <c r="T142" s="6">
        <v>3053</v>
      </c>
      <c r="U142" s="7" t="s">
        <v>58</v>
      </c>
      <c r="V142" s="12" t="s">
        <v>79</v>
      </c>
      <c r="W142" s="7" t="s">
        <v>93</v>
      </c>
      <c r="X142" s="6">
        <f t="shared" si="11"/>
        <v>313</v>
      </c>
      <c r="Y142" t="str" cm="1">
        <f t="array" ref="Y142">_xlfn.IFS(E142=7.99,"BASIC",E142=11.99,"STANDARD",E142=15.99,"PREMIUM")</f>
        <v>PREMIUM</v>
      </c>
      <c r="Z142" s="4">
        <f t="shared" si="9"/>
        <v>2.9297124600638975</v>
      </c>
      <c r="AA142" s="3" t="str" cm="1">
        <f t="array" ref="AA142">_xlfn.IFS(
(F142/(X142/7)) &lt; 5, "Casual",
AND((F142/(X142/7)) &gt;= 5, (F142/(X142/7)) &lt; 15), "Regular",
(F142/(X142/7)) &gt;= 15, "Power"
)</f>
        <v>Casual</v>
      </c>
      <c r="AB142" s="3">
        <f t="shared" si="12"/>
        <v>0.1530373831775701</v>
      </c>
      <c r="AC142" t="str">
        <f t="shared" si="10"/>
        <v>Viewers</v>
      </c>
    </row>
    <row r="143" spans="1:30" x14ac:dyDescent="0.3">
      <c r="A143" s="6">
        <v>2099</v>
      </c>
      <c r="B143" s="7" t="s">
        <v>157</v>
      </c>
      <c r="C143" s="10">
        <v>45493</v>
      </c>
      <c r="D143" s="10">
        <v>45619</v>
      </c>
      <c r="E143" s="13">
        <v>11.99</v>
      </c>
      <c r="F143" s="6">
        <v>32</v>
      </c>
      <c r="G143" s="7" t="s">
        <v>36</v>
      </c>
      <c r="H143" s="6">
        <v>1</v>
      </c>
      <c r="I143" s="6">
        <v>6</v>
      </c>
      <c r="J143" s="7" t="b">
        <v>1</v>
      </c>
      <c r="K143" s="6">
        <v>84</v>
      </c>
      <c r="L143" s="6">
        <v>73</v>
      </c>
      <c r="M143" s="7" t="s">
        <v>74</v>
      </c>
      <c r="N143" s="7" t="s">
        <v>75</v>
      </c>
      <c r="O143" s="7" t="s">
        <v>29</v>
      </c>
      <c r="P143" s="6">
        <v>59</v>
      </c>
      <c r="Q143" s="11">
        <v>3.6</v>
      </c>
      <c r="R143" s="7" t="b">
        <v>1</v>
      </c>
      <c r="S143" s="7" t="s">
        <v>30</v>
      </c>
      <c r="T143" s="6">
        <v>2620</v>
      </c>
      <c r="U143" s="7" t="s">
        <v>38</v>
      </c>
      <c r="V143" s="12" t="s">
        <v>32</v>
      </c>
      <c r="W143" s="7" t="s">
        <v>60</v>
      </c>
      <c r="X143" s="6">
        <f t="shared" si="11"/>
        <v>126</v>
      </c>
      <c r="Y143" t="str" cm="1">
        <f t="array" ref="Y143">_xlfn.IFS(E143=7.99,"BASIC",E143=11.99,"STANDARD",E143=15.99,"PREMIUM")</f>
        <v>STANDARD</v>
      </c>
      <c r="Z143" s="4">
        <f t="shared" si="9"/>
        <v>1.7777777777777777</v>
      </c>
      <c r="AA143" s="3" t="str" cm="1">
        <f t="array" ref="AA143">_xlfn.IFS(
(F143/(X143/7)) &lt; 5, "Casual",
AND((F143/(X143/7)) &gt;= 5, (F143/(X143/7)) &lt; 15), "Regular",
(F143/(X143/7)) &gt;= 15, "Power"
)</f>
        <v>Casual</v>
      </c>
      <c r="AB143" s="3">
        <f t="shared" si="12"/>
        <v>0.20382165605095542</v>
      </c>
      <c r="AC143" t="str">
        <f t="shared" si="10"/>
        <v>Viewers</v>
      </c>
    </row>
    <row r="144" spans="1:30" x14ac:dyDescent="0.3">
      <c r="A144" s="6">
        <v>6518</v>
      </c>
      <c r="B144" s="7" t="s">
        <v>271</v>
      </c>
      <c r="C144" s="10">
        <v>45617</v>
      </c>
      <c r="D144" s="10">
        <v>45633</v>
      </c>
      <c r="E144" s="13">
        <v>7.99</v>
      </c>
      <c r="F144" s="6">
        <v>478</v>
      </c>
      <c r="G144" s="7" t="s">
        <v>26</v>
      </c>
      <c r="H144" s="6">
        <v>5</v>
      </c>
      <c r="I144" s="6">
        <v>3</v>
      </c>
      <c r="J144" s="7" t="b">
        <v>1</v>
      </c>
      <c r="K144" s="6">
        <v>780</v>
      </c>
      <c r="L144" s="6">
        <v>78</v>
      </c>
      <c r="M144" s="7" t="s">
        <v>49</v>
      </c>
      <c r="N144" s="7" t="s">
        <v>28</v>
      </c>
      <c r="O144" s="7" t="s">
        <v>57</v>
      </c>
      <c r="P144" s="6">
        <v>66</v>
      </c>
      <c r="Q144" s="11">
        <v>4</v>
      </c>
      <c r="R144" s="7" t="b">
        <v>0</v>
      </c>
      <c r="S144" s="7" t="s">
        <v>30</v>
      </c>
      <c r="T144" s="6">
        <v>4068</v>
      </c>
      <c r="U144" s="7" t="s">
        <v>58</v>
      </c>
      <c r="V144" s="12" t="s">
        <v>32</v>
      </c>
      <c r="W144" s="7" t="s">
        <v>60</v>
      </c>
      <c r="X144" s="6">
        <f t="shared" si="11"/>
        <v>16</v>
      </c>
      <c r="Y144" t="str" cm="1">
        <f t="array" ref="Y144">_xlfn.IFS(E144=7.99,"BASIC",E144=11.99,"STANDARD",E144=15.99,"PREMIUM")</f>
        <v>BASIC</v>
      </c>
      <c r="Z144" s="4">
        <f t="shared" si="9"/>
        <v>209.125</v>
      </c>
      <c r="AA144" s="3" t="str" cm="1">
        <f t="array" ref="AA144">_xlfn.IFS(
(F144/(X144/7)) &lt; 5, "Casual",
AND((F144/(X144/7)) &gt;= 5, (F144/(X144/7)) &lt; 15), "Regular",
(F144/(X144/7)) &gt;= 15, "Power"
)</f>
        <v>Power</v>
      </c>
      <c r="AB144" s="3">
        <f t="shared" si="12"/>
        <v>0.55710955710955712</v>
      </c>
      <c r="AC144" t="str">
        <f t="shared" si="10"/>
        <v>Viewers</v>
      </c>
    </row>
    <row r="145" spans="1:30" x14ac:dyDescent="0.3">
      <c r="A145" s="6">
        <v>1976</v>
      </c>
      <c r="B145" s="7" t="s">
        <v>249</v>
      </c>
      <c r="C145" s="10">
        <v>45585</v>
      </c>
      <c r="D145" s="10">
        <v>45642</v>
      </c>
      <c r="E145" s="13">
        <v>11.99</v>
      </c>
      <c r="F145" s="6">
        <v>88</v>
      </c>
      <c r="G145" s="7" t="s">
        <v>48</v>
      </c>
      <c r="H145" s="6">
        <v>3</v>
      </c>
      <c r="I145" s="6">
        <v>1</v>
      </c>
      <c r="J145" s="7" t="b">
        <v>0</v>
      </c>
      <c r="K145" s="6">
        <v>247</v>
      </c>
      <c r="L145" s="6">
        <v>30</v>
      </c>
      <c r="M145" s="7" t="s">
        <v>49</v>
      </c>
      <c r="N145" s="7" t="s">
        <v>44</v>
      </c>
      <c r="O145" s="7" t="s">
        <v>45</v>
      </c>
      <c r="P145" s="6">
        <v>46</v>
      </c>
      <c r="Q145" s="11">
        <v>4.7</v>
      </c>
      <c r="R145" s="7" t="b">
        <v>1</v>
      </c>
      <c r="S145" s="7" t="s">
        <v>30</v>
      </c>
      <c r="T145" s="6">
        <v>172</v>
      </c>
      <c r="U145" s="7" t="s">
        <v>76</v>
      </c>
      <c r="V145" s="12" t="s">
        <v>39</v>
      </c>
      <c r="W145" s="7" t="s">
        <v>60</v>
      </c>
      <c r="X145" s="6">
        <f t="shared" si="11"/>
        <v>57</v>
      </c>
      <c r="Y145" t="str" cm="1">
        <f t="array" ref="Y145">_xlfn.IFS(E145=7.99,"BASIC",E145=11.99,"STANDARD",E145=15.99,"PREMIUM")</f>
        <v>STANDARD</v>
      </c>
      <c r="Z145" s="4">
        <f t="shared" si="9"/>
        <v>10.807017543859649</v>
      </c>
      <c r="AA145" s="3" t="str" cm="1">
        <f t="array" ref="AA145">_xlfn.IFS(
(F145/(X145/7)) &lt; 5, "Casual",
AND((F145/(X145/7)) &gt;= 5, (F145/(X145/7)) &lt; 15), "Regular",
(F145/(X145/7)) &gt;= 15, "Power"
)</f>
        <v>Regular</v>
      </c>
      <c r="AB145" s="3">
        <f t="shared" si="12"/>
        <v>0.3176895306859206</v>
      </c>
      <c r="AC145" t="str">
        <f t="shared" si="10"/>
        <v>Viewers</v>
      </c>
    </row>
    <row r="146" spans="1:30" x14ac:dyDescent="0.3">
      <c r="A146" s="6">
        <v>8777</v>
      </c>
      <c r="B146" s="7" t="s">
        <v>272</v>
      </c>
      <c r="C146" s="10">
        <v>45333</v>
      </c>
      <c r="D146" s="10">
        <v>45623</v>
      </c>
      <c r="E146" s="13">
        <v>11.99</v>
      </c>
      <c r="F146" s="6">
        <v>395</v>
      </c>
      <c r="G146" s="7" t="s">
        <v>48</v>
      </c>
      <c r="H146" s="6">
        <v>4</v>
      </c>
      <c r="I146" s="6">
        <v>4</v>
      </c>
      <c r="J146" s="7" t="b">
        <v>0</v>
      </c>
      <c r="K146" s="6">
        <v>190</v>
      </c>
      <c r="L146" s="6">
        <v>105</v>
      </c>
      <c r="M146" s="7" t="s">
        <v>92</v>
      </c>
      <c r="N146" s="7" t="s">
        <v>56</v>
      </c>
      <c r="O146" s="7" t="s">
        <v>37</v>
      </c>
      <c r="P146" s="6">
        <v>67</v>
      </c>
      <c r="Q146" s="11">
        <v>4.0999999999999996</v>
      </c>
      <c r="R146" s="7" t="b">
        <v>0</v>
      </c>
      <c r="S146" s="7" t="s">
        <v>30</v>
      </c>
      <c r="T146" s="6">
        <v>1040</v>
      </c>
      <c r="U146" s="7" t="s">
        <v>31</v>
      </c>
      <c r="V146" s="12" t="s">
        <v>69</v>
      </c>
      <c r="W146" s="7" t="s">
        <v>40</v>
      </c>
      <c r="X146" s="6">
        <f t="shared" si="11"/>
        <v>290</v>
      </c>
      <c r="Y146" t="str" cm="1">
        <f t="array" ref="Y146">_xlfn.IFS(E146=7.99,"BASIC",E146=11.99,"STANDARD",E146=15.99,"PREMIUM")</f>
        <v>STANDARD</v>
      </c>
      <c r="Z146" s="4">
        <f t="shared" si="9"/>
        <v>9.5344827586206886</v>
      </c>
      <c r="AA146" s="3" t="str" cm="1">
        <f t="array" ref="AA146">_xlfn.IFS(
(F146/(X146/7)) &lt; 5, "Casual",
AND((F146/(X146/7)) &gt;= 5, (F146/(X146/7)) &lt; 15), "Regular",
(F146/(X146/7)) &gt;= 15, "Power"
)</f>
        <v>Regular</v>
      </c>
      <c r="AB146" s="3">
        <f t="shared" si="12"/>
        <v>1.3389830508474576</v>
      </c>
      <c r="AC146" t="str">
        <f t="shared" si="10"/>
        <v>Viewers</v>
      </c>
    </row>
    <row r="147" spans="1:30" x14ac:dyDescent="0.3">
      <c r="A147" s="6">
        <v>1576</v>
      </c>
      <c r="B147" s="7" t="s">
        <v>166</v>
      </c>
      <c r="C147" s="10">
        <v>45004</v>
      </c>
      <c r="D147" s="10">
        <v>45616</v>
      </c>
      <c r="E147" s="13">
        <v>11.99</v>
      </c>
      <c r="F147" s="6">
        <v>385</v>
      </c>
      <c r="G147" s="7" t="s">
        <v>36</v>
      </c>
      <c r="H147" s="6">
        <v>4</v>
      </c>
      <c r="I147" s="6">
        <v>1</v>
      </c>
      <c r="J147" s="7" t="b">
        <v>1</v>
      </c>
      <c r="K147" s="6">
        <v>390</v>
      </c>
      <c r="L147" s="6">
        <v>163</v>
      </c>
      <c r="M147" s="7" t="s">
        <v>68</v>
      </c>
      <c r="N147" s="7" t="s">
        <v>75</v>
      </c>
      <c r="O147" s="7" t="s">
        <v>78</v>
      </c>
      <c r="P147" s="6">
        <v>43</v>
      </c>
      <c r="Q147" s="11">
        <v>3.3</v>
      </c>
      <c r="R147" s="7" t="b">
        <v>0</v>
      </c>
      <c r="S147" s="7" t="s">
        <v>30</v>
      </c>
      <c r="T147" s="6">
        <v>3574</v>
      </c>
      <c r="U147" s="7" t="s">
        <v>58</v>
      </c>
      <c r="V147" s="12" t="s">
        <v>39</v>
      </c>
      <c r="W147" s="7" t="s">
        <v>93</v>
      </c>
      <c r="X147" s="6">
        <f t="shared" si="11"/>
        <v>612</v>
      </c>
      <c r="Y147" t="str" cm="1">
        <f t="array" ref="Y147">_xlfn.IFS(E147=7.99,"BASIC",E147=11.99,"STANDARD",E147=15.99,"PREMIUM")</f>
        <v>STANDARD</v>
      </c>
      <c r="Z147" s="4">
        <f t="shared" si="9"/>
        <v>4.4035947712418295</v>
      </c>
      <c r="AA147" s="3" t="str" cm="1">
        <f t="array" ref="AA147">_xlfn.IFS(
(F147/(X147/7)) &lt; 5, "Casual",
AND((F147/(X147/7)) &gt;= 5, (F147/(X147/7)) &lt; 15), "Regular",
(F147/(X147/7)) &gt;= 15, "Power"
)</f>
        <v>Casual</v>
      </c>
      <c r="AB147" s="3">
        <f t="shared" si="12"/>
        <v>0.69620253164556967</v>
      </c>
      <c r="AC147" t="str">
        <f t="shared" si="10"/>
        <v>Viewers</v>
      </c>
    </row>
    <row r="148" spans="1:30" x14ac:dyDescent="0.3">
      <c r="A148" s="6">
        <v>7979</v>
      </c>
      <c r="B148" s="7" t="s">
        <v>274</v>
      </c>
      <c r="C148" s="10">
        <v>45049</v>
      </c>
      <c r="D148" s="10">
        <v>45623</v>
      </c>
      <c r="E148" s="13">
        <v>11.99</v>
      </c>
      <c r="F148" s="6">
        <v>280</v>
      </c>
      <c r="G148" s="7" t="s">
        <v>48</v>
      </c>
      <c r="H148" s="6">
        <v>4</v>
      </c>
      <c r="I148" s="6">
        <v>5</v>
      </c>
      <c r="J148" s="7" t="b">
        <v>1</v>
      </c>
      <c r="K148" s="6">
        <v>203</v>
      </c>
      <c r="L148" s="6">
        <v>50</v>
      </c>
      <c r="M148" s="7" t="s">
        <v>92</v>
      </c>
      <c r="N148" s="7" t="s">
        <v>28</v>
      </c>
      <c r="O148" s="7" t="s">
        <v>57</v>
      </c>
      <c r="P148" s="6">
        <v>12</v>
      </c>
      <c r="Q148" s="11">
        <v>3.4</v>
      </c>
      <c r="R148" s="7" t="b">
        <v>1</v>
      </c>
      <c r="S148" s="7" t="s">
        <v>30</v>
      </c>
      <c r="T148" s="6">
        <v>3659</v>
      </c>
      <c r="U148" s="7" t="s">
        <v>31</v>
      </c>
      <c r="V148" s="12" t="s">
        <v>39</v>
      </c>
      <c r="W148" s="7" t="s">
        <v>60</v>
      </c>
      <c r="X148" s="6">
        <f t="shared" si="11"/>
        <v>574</v>
      </c>
      <c r="Y148" t="str" cm="1">
        <f t="array" ref="Y148">_xlfn.IFS(E148=7.99,"BASIC",E148=11.99,"STANDARD",E148=15.99,"PREMIUM")</f>
        <v>STANDARD</v>
      </c>
      <c r="Z148" s="4">
        <f t="shared" si="9"/>
        <v>3.4146341463414633</v>
      </c>
      <c r="AA148" s="3" t="str" cm="1">
        <f t="array" ref="AA148">_xlfn.IFS(
(F148/(X148/7)) &lt; 5, "Casual",
AND((F148/(X148/7)) &gt;= 5, (F148/(X148/7)) &lt; 15), "Regular",
(F148/(X148/7)) &gt;= 15, "Power"
)</f>
        <v>Casual</v>
      </c>
      <c r="AB148" s="3">
        <f t="shared" si="12"/>
        <v>1.1067193675889329</v>
      </c>
      <c r="AC148" t="str">
        <f t="shared" si="10"/>
        <v>Viewers</v>
      </c>
    </row>
    <row r="149" spans="1:30" x14ac:dyDescent="0.3">
      <c r="A149" s="6">
        <v>6300</v>
      </c>
      <c r="B149" s="7" t="s">
        <v>275</v>
      </c>
      <c r="C149" s="10">
        <v>45189</v>
      </c>
      <c r="D149" s="10">
        <v>45635</v>
      </c>
      <c r="E149" s="13">
        <v>15.99</v>
      </c>
      <c r="F149" s="6">
        <v>164</v>
      </c>
      <c r="G149" s="7" t="s">
        <v>26</v>
      </c>
      <c r="H149" s="6">
        <v>3</v>
      </c>
      <c r="I149" s="6">
        <v>5</v>
      </c>
      <c r="J149" s="7" t="b">
        <v>0</v>
      </c>
      <c r="K149" s="6">
        <v>161</v>
      </c>
      <c r="L149" s="6">
        <v>77</v>
      </c>
      <c r="M149" s="7" t="s">
        <v>68</v>
      </c>
      <c r="N149" s="7" t="s">
        <v>75</v>
      </c>
      <c r="O149" s="7" t="s">
        <v>37</v>
      </c>
      <c r="P149" s="6">
        <v>97</v>
      </c>
      <c r="Q149" s="11">
        <v>3.7</v>
      </c>
      <c r="R149" s="7" t="b">
        <v>1</v>
      </c>
      <c r="S149" s="7" t="s">
        <v>30</v>
      </c>
      <c r="T149" s="6">
        <v>1991</v>
      </c>
      <c r="U149" s="7" t="s">
        <v>65</v>
      </c>
      <c r="V149" s="12" t="s">
        <v>69</v>
      </c>
      <c r="W149" s="7" t="s">
        <v>33</v>
      </c>
      <c r="X149" s="6">
        <f t="shared" si="11"/>
        <v>446</v>
      </c>
      <c r="Y149" t="str" cm="1">
        <f t="array" ref="Y149">_xlfn.IFS(E149=7.99,"BASIC",E149=11.99,"STANDARD",E149=15.99,"PREMIUM")</f>
        <v>PREMIUM</v>
      </c>
      <c r="Z149" s="4">
        <f t="shared" si="9"/>
        <v>2.5739910313901344</v>
      </c>
      <c r="AA149" s="3" t="str" cm="1">
        <f t="array" ref="AA149">_xlfn.IFS(
(F149/(X149/7)) &lt; 5, "Casual",
AND((F149/(X149/7)) &gt;= 5, (F149/(X149/7)) &lt; 15), "Regular",
(F149/(X149/7)) &gt;= 15, "Power"
)</f>
        <v>Casual</v>
      </c>
      <c r="AB149" s="3">
        <f t="shared" si="12"/>
        <v>0.68907563025210083</v>
      </c>
      <c r="AC149" t="str">
        <f t="shared" si="10"/>
        <v>Viewers</v>
      </c>
    </row>
    <row r="150" spans="1:30" x14ac:dyDescent="0.3">
      <c r="A150" s="6">
        <v>1003</v>
      </c>
      <c r="B150" s="7" t="s">
        <v>276</v>
      </c>
      <c r="C150" s="10">
        <f>_xlfn.XLOOKUP(A150,'Data Anomalies -Pls Read It'!A:A,'Data Anomalies -Pls Read It'!D:D,1,0)</f>
        <v>45618</v>
      </c>
      <c r="D150" s="10">
        <f>_xlfn.XLOOKUP(A150,'Data Anomalies -Pls Read It'!A:A,'Data Anomalies -Pls Read It'!C:C,1,0)</f>
        <v>45638</v>
      </c>
      <c r="E150" s="13">
        <v>11.99</v>
      </c>
      <c r="F150" s="6">
        <v>433</v>
      </c>
      <c r="G150" s="7" t="s">
        <v>63</v>
      </c>
      <c r="H150" s="6">
        <v>5</v>
      </c>
      <c r="I150" s="6">
        <v>4</v>
      </c>
      <c r="J150" s="7" t="b">
        <v>0</v>
      </c>
      <c r="K150" s="6">
        <v>350</v>
      </c>
      <c r="L150" s="6">
        <v>2</v>
      </c>
      <c r="M150" s="7" t="s">
        <v>74</v>
      </c>
      <c r="N150" s="7" t="s">
        <v>75</v>
      </c>
      <c r="O150" s="7" t="s">
        <v>57</v>
      </c>
      <c r="P150" s="6">
        <v>41</v>
      </c>
      <c r="Q150" s="11">
        <v>3.1</v>
      </c>
      <c r="R150" s="7" t="b">
        <v>1</v>
      </c>
      <c r="S150" s="7" t="s">
        <v>30</v>
      </c>
      <c r="T150" s="6">
        <v>2043</v>
      </c>
      <c r="U150" s="7" t="s">
        <v>31</v>
      </c>
      <c r="V150" s="12" t="s">
        <v>32</v>
      </c>
      <c r="W150" s="7" t="s">
        <v>33</v>
      </c>
      <c r="X150" s="6">
        <f t="shared" si="11"/>
        <v>20</v>
      </c>
      <c r="Y150" t="str" cm="1">
        <f t="array" ref="Y150">_xlfn.IFS(E150=7.99,"BASIC",E150=11.99,"STANDARD",E150=15.99,"PREMIUM")</f>
        <v>STANDARD</v>
      </c>
      <c r="Z150" s="4">
        <f t="shared" si="9"/>
        <v>151.54999999999998</v>
      </c>
      <c r="AA150" s="3" t="str" cm="1">
        <f t="array" ref="AA150">_xlfn.IFS(
(F150/(X150/7)) &lt; 5, "Casual",
AND((F150/(X150/7)) &gt;= 5, (F150/(X150/7)) &lt; 15), "Regular",
(F150/(X150/7)) &gt;= 15, "Power"
)</f>
        <v>Power</v>
      </c>
      <c r="AB150" s="3">
        <f t="shared" si="12"/>
        <v>1.2301136363636365</v>
      </c>
      <c r="AC150" t="str">
        <f t="shared" si="10"/>
        <v>Viewers</v>
      </c>
      <c r="AD150" t="s">
        <v>779</v>
      </c>
    </row>
    <row r="151" spans="1:30" x14ac:dyDescent="0.3">
      <c r="A151" s="6">
        <v>8238</v>
      </c>
      <c r="B151" s="7" t="s">
        <v>277</v>
      </c>
      <c r="C151" s="10">
        <v>45303</v>
      </c>
      <c r="D151" s="10">
        <v>45624</v>
      </c>
      <c r="E151" s="13">
        <v>7.99</v>
      </c>
      <c r="F151" s="6">
        <v>460</v>
      </c>
      <c r="G151" s="7" t="s">
        <v>73</v>
      </c>
      <c r="H151" s="6">
        <v>3</v>
      </c>
      <c r="I151" s="6">
        <v>5</v>
      </c>
      <c r="J151" s="7" t="b">
        <v>0</v>
      </c>
      <c r="K151" s="6">
        <v>26</v>
      </c>
      <c r="L151" s="6">
        <v>2</v>
      </c>
      <c r="M151" s="7" t="s">
        <v>92</v>
      </c>
      <c r="N151" s="7" t="s">
        <v>28</v>
      </c>
      <c r="O151" s="7" t="s">
        <v>37</v>
      </c>
      <c r="P151" s="6">
        <v>39</v>
      </c>
      <c r="Q151" s="11">
        <v>4.8</v>
      </c>
      <c r="R151" s="7" t="b">
        <v>0</v>
      </c>
      <c r="S151" s="7" t="s">
        <v>30</v>
      </c>
      <c r="T151" s="6">
        <v>882</v>
      </c>
      <c r="U151" s="7" t="s">
        <v>31</v>
      </c>
      <c r="V151" s="12" t="s">
        <v>69</v>
      </c>
      <c r="W151" s="7" t="s">
        <v>33</v>
      </c>
      <c r="X151" s="6">
        <f t="shared" si="11"/>
        <v>321</v>
      </c>
      <c r="Y151" t="str" cm="1">
        <f t="array" ref="Y151">_xlfn.IFS(E151=7.99,"BASIC",E151=11.99,"STANDARD",E151=15.99,"PREMIUM")</f>
        <v>BASIC</v>
      </c>
      <c r="Z151" s="4">
        <f t="shared" si="9"/>
        <v>10.031152647975079</v>
      </c>
      <c r="AA151" s="3" t="str" cm="1">
        <f t="array" ref="AA151">_xlfn.IFS(
(F151/(X151/7)) &lt; 5, "Casual",
AND((F151/(X151/7)) &gt;= 5, (F151/(X151/7)) &lt; 15), "Regular",
(F151/(X151/7)) &gt;= 15, "Power"
)</f>
        <v>Regular</v>
      </c>
      <c r="AB151" s="3">
        <f t="shared" si="12"/>
        <v>16.428571428571427</v>
      </c>
      <c r="AC151" t="str">
        <f t="shared" si="10"/>
        <v>Viewers</v>
      </c>
    </row>
    <row r="152" spans="1:30" x14ac:dyDescent="0.3">
      <c r="A152" s="6">
        <v>8261</v>
      </c>
      <c r="B152" s="7" t="s">
        <v>153</v>
      </c>
      <c r="C152" s="10">
        <v>44920</v>
      </c>
      <c r="D152" s="10">
        <v>45630</v>
      </c>
      <c r="E152" s="13">
        <v>7.99</v>
      </c>
      <c r="F152" s="6">
        <v>374</v>
      </c>
      <c r="G152" s="7" t="s">
        <v>73</v>
      </c>
      <c r="H152" s="6">
        <v>1</v>
      </c>
      <c r="I152" s="6">
        <v>3</v>
      </c>
      <c r="J152" s="7" t="b">
        <v>1</v>
      </c>
      <c r="K152" s="6">
        <v>819</v>
      </c>
      <c r="L152" s="6">
        <v>18</v>
      </c>
      <c r="M152" s="7" t="s">
        <v>74</v>
      </c>
      <c r="N152" s="7" t="s">
        <v>44</v>
      </c>
      <c r="O152" s="7" t="s">
        <v>29</v>
      </c>
      <c r="P152" s="6">
        <v>12</v>
      </c>
      <c r="Q152" s="11">
        <v>3.4</v>
      </c>
      <c r="R152" s="7" t="b">
        <v>1</v>
      </c>
      <c r="S152" s="7" t="s">
        <v>30</v>
      </c>
      <c r="T152" s="6">
        <v>4243</v>
      </c>
      <c r="U152" s="7" t="s">
        <v>65</v>
      </c>
      <c r="V152" s="12" t="s">
        <v>39</v>
      </c>
      <c r="W152" s="7" t="s">
        <v>60</v>
      </c>
      <c r="X152" s="6">
        <f t="shared" si="11"/>
        <v>710</v>
      </c>
      <c r="Y152" t="str" cm="1">
        <f t="array" ref="Y152">_xlfn.IFS(E152=7.99,"BASIC",E152=11.99,"STANDARD",E152=15.99,"PREMIUM")</f>
        <v>BASIC</v>
      </c>
      <c r="Z152" s="4">
        <f t="shared" si="9"/>
        <v>3.6873239436619718</v>
      </c>
      <c r="AA152" s="3" t="str" cm="1">
        <f t="array" ref="AA152">_xlfn.IFS(
(F152/(X152/7)) &lt; 5, "Casual",
AND((F152/(X152/7)) &gt;= 5, (F152/(X152/7)) &lt; 15), "Regular",
(F152/(X152/7)) &gt;= 15, "Power"
)</f>
        <v>Casual</v>
      </c>
      <c r="AB152" s="3">
        <f t="shared" si="12"/>
        <v>0.44683393070489846</v>
      </c>
      <c r="AC152" t="str">
        <f t="shared" si="10"/>
        <v>Viewers</v>
      </c>
    </row>
    <row r="153" spans="1:30" x14ac:dyDescent="0.3">
      <c r="A153" s="6">
        <v>7729</v>
      </c>
      <c r="B153" s="7" t="s">
        <v>118</v>
      </c>
      <c r="C153" s="10">
        <v>44977</v>
      </c>
      <c r="D153" s="10">
        <v>45637</v>
      </c>
      <c r="E153" s="13">
        <v>11.99</v>
      </c>
      <c r="F153" s="6">
        <v>147</v>
      </c>
      <c r="G153" s="7" t="s">
        <v>100</v>
      </c>
      <c r="H153" s="6">
        <v>5</v>
      </c>
      <c r="I153" s="6">
        <v>4</v>
      </c>
      <c r="J153" s="7" t="b">
        <v>0</v>
      </c>
      <c r="K153" s="6">
        <v>27</v>
      </c>
      <c r="L153" s="6">
        <v>175</v>
      </c>
      <c r="M153" s="7" t="s">
        <v>74</v>
      </c>
      <c r="N153" s="7" t="s">
        <v>28</v>
      </c>
      <c r="O153" s="7" t="s">
        <v>29</v>
      </c>
      <c r="P153" s="6">
        <v>78</v>
      </c>
      <c r="Q153" s="11">
        <v>4</v>
      </c>
      <c r="R153" s="7" t="b">
        <v>1</v>
      </c>
      <c r="S153" s="7" t="s">
        <v>30</v>
      </c>
      <c r="T153" s="6">
        <v>2218</v>
      </c>
      <c r="U153" s="7" t="s">
        <v>38</v>
      </c>
      <c r="V153" s="12" t="s">
        <v>69</v>
      </c>
      <c r="W153" s="7" t="s">
        <v>93</v>
      </c>
      <c r="X153" s="6">
        <f t="shared" si="11"/>
        <v>660</v>
      </c>
      <c r="Y153" t="str" cm="1">
        <f t="array" ref="Y153">_xlfn.IFS(E153=7.99,"BASIC",E153=11.99,"STANDARD",E153=15.99,"PREMIUM")</f>
        <v>STANDARD</v>
      </c>
      <c r="Z153" s="4">
        <f t="shared" si="9"/>
        <v>1.5590909090909091</v>
      </c>
      <c r="AA153" s="3" t="str" cm="1">
        <f t="array" ref="AA153">_xlfn.IFS(
(F153/(X153/7)) &lt; 5, "Casual",
AND((F153/(X153/7)) &gt;= 5, (F153/(X153/7)) &lt; 15), "Regular",
(F153/(X153/7)) &gt;= 15, "Power"
)</f>
        <v>Casual</v>
      </c>
      <c r="AB153" s="3">
        <f t="shared" si="12"/>
        <v>0.7277227722772277</v>
      </c>
      <c r="AC153" t="str">
        <f t="shared" si="10"/>
        <v>Viewers</v>
      </c>
    </row>
    <row r="154" spans="1:30" x14ac:dyDescent="0.3">
      <c r="A154" s="6">
        <v>8616</v>
      </c>
      <c r="B154" s="7" t="s">
        <v>224</v>
      </c>
      <c r="C154" s="10">
        <v>45627</v>
      </c>
      <c r="D154" s="10">
        <v>45630</v>
      </c>
      <c r="E154" s="13">
        <v>11.99</v>
      </c>
      <c r="F154" s="6">
        <v>129</v>
      </c>
      <c r="G154" s="7" t="s">
        <v>63</v>
      </c>
      <c r="H154" s="6">
        <v>4</v>
      </c>
      <c r="I154" s="6">
        <v>6</v>
      </c>
      <c r="J154" s="7" t="b">
        <v>0</v>
      </c>
      <c r="K154" s="6">
        <v>543</v>
      </c>
      <c r="L154" s="6">
        <v>126</v>
      </c>
      <c r="M154" s="7" t="s">
        <v>49</v>
      </c>
      <c r="N154" s="7" t="s">
        <v>44</v>
      </c>
      <c r="O154" s="7" t="s">
        <v>45</v>
      </c>
      <c r="P154" s="6">
        <v>95</v>
      </c>
      <c r="Q154" s="11">
        <v>3.4</v>
      </c>
      <c r="R154" s="7" t="b">
        <v>1</v>
      </c>
      <c r="S154" s="7" t="s">
        <v>30</v>
      </c>
      <c r="T154" s="6">
        <v>97</v>
      </c>
      <c r="U154" s="7" t="s">
        <v>31</v>
      </c>
      <c r="V154" s="12" t="s">
        <v>32</v>
      </c>
      <c r="W154" s="7" t="s">
        <v>33</v>
      </c>
      <c r="X154" s="6">
        <f t="shared" si="11"/>
        <v>3</v>
      </c>
      <c r="Y154" t="str" cm="1">
        <f t="array" ref="Y154">_xlfn.IFS(E154=7.99,"BASIC",E154=11.99,"STANDARD",E154=15.99,"PREMIUM")</f>
        <v>STANDARD</v>
      </c>
      <c r="Z154" s="4">
        <f t="shared" si="9"/>
        <v>301</v>
      </c>
      <c r="AA154" s="3" t="str" cm="1">
        <f t="array" ref="AA154">_xlfn.IFS(
(F154/(X154/7)) &lt; 5, "Casual",
AND((F154/(X154/7)) &gt;= 5, (F154/(X154/7)) &lt; 15), "Regular",
(F154/(X154/7)) &gt;= 15, "Power"
)</f>
        <v>Power</v>
      </c>
      <c r="AB154" s="3">
        <f t="shared" si="12"/>
        <v>0.19282511210762332</v>
      </c>
      <c r="AC154" t="str">
        <f t="shared" si="10"/>
        <v>Viewers</v>
      </c>
    </row>
    <row r="155" spans="1:30" x14ac:dyDescent="0.3">
      <c r="A155" s="6">
        <v>9734</v>
      </c>
      <c r="B155" s="7" t="s">
        <v>116</v>
      </c>
      <c r="C155" s="10">
        <v>45620</v>
      </c>
      <c r="D155" s="10">
        <v>45640</v>
      </c>
      <c r="E155" s="13">
        <v>15.99</v>
      </c>
      <c r="F155" s="6">
        <v>217</v>
      </c>
      <c r="G155" s="7" t="s">
        <v>26</v>
      </c>
      <c r="H155" s="6">
        <v>2</v>
      </c>
      <c r="I155" s="6">
        <v>2</v>
      </c>
      <c r="J155" s="7" t="b">
        <v>1</v>
      </c>
      <c r="K155" s="6">
        <v>872</v>
      </c>
      <c r="L155" s="6">
        <v>8</v>
      </c>
      <c r="M155" s="7" t="s">
        <v>43</v>
      </c>
      <c r="N155" s="7" t="s">
        <v>75</v>
      </c>
      <c r="O155" s="7" t="s">
        <v>78</v>
      </c>
      <c r="P155" s="6">
        <v>51</v>
      </c>
      <c r="Q155" s="11">
        <v>3.6</v>
      </c>
      <c r="R155" s="7" t="b">
        <v>1</v>
      </c>
      <c r="S155" s="7" t="s">
        <v>30</v>
      </c>
      <c r="T155" s="6">
        <v>4928</v>
      </c>
      <c r="U155" s="7" t="s">
        <v>65</v>
      </c>
      <c r="V155" s="12" t="s">
        <v>32</v>
      </c>
      <c r="W155" s="7" t="s">
        <v>33</v>
      </c>
      <c r="X155" s="6">
        <f t="shared" si="11"/>
        <v>20</v>
      </c>
      <c r="Y155" t="str" cm="1">
        <f t="array" ref="Y155">_xlfn.IFS(E155=7.99,"BASIC",E155=11.99,"STANDARD",E155=15.99,"PREMIUM")</f>
        <v>PREMIUM</v>
      </c>
      <c r="Z155" s="4">
        <f t="shared" si="9"/>
        <v>75.95</v>
      </c>
      <c r="AA155" s="3" t="str" cm="1">
        <f t="array" ref="AA155">_xlfn.IFS(
(F155/(X155/7)) &lt; 5, "Casual",
AND((F155/(X155/7)) &gt;= 5, (F155/(X155/7)) &lt; 15), "Regular",
(F155/(X155/7)) &gt;= 15, "Power"
)</f>
        <v>Power</v>
      </c>
      <c r="AB155" s="3">
        <f t="shared" si="12"/>
        <v>0.24659090909090908</v>
      </c>
      <c r="AC155" t="str">
        <f t="shared" si="10"/>
        <v>Viewers</v>
      </c>
    </row>
    <row r="156" spans="1:30" x14ac:dyDescent="0.3">
      <c r="A156" s="6">
        <v>2086</v>
      </c>
      <c r="B156" s="7" t="s">
        <v>280</v>
      </c>
      <c r="C156" s="10">
        <v>45058</v>
      </c>
      <c r="D156" s="10">
        <v>45615</v>
      </c>
      <c r="E156" s="13">
        <v>7.99</v>
      </c>
      <c r="F156" s="6">
        <v>426</v>
      </c>
      <c r="G156" s="7" t="s">
        <v>36</v>
      </c>
      <c r="H156" s="6">
        <v>4</v>
      </c>
      <c r="I156" s="6">
        <v>1</v>
      </c>
      <c r="J156" s="7" t="b">
        <v>0</v>
      </c>
      <c r="K156" s="6">
        <v>606</v>
      </c>
      <c r="L156" s="6">
        <v>135</v>
      </c>
      <c r="M156" s="7" t="s">
        <v>27</v>
      </c>
      <c r="N156" s="7" t="s">
        <v>28</v>
      </c>
      <c r="O156" s="7" t="s">
        <v>37</v>
      </c>
      <c r="P156" s="6">
        <v>50</v>
      </c>
      <c r="Q156" s="11">
        <v>3.8</v>
      </c>
      <c r="R156" s="7" t="b">
        <v>1</v>
      </c>
      <c r="S156" s="7" t="s">
        <v>30</v>
      </c>
      <c r="T156" s="6">
        <v>1982</v>
      </c>
      <c r="U156" s="7" t="s">
        <v>38</v>
      </c>
      <c r="V156" s="12" t="s">
        <v>79</v>
      </c>
      <c r="W156" s="7" t="s">
        <v>33</v>
      </c>
      <c r="X156" s="6">
        <f t="shared" si="11"/>
        <v>557</v>
      </c>
      <c r="Y156" t="str" cm="1">
        <f t="array" ref="Y156">_xlfn.IFS(E156=7.99,"BASIC",E156=11.99,"STANDARD",E156=15.99,"PREMIUM")</f>
        <v>BASIC</v>
      </c>
      <c r="Z156" s="4">
        <f t="shared" si="9"/>
        <v>5.353680430879713</v>
      </c>
      <c r="AA156" s="3" t="str" cm="1">
        <f t="array" ref="AA156">_xlfn.IFS(
(F156/(X156/7)) &lt; 5, "Casual",
AND((F156/(X156/7)) &gt;= 5, (F156/(X156/7)) &lt; 15), "Regular",
(F156/(X156/7)) &gt;= 15, "Power"
)</f>
        <v>Regular</v>
      </c>
      <c r="AB156" s="3">
        <f t="shared" si="12"/>
        <v>0.5748987854251012</v>
      </c>
      <c r="AC156" t="str">
        <f t="shared" si="10"/>
        <v>Viewers</v>
      </c>
    </row>
    <row r="157" spans="1:30" x14ac:dyDescent="0.3">
      <c r="A157" s="6">
        <v>8721</v>
      </c>
      <c r="B157" s="7" t="s">
        <v>281</v>
      </c>
      <c r="C157" s="10">
        <v>44980</v>
      </c>
      <c r="D157" s="10">
        <v>45627</v>
      </c>
      <c r="E157" s="13">
        <v>15.99</v>
      </c>
      <c r="F157" s="6">
        <v>81</v>
      </c>
      <c r="G157" s="7" t="s">
        <v>36</v>
      </c>
      <c r="H157" s="6">
        <v>3</v>
      </c>
      <c r="I157" s="6">
        <v>5</v>
      </c>
      <c r="J157" s="7" t="b">
        <v>0</v>
      </c>
      <c r="K157" s="6">
        <v>394</v>
      </c>
      <c r="L157" s="6">
        <v>168</v>
      </c>
      <c r="M157" s="7" t="s">
        <v>43</v>
      </c>
      <c r="N157" s="7" t="s">
        <v>75</v>
      </c>
      <c r="O157" s="7" t="s">
        <v>45</v>
      </c>
      <c r="P157" s="6">
        <v>21</v>
      </c>
      <c r="Q157" s="11">
        <v>4.7</v>
      </c>
      <c r="R157" s="7" t="b">
        <v>1</v>
      </c>
      <c r="S157" s="7" t="s">
        <v>30</v>
      </c>
      <c r="T157" s="6">
        <v>510</v>
      </c>
      <c r="U157" s="7" t="s">
        <v>58</v>
      </c>
      <c r="V157" s="12" t="s">
        <v>59</v>
      </c>
      <c r="W157" s="7" t="s">
        <v>33</v>
      </c>
      <c r="X157" s="6">
        <f t="shared" si="11"/>
        <v>647</v>
      </c>
      <c r="Y157" t="str" cm="1">
        <f t="array" ref="Y157">_xlfn.IFS(E157=7.99,"BASIC",E157=11.99,"STANDARD",E157=15.99,"PREMIUM")</f>
        <v>PREMIUM</v>
      </c>
      <c r="Z157" s="4">
        <f t="shared" si="9"/>
        <v>0.87635239567233381</v>
      </c>
      <c r="AA157" s="3" t="str" cm="1">
        <f t="array" ref="AA157">_xlfn.IFS(
(F157/(X157/7)) &lt; 5, "Casual",
AND((F157/(X157/7)) &gt;= 5, (F157/(X157/7)) &lt; 15), "Regular",
(F157/(X157/7)) &gt;= 15, "Power"
)</f>
        <v>Casual</v>
      </c>
      <c r="AB157" s="3">
        <f t="shared" si="12"/>
        <v>0.14412811387900357</v>
      </c>
      <c r="AC157" t="str">
        <f t="shared" si="10"/>
        <v xml:space="preserve"> Browsers</v>
      </c>
    </row>
    <row r="158" spans="1:30" x14ac:dyDescent="0.3">
      <c r="A158" s="6">
        <v>1075</v>
      </c>
      <c r="B158" s="7" t="s">
        <v>283</v>
      </c>
      <c r="C158" s="10">
        <v>45051</v>
      </c>
      <c r="D158" s="10">
        <v>45624</v>
      </c>
      <c r="E158" s="13">
        <v>7.99</v>
      </c>
      <c r="F158" s="6">
        <v>296</v>
      </c>
      <c r="G158" s="7" t="s">
        <v>100</v>
      </c>
      <c r="H158" s="6">
        <v>3</v>
      </c>
      <c r="I158" s="6">
        <v>2</v>
      </c>
      <c r="J158" s="7" t="b">
        <v>1</v>
      </c>
      <c r="K158" s="6">
        <v>411</v>
      </c>
      <c r="L158" s="6">
        <v>96</v>
      </c>
      <c r="M158" s="7" t="s">
        <v>27</v>
      </c>
      <c r="N158" s="7" t="s">
        <v>75</v>
      </c>
      <c r="O158" s="7" t="s">
        <v>64</v>
      </c>
      <c r="P158" s="6">
        <v>1</v>
      </c>
      <c r="Q158" s="11">
        <v>3.1</v>
      </c>
      <c r="R158" s="7" t="b">
        <v>0</v>
      </c>
      <c r="S158" s="7" t="s">
        <v>30</v>
      </c>
      <c r="T158" s="6">
        <v>2508</v>
      </c>
      <c r="U158" s="7" t="s">
        <v>76</v>
      </c>
      <c r="V158" s="12" t="s">
        <v>59</v>
      </c>
      <c r="W158" s="7" t="s">
        <v>40</v>
      </c>
      <c r="X158" s="6">
        <f t="shared" si="11"/>
        <v>573</v>
      </c>
      <c r="Y158" t="str" cm="1">
        <f t="array" ref="Y158">_xlfn.IFS(E158=7.99,"BASIC",E158=11.99,"STANDARD",E158=15.99,"PREMIUM")</f>
        <v>BASIC</v>
      </c>
      <c r="Z158" s="4">
        <f t="shared" si="9"/>
        <v>3.6160558464223382</v>
      </c>
      <c r="AA158" s="3" t="str" cm="1">
        <f t="array" ref="AA158">_xlfn.IFS(
(F158/(X158/7)) &lt; 5, "Casual",
AND((F158/(X158/7)) &gt;= 5, (F158/(X158/7)) &lt; 15), "Regular",
(F158/(X158/7)) &gt;= 15, "Power"
)</f>
        <v>Casual</v>
      </c>
      <c r="AB158" s="3">
        <f t="shared" si="12"/>
        <v>0.58382642998027612</v>
      </c>
      <c r="AC158" t="str">
        <f t="shared" si="10"/>
        <v>Viewers</v>
      </c>
    </row>
    <row r="159" spans="1:30" x14ac:dyDescent="0.3">
      <c r="A159" s="6">
        <v>2690</v>
      </c>
      <c r="B159" s="7" t="s">
        <v>177</v>
      </c>
      <c r="C159" s="10">
        <v>45174</v>
      </c>
      <c r="D159" s="10">
        <v>45625</v>
      </c>
      <c r="E159" s="13">
        <v>15.99</v>
      </c>
      <c r="F159" s="6">
        <v>466</v>
      </c>
      <c r="G159" s="7" t="s">
        <v>48</v>
      </c>
      <c r="H159" s="6">
        <v>3</v>
      </c>
      <c r="I159" s="6">
        <v>2</v>
      </c>
      <c r="J159" s="7" t="b">
        <v>0</v>
      </c>
      <c r="K159" s="6">
        <v>977</v>
      </c>
      <c r="L159" s="6">
        <v>94</v>
      </c>
      <c r="M159" s="7" t="s">
        <v>92</v>
      </c>
      <c r="N159" s="7" t="s">
        <v>75</v>
      </c>
      <c r="O159" s="7" t="s">
        <v>45</v>
      </c>
      <c r="P159" s="6">
        <v>67</v>
      </c>
      <c r="Q159" s="11">
        <v>3.6</v>
      </c>
      <c r="R159" s="7" t="b">
        <v>1</v>
      </c>
      <c r="S159" s="7" t="s">
        <v>30</v>
      </c>
      <c r="T159" s="6">
        <v>4004</v>
      </c>
      <c r="U159" s="7" t="s">
        <v>31</v>
      </c>
      <c r="V159" s="12" t="s">
        <v>32</v>
      </c>
      <c r="W159" s="7" t="s">
        <v>93</v>
      </c>
      <c r="X159" s="6">
        <f t="shared" si="11"/>
        <v>451</v>
      </c>
      <c r="Y159" t="str" cm="1">
        <f t="array" ref="Y159">_xlfn.IFS(E159=7.99,"BASIC",E159=11.99,"STANDARD",E159=15.99,"PREMIUM")</f>
        <v>PREMIUM</v>
      </c>
      <c r="Z159" s="4">
        <f t="shared" si="9"/>
        <v>7.2328159645232812</v>
      </c>
      <c r="AA159" s="3" t="str" cm="1">
        <f t="array" ref="AA159">_xlfn.IFS(
(F159/(X159/7)) &lt; 5, "Casual",
AND((F159/(X159/7)) &gt;= 5, (F159/(X159/7)) &lt; 15), "Regular",
(F159/(X159/7)) &gt;= 15, "Power"
)</f>
        <v>Regular</v>
      </c>
      <c r="AB159" s="3">
        <f t="shared" si="12"/>
        <v>0.43510737628384688</v>
      </c>
      <c r="AC159" t="str">
        <f t="shared" si="10"/>
        <v>Viewers</v>
      </c>
    </row>
    <row r="160" spans="1:30" x14ac:dyDescent="0.3">
      <c r="A160" s="6">
        <v>7654</v>
      </c>
      <c r="B160" s="7" t="s">
        <v>120</v>
      </c>
      <c r="C160" s="10">
        <v>45279</v>
      </c>
      <c r="D160" s="10">
        <v>45623</v>
      </c>
      <c r="E160" s="13">
        <v>11.99</v>
      </c>
      <c r="F160" s="6">
        <v>424</v>
      </c>
      <c r="G160" s="7" t="s">
        <v>63</v>
      </c>
      <c r="H160" s="6">
        <v>5</v>
      </c>
      <c r="I160" s="6">
        <v>2</v>
      </c>
      <c r="J160" s="7" t="b">
        <v>0</v>
      </c>
      <c r="K160" s="6">
        <v>406</v>
      </c>
      <c r="L160" s="6">
        <v>150</v>
      </c>
      <c r="M160" s="7" t="s">
        <v>43</v>
      </c>
      <c r="N160" s="7" t="s">
        <v>44</v>
      </c>
      <c r="O160" s="7" t="s">
        <v>57</v>
      </c>
      <c r="P160" s="6">
        <v>50</v>
      </c>
      <c r="Q160" s="11">
        <v>3.5</v>
      </c>
      <c r="R160" s="7" t="b">
        <v>0</v>
      </c>
      <c r="S160" s="7" t="s">
        <v>30</v>
      </c>
      <c r="T160" s="6">
        <v>494</v>
      </c>
      <c r="U160" s="7" t="s">
        <v>58</v>
      </c>
      <c r="V160" s="12" t="s">
        <v>39</v>
      </c>
      <c r="W160" s="7" t="s">
        <v>33</v>
      </c>
      <c r="X160" s="6">
        <f t="shared" si="11"/>
        <v>344</v>
      </c>
      <c r="Y160" t="str" cm="1">
        <f t="array" ref="Y160">_xlfn.IFS(E160=7.99,"BASIC",E160=11.99,"STANDARD",E160=15.99,"PREMIUM")</f>
        <v>STANDARD</v>
      </c>
      <c r="Z160" s="4">
        <f t="shared" si="9"/>
        <v>8.6279069767441854</v>
      </c>
      <c r="AA160" s="3" t="str" cm="1">
        <f t="array" ref="AA160">_xlfn.IFS(
(F160/(X160/7)) &lt; 5, "Casual",
AND((F160/(X160/7)) &gt;= 5, (F160/(X160/7)) &lt; 15), "Regular",
(F160/(X160/7)) &gt;= 15, "Power"
)</f>
        <v>Regular</v>
      </c>
      <c r="AB160" s="3">
        <f t="shared" si="12"/>
        <v>0.76258992805755399</v>
      </c>
      <c r="AC160" t="str">
        <f t="shared" si="10"/>
        <v>Viewers</v>
      </c>
    </row>
    <row r="161" spans="1:30" x14ac:dyDescent="0.3">
      <c r="A161" s="6">
        <v>7577</v>
      </c>
      <c r="B161" s="7" t="s">
        <v>284</v>
      </c>
      <c r="C161" s="10">
        <v>45582</v>
      </c>
      <c r="D161" s="10">
        <v>45629</v>
      </c>
      <c r="E161" s="13">
        <v>15.99</v>
      </c>
      <c r="F161" s="6">
        <v>233</v>
      </c>
      <c r="G161" s="7" t="s">
        <v>48</v>
      </c>
      <c r="H161" s="6">
        <v>2</v>
      </c>
      <c r="I161" s="6">
        <v>5</v>
      </c>
      <c r="J161" s="7" t="b">
        <v>1</v>
      </c>
      <c r="K161" s="6">
        <v>781</v>
      </c>
      <c r="L161" s="6">
        <v>23</v>
      </c>
      <c r="M161" s="7" t="s">
        <v>92</v>
      </c>
      <c r="N161" s="7" t="s">
        <v>56</v>
      </c>
      <c r="O161" s="7" t="s">
        <v>29</v>
      </c>
      <c r="P161" s="6">
        <v>89</v>
      </c>
      <c r="Q161" s="11">
        <v>3.3</v>
      </c>
      <c r="R161" s="7" t="b">
        <v>0</v>
      </c>
      <c r="S161" s="7" t="s">
        <v>30</v>
      </c>
      <c r="T161" s="6">
        <v>460</v>
      </c>
      <c r="U161" s="7" t="s">
        <v>76</v>
      </c>
      <c r="V161" s="12" t="s">
        <v>69</v>
      </c>
      <c r="W161" s="7" t="s">
        <v>60</v>
      </c>
      <c r="X161" s="6">
        <f t="shared" si="11"/>
        <v>47</v>
      </c>
      <c r="Y161" t="str" cm="1">
        <f t="array" ref="Y161">_xlfn.IFS(E161=7.99,"BASIC",E161=11.99,"STANDARD",E161=15.99,"PREMIUM")</f>
        <v>PREMIUM</v>
      </c>
      <c r="Z161" s="4">
        <f t="shared" si="9"/>
        <v>34.702127659574465</v>
      </c>
      <c r="AA161" s="3" t="str" cm="1">
        <f t="array" ref="AA161">_xlfn.IFS(
(F161/(X161/7)) &lt; 5, "Casual",
AND((F161/(X161/7)) &gt;= 5, (F161/(X161/7)) &lt; 15), "Regular",
(F161/(X161/7)) &gt;= 15, "Power"
)</f>
        <v>Power</v>
      </c>
      <c r="AB161" s="3">
        <f t="shared" si="12"/>
        <v>0.28980099502487561</v>
      </c>
      <c r="AC161" t="str">
        <f t="shared" si="10"/>
        <v>Viewers</v>
      </c>
    </row>
    <row r="162" spans="1:30" x14ac:dyDescent="0.3">
      <c r="A162" s="6">
        <v>9814</v>
      </c>
      <c r="B162" s="7" t="s">
        <v>286</v>
      </c>
      <c r="C162" s="10">
        <v>45515</v>
      </c>
      <c r="D162" s="10">
        <v>45623</v>
      </c>
      <c r="E162" s="13">
        <v>11.99</v>
      </c>
      <c r="F162" s="6">
        <v>413</v>
      </c>
      <c r="G162" s="7" t="s">
        <v>73</v>
      </c>
      <c r="H162" s="6">
        <v>1</v>
      </c>
      <c r="I162" s="6">
        <v>6</v>
      </c>
      <c r="J162" s="7" t="b">
        <v>1</v>
      </c>
      <c r="K162" s="6">
        <v>330</v>
      </c>
      <c r="L162" s="6">
        <v>63</v>
      </c>
      <c r="M162" s="7" t="s">
        <v>27</v>
      </c>
      <c r="N162" s="7" t="s">
        <v>28</v>
      </c>
      <c r="O162" s="7" t="s">
        <v>78</v>
      </c>
      <c r="P162" s="6">
        <v>50</v>
      </c>
      <c r="Q162" s="11">
        <v>4.0999999999999996</v>
      </c>
      <c r="R162" s="7" t="b">
        <v>1</v>
      </c>
      <c r="S162" s="7" t="s">
        <v>30</v>
      </c>
      <c r="T162" s="6">
        <v>1416</v>
      </c>
      <c r="U162" s="7" t="s">
        <v>58</v>
      </c>
      <c r="V162" s="12" t="s">
        <v>69</v>
      </c>
      <c r="W162" s="7" t="s">
        <v>33</v>
      </c>
      <c r="X162" s="6">
        <f t="shared" si="11"/>
        <v>108</v>
      </c>
      <c r="Y162" t="str" cm="1">
        <f t="array" ref="Y162">_xlfn.IFS(E162=7.99,"BASIC",E162=11.99,"STANDARD",E162=15.99,"PREMIUM")</f>
        <v>STANDARD</v>
      </c>
      <c r="Z162" s="4">
        <f t="shared" si="9"/>
        <v>26.768518518518519</v>
      </c>
      <c r="AA162" s="3" t="str" cm="1">
        <f t="array" ref="AA162">_xlfn.IFS(
(F162/(X162/7)) &lt; 5, "Casual",
AND((F162/(X162/7)) &gt;= 5, (F162/(X162/7)) &lt; 15), "Regular",
(F162/(X162/7)) &gt;= 15, "Power"
)</f>
        <v>Power</v>
      </c>
      <c r="AB162" s="3">
        <f t="shared" si="12"/>
        <v>1.0508905852417303</v>
      </c>
      <c r="AC162" t="str">
        <f t="shared" si="10"/>
        <v>Viewers</v>
      </c>
    </row>
    <row r="163" spans="1:30" x14ac:dyDescent="0.3">
      <c r="A163" s="6">
        <v>5423</v>
      </c>
      <c r="B163" s="7" t="s">
        <v>50</v>
      </c>
      <c r="C163" s="10">
        <v>45565</v>
      </c>
      <c r="D163" s="10">
        <v>45615</v>
      </c>
      <c r="E163" s="13">
        <v>7.99</v>
      </c>
      <c r="F163" s="6">
        <v>278</v>
      </c>
      <c r="G163" s="7" t="s">
        <v>26</v>
      </c>
      <c r="H163" s="6">
        <v>1</v>
      </c>
      <c r="I163" s="6">
        <v>5</v>
      </c>
      <c r="J163" s="7" t="b">
        <v>1</v>
      </c>
      <c r="K163" s="6">
        <v>163</v>
      </c>
      <c r="L163" s="6">
        <v>88</v>
      </c>
      <c r="M163" s="7" t="s">
        <v>68</v>
      </c>
      <c r="N163" s="7" t="s">
        <v>28</v>
      </c>
      <c r="O163" s="7" t="s">
        <v>45</v>
      </c>
      <c r="P163" s="6">
        <v>62</v>
      </c>
      <c r="Q163" s="11">
        <v>3.2</v>
      </c>
      <c r="R163" s="7" t="b">
        <v>0</v>
      </c>
      <c r="S163" s="7" t="s">
        <v>30</v>
      </c>
      <c r="T163" s="6">
        <v>4798</v>
      </c>
      <c r="U163" s="7" t="s">
        <v>31</v>
      </c>
      <c r="V163" s="12" t="s">
        <v>69</v>
      </c>
      <c r="W163" s="7" t="s">
        <v>93</v>
      </c>
      <c r="X163" s="6">
        <f t="shared" si="11"/>
        <v>50</v>
      </c>
      <c r="Y163" t="str" cm="1">
        <f t="array" ref="Y163">_xlfn.IFS(E163=7.99,"BASIC",E163=11.99,"STANDARD",E163=15.99,"PREMIUM")</f>
        <v>BASIC</v>
      </c>
      <c r="Z163" s="4">
        <f t="shared" si="9"/>
        <v>38.919999999999995</v>
      </c>
      <c r="AA163" s="3" t="str" cm="1">
        <f t="array" ref="AA163">_xlfn.IFS(
(F163/(X163/7)) &lt; 5, "Casual",
AND((F163/(X163/7)) &gt;= 5, (F163/(X163/7)) &lt; 15), "Regular",
(F163/(X163/7)) &gt;= 15, "Power"
)</f>
        <v>Power</v>
      </c>
      <c r="AB163" s="3">
        <f t="shared" si="12"/>
        <v>1.1075697211155378</v>
      </c>
      <c r="AC163" t="str">
        <f t="shared" si="10"/>
        <v>Viewers</v>
      </c>
    </row>
    <row r="164" spans="1:30" x14ac:dyDescent="0.3">
      <c r="A164" s="6">
        <v>2660</v>
      </c>
      <c r="B164" s="7" t="s">
        <v>288</v>
      </c>
      <c r="C164" s="10">
        <v>44925</v>
      </c>
      <c r="D164" s="10">
        <v>45630</v>
      </c>
      <c r="E164" s="13">
        <v>11.99</v>
      </c>
      <c r="F164" s="6">
        <v>351</v>
      </c>
      <c r="G164" s="7" t="s">
        <v>63</v>
      </c>
      <c r="H164" s="6">
        <v>1</v>
      </c>
      <c r="I164" s="6">
        <v>1</v>
      </c>
      <c r="J164" s="7" t="b">
        <v>1</v>
      </c>
      <c r="K164" s="6">
        <v>80</v>
      </c>
      <c r="L164" s="6">
        <v>70</v>
      </c>
      <c r="M164" s="7" t="s">
        <v>27</v>
      </c>
      <c r="N164" s="7" t="s">
        <v>56</v>
      </c>
      <c r="O164" s="7" t="s">
        <v>37</v>
      </c>
      <c r="P164" s="6">
        <v>54</v>
      </c>
      <c r="Q164" s="11">
        <v>4.5</v>
      </c>
      <c r="R164" s="7" t="b">
        <v>1</v>
      </c>
      <c r="S164" s="7" t="s">
        <v>30</v>
      </c>
      <c r="T164" s="6">
        <v>732</v>
      </c>
      <c r="U164" s="7" t="s">
        <v>76</v>
      </c>
      <c r="V164" s="12" t="s">
        <v>32</v>
      </c>
      <c r="W164" s="7" t="s">
        <v>40</v>
      </c>
      <c r="X164" s="6">
        <f t="shared" si="11"/>
        <v>705</v>
      </c>
      <c r="Y164" t="str" cm="1">
        <f t="array" ref="Y164">_xlfn.IFS(E164=7.99,"BASIC",E164=11.99,"STANDARD",E164=15.99,"PREMIUM")</f>
        <v>STANDARD</v>
      </c>
      <c r="Z164" s="4">
        <f t="shared" si="9"/>
        <v>3.4851063829787234</v>
      </c>
      <c r="AA164" s="3" t="str" cm="1">
        <f t="array" ref="AA164">_xlfn.IFS(
(F164/(X164/7)) &lt; 5, "Casual",
AND((F164/(X164/7)) &gt;= 5, (F164/(X164/7)) &lt; 15), "Regular",
(F164/(X164/7)) &gt;= 15, "Power"
)</f>
        <v>Casual</v>
      </c>
      <c r="AB164" s="3">
        <f t="shared" si="12"/>
        <v>2.34</v>
      </c>
      <c r="AC164" t="str">
        <f t="shared" si="10"/>
        <v>Viewers</v>
      </c>
    </row>
    <row r="165" spans="1:30" x14ac:dyDescent="0.3">
      <c r="A165" s="6">
        <v>4206</v>
      </c>
      <c r="B165" s="7" t="s">
        <v>190</v>
      </c>
      <c r="C165" s="10">
        <v>45386</v>
      </c>
      <c r="D165" s="10">
        <v>45632</v>
      </c>
      <c r="E165" s="13">
        <v>11.99</v>
      </c>
      <c r="F165" s="6">
        <v>354</v>
      </c>
      <c r="G165" s="7" t="s">
        <v>100</v>
      </c>
      <c r="H165" s="6">
        <v>1</v>
      </c>
      <c r="I165" s="6">
        <v>3</v>
      </c>
      <c r="J165" s="7" t="b">
        <v>0</v>
      </c>
      <c r="K165" s="6">
        <v>885</v>
      </c>
      <c r="L165" s="6">
        <v>65</v>
      </c>
      <c r="M165" s="7" t="s">
        <v>49</v>
      </c>
      <c r="N165" s="7" t="s">
        <v>56</v>
      </c>
      <c r="O165" s="7" t="s">
        <v>64</v>
      </c>
      <c r="P165" s="6">
        <v>70</v>
      </c>
      <c r="Q165" s="11">
        <v>4.7</v>
      </c>
      <c r="R165" s="7" t="b">
        <v>0</v>
      </c>
      <c r="S165" s="7" t="s">
        <v>30</v>
      </c>
      <c r="T165" s="6">
        <v>4008</v>
      </c>
      <c r="U165" s="7" t="s">
        <v>58</v>
      </c>
      <c r="V165" s="12" t="s">
        <v>59</v>
      </c>
      <c r="W165" s="7" t="s">
        <v>93</v>
      </c>
      <c r="X165" s="6">
        <f t="shared" si="11"/>
        <v>246</v>
      </c>
      <c r="Y165" t="str" cm="1">
        <f t="array" ref="Y165">_xlfn.IFS(E165=7.99,"BASIC",E165=11.99,"STANDARD",E165=15.99,"PREMIUM")</f>
        <v>STANDARD</v>
      </c>
      <c r="Z165" s="4">
        <f t="shared" si="9"/>
        <v>10.073170731707316</v>
      </c>
      <c r="AA165" s="3" t="str" cm="1">
        <f t="array" ref="AA165">_xlfn.IFS(
(F165/(X165/7)) &lt; 5, "Casual",
AND((F165/(X165/7)) &gt;= 5, (F165/(X165/7)) &lt; 15), "Regular",
(F165/(X165/7)) &gt;= 15, "Power"
)</f>
        <v>Regular</v>
      </c>
      <c r="AB165" s="3">
        <f t="shared" si="12"/>
        <v>0.37263157894736842</v>
      </c>
      <c r="AC165" t="str">
        <f t="shared" si="10"/>
        <v>Viewers</v>
      </c>
    </row>
    <row r="166" spans="1:30" x14ac:dyDescent="0.3">
      <c r="A166" s="6">
        <v>5269</v>
      </c>
      <c r="B166" s="7" t="s">
        <v>50</v>
      </c>
      <c r="C166" s="10">
        <v>44991</v>
      </c>
      <c r="D166" s="10">
        <v>45630</v>
      </c>
      <c r="E166" s="13">
        <v>11.99</v>
      </c>
      <c r="F166" s="6">
        <v>192</v>
      </c>
      <c r="G166" s="7" t="s">
        <v>73</v>
      </c>
      <c r="H166" s="6">
        <v>5</v>
      </c>
      <c r="I166" s="6">
        <v>4</v>
      </c>
      <c r="J166" s="7" t="b">
        <v>0</v>
      </c>
      <c r="K166" s="6">
        <v>123</v>
      </c>
      <c r="L166" s="6">
        <v>34</v>
      </c>
      <c r="M166" s="7" t="s">
        <v>55</v>
      </c>
      <c r="N166" s="7" t="s">
        <v>75</v>
      </c>
      <c r="O166" s="7" t="s">
        <v>64</v>
      </c>
      <c r="P166" s="6">
        <v>73</v>
      </c>
      <c r="Q166" s="11">
        <v>3.8</v>
      </c>
      <c r="R166" s="7" t="b">
        <v>1</v>
      </c>
      <c r="S166" s="7" t="s">
        <v>30</v>
      </c>
      <c r="T166" s="6">
        <v>4868</v>
      </c>
      <c r="U166" s="7" t="s">
        <v>76</v>
      </c>
      <c r="V166" s="12" t="s">
        <v>69</v>
      </c>
      <c r="W166" s="7" t="s">
        <v>60</v>
      </c>
      <c r="X166" s="6">
        <f t="shared" si="11"/>
        <v>639</v>
      </c>
      <c r="Y166" t="str" cm="1">
        <f t="array" ref="Y166">_xlfn.IFS(E166=7.99,"BASIC",E166=11.99,"STANDARD",E166=15.99,"PREMIUM")</f>
        <v>STANDARD</v>
      </c>
      <c r="Z166" s="4">
        <f t="shared" si="9"/>
        <v>2.1032863849765255</v>
      </c>
      <c r="AA166" s="3" t="str" cm="1">
        <f t="array" ref="AA166">_xlfn.IFS(
(F166/(X166/7)) &lt; 5, "Casual",
AND((F166/(X166/7)) &gt;= 5, (F166/(X166/7)) &lt; 15), "Regular",
(F166/(X166/7)) &gt;= 15, "Power"
)</f>
        <v>Casual</v>
      </c>
      <c r="AB166" s="3">
        <f t="shared" si="12"/>
        <v>1.2229299363057324</v>
      </c>
      <c r="AC166" t="str">
        <f t="shared" si="10"/>
        <v>Viewers</v>
      </c>
    </row>
    <row r="167" spans="1:30" x14ac:dyDescent="0.3">
      <c r="A167" s="6">
        <v>7922</v>
      </c>
      <c r="B167" s="7" t="s">
        <v>290</v>
      </c>
      <c r="C167" s="10">
        <v>44976</v>
      </c>
      <c r="D167" s="10">
        <v>45644</v>
      </c>
      <c r="E167" s="13">
        <v>7.99</v>
      </c>
      <c r="F167" s="6">
        <v>176</v>
      </c>
      <c r="G167" s="7" t="s">
        <v>51</v>
      </c>
      <c r="H167" s="6">
        <v>4</v>
      </c>
      <c r="I167" s="6">
        <v>6</v>
      </c>
      <c r="J167" s="7" t="b">
        <v>1</v>
      </c>
      <c r="K167" s="6">
        <v>830</v>
      </c>
      <c r="L167" s="6">
        <v>74</v>
      </c>
      <c r="M167" s="7" t="s">
        <v>49</v>
      </c>
      <c r="N167" s="7" t="s">
        <v>28</v>
      </c>
      <c r="O167" s="7" t="s">
        <v>37</v>
      </c>
      <c r="P167" s="6">
        <v>66</v>
      </c>
      <c r="Q167" s="11">
        <v>3.5</v>
      </c>
      <c r="R167" s="7" t="b">
        <v>1</v>
      </c>
      <c r="S167" s="7" t="s">
        <v>30</v>
      </c>
      <c r="T167" s="6">
        <v>2600</v>
      </c>
      <c r="U167" s="7" t="s">
        <v>76</v>
      </c>
      <c r="V167" s="12" t="s">
        <v>32</v>
      </c>
      <c r="W167" s="7" t="s">
        <v>40</v>
      </c>
      <c r="X167" s="6">
        <f t="shared" si="11"/>
        <v>668</v>
      </c>
      <c r="Y167" t="str" cm="1">
        <f t="array" ref="Y167">_xlfn.IFS(E167=7.99,"BASIC",E167=11.99,"STANDARD",E167=15.99,"PREMIUM")</f>
        <v>BASIC</v>
      </c>
      <c r="Z167" s="4">
        <f t="shared" si="9"/>
        <v>1.8443113772455089</v>
      </c>
      <c r="AA167" s="3" t="str" cm="1">
        <f t="array" ref="AA167">_xlfn.IFS(
(F167/(X167/7)) &lt; 5, "Casual",
AND((F167/(X167/7)) &gt;= 5, (F167/(X167/7)) &lt; 15), "Regular",
(F167/(X167/7)) &gt;= 15, "Power"
)</f>
        <v>Casual</v>
      </c>
      <c r="AB167" s="3">
        <f t="shared" si="12"/>
        <v>0.19469026548672566</v>
      </c>
      <c r="AC167" t="str">
        <f t="shared" si="10"/>
        <v>Viewers</v>
      </c>
    </row>
    <row r="168" spans="1:30" x14ac:dyDescent="0.3">
      <c r="A168" s="6">
        <v>7829</v>
      </c>
      <c r="B168" s="7" t="s">
        <v>291</v>
      </c>
      <c r="C168" s="10">
        <v>45217</v>
      </c>
      <c r="D168" s="10">
        <v>45644</v>
      </c>
      <c r="E168" s="13">
        <v>7.99</v>
      </c>
      <c r="F168" s="6">
        <v>482</v>
      </c>
      <c r="G168" s="7" t="s">
        <v>73</v>
      </c>
      <c r="H168" s="6">
        <v>1</v>
      </c>
      <c r="I168" s="6">
        <v>4</v>
      </c>
      <c r="J168" s="7" t="b">
        <v>1</v>
      </c>
      <c r="K168" s="6">
        <v>770</v>
      </c>
      <c r="L168" s="6">
        <v>129</v>
      </c>
      <c r="M168" s="7" t="s">
        <v>43</v>
      </c>
      <c r="N168" s="7" t="s">
        <v>28</v>
      </c>
      <c r="O168" s="7" t="s">
        <v>45</v>
      </c>
      <c r="P168" s="6">
        <v>0</v>
      </c>
      <c r="Q168" s="11">
        <v>3.7</v>
      </c>
      <c r="R168" s="7" t="b">
        <v>1</v>
      </c>
      <c r="S168" s="7" t="s">
        <v>30</v>
      </c>
      <c r="T168" s="6">
        <v>3247</v>
      </c>
      <c r="U168" s="7" t="s">
        <v>65</v>
      </c>
      <c r="V168" s="12" t="s">
        <v>39</v>
      </c>
      <c r="W168" s="7" t="s">
        <v>60</v>
      </c>
      <c r="X168" s="6">
        <f t="shared" si="11"/>
        <v>427</v>
      </c>
      <c r="Y168" t="str" cm="1">
        <f t="array" ref="Y168">_xlfn.IFS(E168=7.99,"BASIC",E168=11.99,"STANDARD",E168=15.99,"PREMIUM")</f>
        <v>BASIC</v>
      </c>
      <c r="Z168" s="4">
        <f t="shared" si="9"/>
        <v>7.9016393442622954</v>
      </c>
      <c r="AA168" s="3" t="str" cm="1">
        <f t="array" ref="AA168">_xlfn.IFS(
(F168/(X168/7)) &lt; 5, "Casual",
AND((F168/(X168/7)) &gt;= 5, (F168/(X168/7)) &lt; 15), "Regular",
(F168/(X168/7)) &gt;= 15, "Power"
)</f>
        <v>Regular</v>
      </c>
      <c r="AB168" s="3">
        <f t="shared" si="12"/>
        <v>0.5361512791991101</v>
      </c>
      <c r="AC168" t="str">
        <f t="shared" si="10"/>
        <v>Viewers</v>
      </c>
    </row>
    <row r="169" spans="1:30" x14ac:dyDescent="0.3">
      <c r="A169" s="6">
        <v>1715</v>
      </c>
      <c r="B169" s="7" t="s">
        <v>254</v>
      </c>
      <c r="C169" s="10">
        <v>45460</v>
      </c>
      <c r="D169" s="10">
        <v>45630</v>
      </c>
      <c r="E169" s="13">
        <v>7.99</v>
      </c>
      <c r="F169" s="6">
        <v>87</v>
      </c>
      <c r="G169" s="7" t="s">
        <v>36</v>
      </c>
      <c r="H169" s="6">
        <v>3</v>
      </c>
      <c r="I169" s="6">
        <v>5</v>
      </c>
      <c r="J169" s="7" t="b">
        <v>1</v>
      </c>
      <c r="K169" s="6">
        <v>753</v>
      </c>
      <c r="L169" s="6">
        <v>181</v>
      </c>
      <c r="M169" s="7" t="s">
        <v>49</v>
      </c>
      <c r="N169" s="7" t="s">
        <v>44</v>
      </c>
      <c r="O169" s="7" t="s">
        <v>29</v>
      </c>
      <c r="P169" s="6">
        <v>51</v>
      </c>
      <c r="Q169" s="11">
        <v>3.1</v>
      </c>
      <c r="R169" s="7" t="b">
        <v>1</v>
      </c>
      <c r="S169" s="7" t="s">
        <v>30</v>
      </c>
      <c r="T169" s="6">
        <v>941</v>
      </c>
      <c r="U169" s="7" t="s">
        <v>31</v>
      </c>
      <c r="V169" s="12" t="s">
        <v>59</v>
      </c>
      <c r="W169" s="7" t="s">
        <v>93</v>
      </c>
      <c r="X169" s="6">
        <f t="shared" si="11"/>
        <v>170</v>
      </c>
      <c r="Y169" t="str" cm="1">
        <f t="array" ref="Y169">_xlfn.IFS(E169=7.99,"BASIC",E169=11.99,"STANDARD",E169=15.99,"PREMIUM")</f>
        <v>BASIC</v>
      </c>
      <c r="Z169" s="4">
        <f t="shared" si="9"/>
        <v>3.5823529411764707</v>
      </c>
      <c r="AA169" s="3" t="str" cm="1">
        <f t="array" ref="AA169">_xlfn.IFS(
(F169/(X169/7)) &lt; 5, "Casual",
AND((F169/(X169/7)) &gt;= 5, (F169/(X169/7)) &lt; 15), "Regular",
(F169/(X169/7)) &gt;= 15, "Power"
)</f>
        <v>Casual</v>
      </c>
      <c r="AB169" s="3">
        <f t="shared" si="12"/>
        <v>9.3147751605995713E-2</v>
      </c>
      <c r="AC169" t="str">
        <f t="shared" si="10"/>
        <v xml:space="preserve"> Browsers</v>
      </c>
    </row>
    <row r="170" spans="1:30" x14ac:dyDescent="0.3">
      <c r="A170" s="6">
        <v>2639</v>
      </c>
      <c r="B170" s="7" t="s">
        <v>294</v>
      </c>
      <c r="C170" s="10">
        <v>45461</v>
      </c>
      <c r="D170" s="10">
        <v>45633</v>
      </c>
      <c r="E170" s="13">
        <v>11.99</v>
      </c>
      <c r="F170" s="6">
        <v>163</v>
      </c>
      <c r="G170" s="7" t="s">
        <v>36</v>
      </c>
      <c r="H170" s="6">
        <v>5</v>
      </c>
      <c r="I170" s="6">
        <v>1</v>
      </c>
      <c r="J170" s="7" t="b">
        <v>1</v>
      </c>
      <c r="K170" s="6">
        <v>38</v>
      </c>
      <c r="L170" s="6">
        <v>53</v>
      </c>
      <c r="M170" s="7" t="s">
        <v>68</v>
      </c>
      <c r="N170" s="7" t="s">
        <v>44</v>
      </c>
      <c r="O170" s="7" t="s">
        <v>64</v>
      </c>
      <c r="P170" s="6">
        <v>37</v>
      </c>
      <c r="Q170" s="11">
        <v>4.5999999999999996</v>
      </c>
      <c r="R170" s="7" t="b">
        <v>0</v>
      </c>
      <c r="S170" s="7" t="s">
        <v>30</v>
      </c>
      <c r="T170" s="6">
        <v>1934</v>
      </c>
      <c r="U170" s="7" t="s">
        <v>31</v>
      </c>
      <c r="V170" s="12" t="s">
        <v>32</v>
      </c>
      <c r="W170" s="7" t="s">
        <v>40</v>
      </c>
      <c r="X170" s="6">
        <f t="shared" si="11"/>
        <v>172</v>
      </c>
      <c r="Y170" t="str" cm="1">
        <f t="array" ref="Y170">_xlfn.IFS(E170=7.99,"BASIC",E170=11.99,"STANDARD",E170=15.99,"PREMIUM")</f>
        <v>STANDARD</v>
      </c>
      <c r="Z170" s="4">
        <f t="shared" si="9"/>
        <v>6.6337209302325579</v>
      </c>
      <c r="AA170" s="3" t="str" cm="1">
        <f t="array" ref="AA170">_xlfn.IFS(
(F170/(X170/7)) &lt; 5, "Casual",
AND((F170/(X170/7)) &gt;= 5, (F170/(X170/7)) &lt; 15), "Regular",
(F170/(X170/7)) &gt;= 15, "Power"
)</f>
        <v>Regular</v>
      </c>
      <c r="AB170" s="3">
        <f t="shared" si="12"/>
        <v>1.7912087912087913</v>
      </c>
      <c r="AC170" t="str">
        <f t="shared" si="10"/>
        <v>Viewers</v>
      </c>
    </row>
    <row r="171" spans="1:30" x14ac:dyDescent="0.3">
      <c r="A171" s="6">
        <v>1801</v>
      </c>
      <c r="B171" s="7" t="s">
        <v>174</v>
      </c>
      <c r="C171" s="10">
        <v>45305</v>
      </c>
      <c r="D171" s="10">
        <v>45639</v>
      </c>
      <c r="E171" s="13">
        <v>11.99</v>
      </c>
      <c r="F171" s="6">
        <v>419</v>
      </c>
      <c r="G171" s="7" t="s">
        <v>63</v>
      </c>
      <c r="H171" s="6">
        <v>4</v>
      </c>
      <c r="I171" s="6">
        <v>5</v>
      </c>
      <c r="J171" s="7" t="b">
        <v>0</v>
      </c>
      <c r="K171" s="6">
        <v>386</v>
      </c>
      <c r="L171" s="6">
        <v>122</v>
      </c>
      <c r="M171" s="7" t="s">
        <v>74</v>
      </c>
      <c r="N171" s="7" t="s">
        <v>56</v>
      </c>
      <c r="O171" s="7" t="s">
        <v>37</v>
      </c>
      <c r="P171" s="6">
        <v>9</v>
      </c>
      <c r="Q171" s="11">
        <v>4.5999999999999996</v>
      </c>
      <c r="R171" s="7" t="b">
        <v>0</v>
      </c>
      <c r="S171" s="7" t="s">
        <v>30</v>
      </c>
      <c r="T171" s="6">
        <v>4650</v>
      </c>
      <c r="U171" s="7" t="s">
        <v>38</v>
      </c>
      <c r="V171" s="12" t="s">
        <v>69</v>
      </c>
      <c r="W171" s="7" t="s">
        <v>33</v>
      </c>
      <c r="X171" s="6">
        <f t="shared" si="11"/>
        <v>334</v>
      </c>
      <c r="Y171" t="str" cm="1">
        <f t="array" ref="Y171">_xlfn.IFS(E171=7.99,"BASIC",E171=11.99,"STANDARD",E171=15.99,"PREMIUM")</f>
        <v>STANDARD</v>
      </c>
      <c r="Z171" s="4">
        <f t="shared" si="9"/>
        <v>8.7814371257485035</v>
      </c>
      <c r="AA171" s="3" t="str" cm="1">
        <f t="array" ref="AA171">_xlfn.IFS(
(F171/(X171/7)) &lt; 5, "Casual",
AND((F171/(X171/7)) &gt;= 5, (F171/(X171/7)) &lt; 15), "Regular",
(F171/(X171/7)) &gt;= 15, "Power"
)</f>
        <v>Regular</v>
      </c>
      <c r="AB171" s="3">
        <f t="shared" si="12"/>
        <v>0.82480314960629919</v>
      </c>
      <c r="AC171" t="str">
        <f t="shared" si="10"/>
        <v>Viewers</v>
      </c>
    </row>
    <row r="172" spans="1:30" x14ac:dyDescent="0.3">
      <c r="A172" s="6">
        <v>9163</v>
      </c>
      <c r="B172" s="7" t="s">
        <v>274</v>
      </c>
      <c r="C172" s="10">
        <v>45020</v>
      </c>
      <c r="D172" s="10">
        <v>45623</v>
      </c>
      <c r="E172" s="13">
        <v>11.99</v>
      </c>
      <c r="F172" s="6">
        <v>203</v>
      </c>
      <c r="G172" s="7" t="s">
        <v>48</v>
      </c>
      <c r="H172" s="6">
        <v>4</v>
      </c>
      <c r="I172" s="6">
        <v>4</v>
      </c>
      <c r="J172" s="7" t="b">
        <v>1</v>
      </c>
      <c r="K172" s="6">
        <v>874</v>
      </c>
      <c r="L172" s="6">
        <v>67</v>
      </c>
      <c r="M172" s="7" t="s">
        <v>55</v>
      </c>
      <c r="N172" s="7" t="s">
        <v>44</v>
      </c>
      <c r="O172" s="7" t="s">
        <v>78</v>
      </c>
      <c r="P172" s="6">
        <v>94</v>
      </c>
      <c r="Q172" s="11">
        <v>3.9</v>
      </c>
      <c r="R172" s="7" t="b">
        <v>1</v>
      </c>
      <c r="S172" s="7" t="s">
        <v>30</v>
      </c>
      <c r="T172" s="6">
        <v>4450</v>
      </c>
      <c r="U172" s="7" t="s">
        <v>31</v>
      </c>
      <c r="V172" s="12" t="s">
        <v>32</v>
      </c>
      <c r="W172" s="7" t="s">
        <v>93</v>
      </c>
      <c r="X172" s="6">
        <f t="shared" si="11"/>
        <v>603</v>
      </c>
      <c r="Y172" t="str" cm="1">
        <f t="array" ref="Y172">_xlfn.IFS(E172=7.99,"BASIC",E172=11.99,"STANDARD",E172=15.99,"PREMIUM")</f>
        <v>STANDARD</v>
      </c>
      <c r="Z172" s="4">
        <f t="shared" si="9"/>
        <v>2.3565505804311777</v>
      </c>
      <c r="AA172" s="3" t="str" cm="1">
        <f t="array" ref="AA172">_xlfn.IFS(
(F172/(X172/7)) &lt; 5, "Casual",
AND((F172/(X172/7)) &gt;= 5, (F172/(X172/7)) &lt; 15), "Regular",
(F172/(X172/7)) &gt;= 15, "Power"
)</f>
        <v>Casual</v>
      </c>
      <c r="AB172" s="3">
        <f t="shared" si="12"/>
        <v>0.21572794899043571</v>
      </c>
      <c r="AC172" t="str">
        <f t="shared" si="10"/>
        <v>Viewers</v>
      </c>
    </row>
    <row r="173" spans="1:30" x14ac:dyDescent="0.3">
      <c r="A173" s="6">
        <v>1284</v>
      </c>
      <c r="B173" s="7" t="s">
        <v>157</v>
      </c>
      <c r="C173" s="10">
        <f>_xlfn.XLOOKUP(A173,'Data Anomalies -Pls Read It'!A:A,'Data Anomalies -Pls Read It'!D:D,1,0)</f>
        <v>45627</v>
      </c>
      <c r="D173" s="10">
        <f>_xlfn.XLOOKUP(A173,'Data Anomalies -Pls Read It'!A:A,'Data Anomalies -Pls Read It'!C:C,1,0)</f>
        <v>45630</v>
      </c>
      <c r="E173" s="13">
        <v>7.99</v>
      </c>
      <c r="F173" s="6">
        <v>405</v>
      </c>
      <c r="G173" s="7" t="s">
        <v>73</v>
      </c>
      <c r="H173" s="6">
        <v>4</v>
      </c>
      <c r="I173" s="6">
        <v>3</v>
      </c>
      <c r="J173" s="7" t="b">
        <v>1</v>
      </c>
      <c r="K173" s="6">
        <v>695</v>
      </c>
      <c r="L173" s="6">
        <v>85</v>
      </c>
      <c r="M173" s="7" t="s">
        <v>68</v>
      </c>
      <c r="N173" s="7" t="s">
        <v>56</v>
      </c>
      <c r="O173" s="7" t="s">
        <v>78</v>
      </c>
      <c r="P173" s="6">
        <v>42</v>
      </c>
      <c r="Q173" s="11">
        <v>3.7</v>
      </c>
      <c r="R173" s="7" t="b">
        <v>0</v>
      </c>
      <c r="S173" s="7" t="s">
        <v>30</v>
      </c>
      <c r="T173" s="6">
        <v>2395</v>
      </c>
      <c r="U173" s="7" t="s">
        <v>65</v>
      </c>
      <c r="V173" s="12" t="s">
        <v>39</v>
      </c>
      <c r="W173" s="7" t="s">
        <v>60</v>
      </c>
      <c r="X173" s="6">
        <f t="shared" si="11"/>
        <v>3</v>
      </c>
      <c r="Y173" t="str" cm="1">
        <f t="array" ref="Y173">_xlfn.IFS(E173=7.99,"BASIC",E173=11.99,"STANDARD",E173=15.99,"PREMIUM")</f>
        <v>BASIC</v>
      </c>
      <c r="Z173" s="4">
        <f t="shared" si="9"/>
        <v>945</v>
      </c>
      <c r="AA173" s="3" t="str" cm="1">
        <f t="array" ref="AA173">_xlfn.IFS(
(F173/(X173/7)) &lt; 5, "Casual",
AND((F173/(X173/7)) &gt;= 5, (F173/(X173/7)) &lt; 15), "Regular",
(F173/(X173/7)) &gt;= 15, "Power"
)</f>
        <v>Power</v>
      </c>
      <c r="AB173" s="3">
        <f t="shared" si="12"/>
        <v>0.51923076923076927</v>
      </c>
      <c r="AC173" t="str">
        <f t="shared" si="10"/>
        <v>Viewers</v>
      </c>
      <c r="AD173" t="s">
        <v>779</v>
      </c>
    </row>
    <row r="174" spans="1:30" x14ac:dyDescent="0.3">
      <c r="A174" s="6">
        <v>8774</v>
      </c>
      <c r="B174" s="7" t="s">
        <v>296</v>
      </c>
      <c r="C174" s="10">
        <v>45233</v>
      </c>
      <c r="D174" s="10">
        <v>45634</v>
      </c>
      <c r="E174" s="13">
        <v>15.99</v>
      </c>
      <c r="F174" s="6">
        <v>496</v>
      </c>
      <c r="G174" s="7" t="s">
        <v>73</v>
      </c>
      <c r="H174" s="6">
        <v>5</v>
      </c>
      <c r="I174" s="6">
        <v>6</v>
      </c>
      <c r="J174" s="7" t="b">
        <v>0</v>
      </c>
      <c r="K174" s="6">
        <v>803</v>
      </c>
      <c r="L174" s="6">
        <v>130</v>
      </c>
      <c r="M174" s="7" t="s">
        <v>27</v>
      </c>
      <c r="N174" s="7" t="s">
        <v>75</v>
      </c>
      <c r="O174" s="7" t="s">
        <v>78</v>
      </c>
      <c r="P174" s="6">
        <v>4</v>
      </c>
      <c r="Q174" s="11">
        <v>4.8</v>
      </c>
      <c r="R174" s="7" t="b">
        <v>0</v>
      </c>
      <c r="S174" s="7" t="s">
        <v>30</v>
      </c>
      <c r="T174" s="6">
        <v>4504</v>
      </c>
      <c r="U174" s="7" t="s">
        <v>58</v>
      </c>
      <c r="V174" s="12" t="s">
        <v>69</v>
      </c>
      <c r="W174" s="7" t="s">
        <v>60</v>
      </c>
      <c r="X174" s="6">
        <f t="shared" si="11"/>
        <v>401</v>
      </c>
      <c r="Y174" t="str" cm="1">
        <f t="array" ref="Y174">_xlfn.IFS(E174=7.99,"BASIC",E174=11.99,"STANDARD",E174=15.99,"PREMIUM")</f>
        <v>PREMIUM</v>
      </c>
      <c r="Z174" s="4">
        <f t="shared" si="9"/>
        <v>8.6583541147132177</v>
      </c>
      <c r="AA174" s="3" t="str" cm="1">
        <f t="array" ref="AA174">_xlfn.IFS(
(F174/(X174/7)) &lt; 5, "Casual",
AND((F174/(X174/7)) &gt;= 5, (F174/(X174/7)) &lt; 15), "Regular",
(F174/(X174/7)) &gt;= 15, "Power"
)</f>
        <v>Regular</v>
      </c>
      <c r="AB174" s="3">
        <f t="shared" si="12"/>
        <v>0.53161843515541263</v>
      </c>
      <c r="AC174" t="str">
        <f t="shared" si="10"/>
        <v>Viewers</v>
      </c>
    </row>
    <row r="175" spans="1:30" x14ac:dyDescent="0.3">
      <c r="A175" s="6">
        <v>3866</v>
      </c>
      <c r="B175" s="7" t="s">
        <v>297</v>
      </c>
      <c r="C175" s="10">
        <v>45323</v>
      </c>
      <c r="D175" s="10">
        <v>45624</v>
      </c>
      <c r="E175" s="13">
        <v>15.99</v>
      </c>
      <c r="F175" s="6">
        <v>328</v>
      </c>
      <c r="G175" s="7" t="s">
        <v>48</v>
      </c>
      <c r="H175" s="6">
        <v>2</v>
      </c>
      <c r="I175" s="6">
        <v>2</v>
      </c>
      <c r="J175" s="7" t="b">
        <v>0</v>
      </c>
      <c r="K175" s="6">
        <v>268</v>
      </c>
      <c r="L175" s="6">
        <v>50</v>
      </c>
      <c r="M175" s="7" t="s">
        <v>74</v>
      </c>
      <c r="N175" s="7" t="s">
        <v>44</v>
      </c>
      <c r="O175" s="7" t="s">
        <v>45</v>
      </c>
      <c r="P175" s="6">
        <v>3</v>
      </c>
      <c r="Q175" s="11">
        <v>4.4000000000000004</v>
      </c>
      <c r="R175" s="7" t="b">
        <v>1</v>
      </c>
      <c r="S175" s="7" t="s">
        <v>30</v>
      </c>
      <c r="T175" s="6">
        <v>3015</v>
      </c>
      <c r="U175" s="7" t="s">
        <v>65</v>
      </c>
      <c r="V175" s="12" t="s">
        <v>59</v>
      </c>
      <c r="W175" s="7" t="s">
        <v>40</v>
      </c>
      <c r="X175" s="6">
        <f t="shared" si="11"/>
        <v>301</v>
      </c>
      <c r="Y175" t="str" cm="1">
        <f t="array" ref="Y175">_xlfn.IFS(E175=7.99,"BASIC",E175=11.99,"STANDARD",E175=15.99,"PREMIUM")</f>
        <v>PREMIUM</v>
      </c>
      <c r="Z175" s="4">
        <f t="shared" si="9"/>
        <v>7.6279069767441863</v>
      </c>
      <c r="AA175" s="3" t="str" cm="1">
        <f t="array" ref="AA175">_xlfn.IFS(
(F175/(X175/7)) &lt; 5, "Casual",
AND((F175/(X175/7)) &gt;= 5, (F175/(X175/7)) &lt; 15), "Regular",
(F175/(X175/7)) &gt;= 15, "Power"
)</f>
        <v>Regular</v>
      </c>
      <c r="AB175" s="3">
        <f t="shared" si="12"/>
        <v>1.0314465408805031</v>
      </c>
      <c r="AC175" t="str">
        <f t="shared" si="10"/>
        <v>Viewers</v>
      </c>
    </row>
    <row r="176" spans="1:30" x14ac:dyDescent="0.3">
      <c r="A176" s="6">
        <v>4477</v>
      </c>
      <c r="B176" s="7" t="s">
        <v>272</v>
      </c>
      <c r="C176" s="10">
        <v>45410</v>
      </c>
      <c r="D176" s="10">
        <v>45619</v>
      </c>
      <c r="E176" s="13">
        <v>7.99</v>
      </c>
      <c r="F176" s="6">
        <v>85</v>
      </c>
      <c r="G176" s="7" t="s">
        <v>36</v>
      </c>
      <c r="H176" s="6">
        <v>5</v>
      </c>
      <c r="I176" s="6">
        <v>1</v>
      </c>
      <c r="J176" s="7" t="b">
        <v>0</v>
      </c>
      <c r="K176" s="6">
        <v>429</v>
      </c>
      <c r="L176" s="6">
        <v>52</v>
      </c>
      <c r="M176" s="7" t="s">
        <v>49</v>
      </c>
      <c r="N176" s="7" t="s">
        <v>28</v>
      </c>
      <c r="O176" s="7" t="s">
        <v>37</v>
      </c>
      <c r="P176" s="6">
        <v>16</v>
      </c>
      <c r="Q176" s="11">
        <v>3.8</v>
      </c>
      <c r="R176" s="7" t="b">
        <v>0</v>
      </c>
      <c r="S176" s="7" t="s">
        <v>30</v>
      </c>
      <c r="T176" s="6">
        <v>4971</v>
      </c>
      <c r="U176" s="7" t="s">
        <v>31</v>
      </c>
      <c r="V176" s="12" t="s">
        <v>69</v>
      </c>
      <c r="W176" s="7" t="s">
        <v>40</v>
      </c>
      <c r="X176" s="6">
        <f t="shared" si="11"/>
        <v>209</v>
      </c>
      <c r="Y176" t="str" cm="1">
        <f t="array" ref="Y176">_xlfn.IFS(E176=7.99,"BASIC",E176=11.99,"STANDARD",E176=15.99,"PREMIUM")</f>
        <v>BASIC</v>
      </c>
      <c r="Z176" s="4">
        <f t="shared" si="9"/>
        <v>2.8468899521531101</v>
      </c>
      <c r="AA176" s="3" t="str" cm="1">
        <f t="array" ref="AA176">_xlfn.IFS(
(F176/(X176/7)) &lt; 5, "Casual",
AND((F176/(X176/7)) &gt;= 5, (F176/(X176/7)) &lt; 15), "Regular",
(F176/(X176/7)) &gt;= 15, "Power"
)</f>
        <v>Casual</v>
      </c>
      <c r="AB176" s="3">
        <f t="shared" si="12"/>
        <v>0.17671517671517672</v>
      </c>
      <c r="AC176" t="str">
        <f t="shared" si="10"/>
        <v>Viewers</v>
      </c>
    </row>
    <row r="177" spans="1:29" x14ac:dyDescent="0.3">
      <c r="A177" s="6">
        <v>4829</v>
      </c>
      <c r="B177" s="7" t="s">
        <v>299</v>
      </c>
      <c r="C177" s="10">
        <v>45556</v>
      </c>
      <c r="D177" s="10">
        <v>45643</v>
      </c>
      <c r="E177" s="13">
        <v>11.99</v>
      </c>
      <c r="F177" s="6">
        <v>386</v>
      </c>
      <c r="G177" s="7" t="s">
        <v>48</v>
      </c>
      <c r="H177" s="6">
        <v>3</v>
      </c>
      <c r="I177" s="6">
        <v>4</v>
      </c>
      <c r="J177" s="7" t="b">
        <v>0</v>
      </c>
      <c r="K177" s="6">
        <v>62</v>
      </c>
      <c r="L177" s="6">
        <v>50</v>
      </c>
      <c r="M177" s="7" t="s">
        <v>74</v>
      </c>
      <c r="N177" s="7" t="s">
        <v>56</v>
      </c>
      <c r="O177" s="7" t="s">
        <v>29</v>
      </c>
      <c r="P177" s="6">
        <v>44</v>
      </c>
      <c r="Q177" s="11">
        <v>4.7</v>
      </c>
      <c r="R177" s="7" t="b">
        <v>0</v>
      </c>
      <c r="S177" s="7" t="s">
        <v>30</v>
      </c>
      <c r="T177" s="6">
        <v>2377</v>
      </c>
      <c r="U177" s="7" t="s">
        <v>31</v>
      </c>
      <c r="V177" s="12" t="s">
        <v>32</v>
      </c>
      <c r="W177" s="7" t="s">
        <v>60</v>
      </c>
      <c r="X177" s="6">
        <f t="shared" si="11"/>
        <v>87</v>
      </c>
      <c r="Y177" t="str" cm="1">
        <f t="array" ref="Y177">_xlfn.IFS(E177=7.99,"BASIC",E177=11.99,"STANDARD",E177=15.99,"PREMIUM")</f>
        <v>STANDARD</v>
      </c>
      <c r="Z177" s="4">
        <f t="shared" si="9"/>
        <v>31.057471264367816</v>
      </c>
      <c r="AA177" s="3" t="str" cm="1">
        <f t="array" ref="AA177">_xlfn.IFS(
(F177/(X177/7)) &lt; 5, "Casual",
AND((F177/(X177/7)) &gt;= 5, (F177/(X177/7)) &lt; 15), "Regular",
(F177/(X177/7)) &gt;= 15, "Power"
)</f>
        <v>Power</v>
      </c>
      <c r="AB177" s="3">
        <f t="shared" si="12"/>
        <v>3.4464285714285716</v>
      </c>
      <c r="AC177" t="str">
        <f t="shared" si="10"/>
        <v>Viewers</v>
      </c>
    </row>
    <row r="178" spans="1:29" x14ac:dyDescent="0.3">
      <c r="A178" s="6">
        <v>1257</v>
      </c>
      <c r="B178" s="7" t="s">
        <v>257</v>
      </c>
      <c r="C178" s="10">
        <v>44965</v>
      </c>
      <c r="D178" s="10">
        <v>45634</v>
      </c>
      <c r="E178" s="13">
        <v>7.99</v>
      </c>
      <c r="F178" s="6">
        <v>245</v>
      </c>
      <c r="G178" s="7" t="s">
        <v>26</v>
      </c>
      <c r="H178" s="6">
        <v>3</v>
      </c>
      <c r="I178" s="6">
        <v>4</v>
      </c>
      <c r="J178" s="7" t="b">
        <v>0</v>
      </c>
      <c r="K178" s="6">
        <v>831</v>
      </c>
      <c r="L178" s="6">
        <v>15</v>
      </c>
      <c r="M178" s="7" t="s">
        <v>43</v>
      </c>
      <c r="N178" s="7" t="s">
        <v>28</v>
      </c>
      <c r="O178" s="7" t="s">
        <v>37</v>
      </c>
      <c r="P178" s="6">
        <v>64</v>
      </c>
      <c r="Q178" s="11">
        <v>4.9000000000000004</v>
      </c>
      <c r="R178" s="7" t="b">
        <v>0</v>
      </c>
      <c r="S178" s="7" t="s">
        <v>30</v>
      </c>
      <c r="T178" s="6">
        <v>212</v>
      </c>
      <c r="U178" s="7" t="s">
        <v>76</v>
      </c>
      <c r="V178" s="12" t="s">
        <v>69</v>
      </c>
      <c r="W178" s="7" t="s">
        <v>93</v>
      </c>
      <c r="X178" s="6">
        <f t="shared" si="11"/>
        <v>669</v>
      </c>
      <c r="Y178" t="str" cm="1">
        <f t="array" ref="Y178">_xlfn.IFS(E178=7.99,"BASIC",E178=11.99,"STANDARD",E178=15.99,"PREMIUM")</f>
        <v>BASIC</v>
      </c>
      <c r="Z178" s="4">
        <f t="shared" si="9"/>
        <v>2.5635276532137521</v>
      </c>
      <c r="AA178" s="3" t="str" cm="1">
        <f t="array" ref="AA178">_xlfn.IFS(
(F178/(X178/7)) &lt; 5, "Casual",
AND((F178/(X178/7)) &gt;= 5, (F178/(X178/7)) &lt; 15), "Regular",
(F178/(X178/7)) &gt;= 15, "Power"
)</f>
        <v>Casual</v>
      </c>
      <c r="AB178" s="3">
        <f t="shared" si="12"/>
        <v>0.28959810874704489</v>
      </c>
      <c r="AC178" t="str">
        <f t="shared" si="10"/>
        <v>Viewers</v>
      </c>
    </row>
    <row r="179" spans="1:29" x14ac:dyDescent="0.3">
      <c r="A179" s="6">
        <v>1897</v>
      </c>
      <c r="B179" s="7" t="s">
        <v>301</v>
      </c>
      <c r="C179" s="10">
        <v>45004</v>
      </c>
      <c r="D179" s="10">
        <v>45642</v>
      </c>
      <c r="E179" s="13">
        <v>11.99</v>
      </c>
      <c r="F179" s="6">
        <v>97</v>
      </c>
      <c r="G179" s="7" t="s">
        <v>63</v>
      </c>
      <c r="H179" s="6">
        <v>5</v>
      </c>
      <c r="I179" s="6">
        <v>5</v>
      </c>
      <c r="J179" s="7" t="b">
        <v>1</v>
      </c>
      <c r="K179" s="6">
        <v>737</v>
      </c>
      <c r="L179" s="6">
        <v>85</v>
      </c>
      <c r="M179" s="7" t="s">
        <v>55</v>
      </c>
      <c r="N179" s="7" t="s">
        <v>28</v>
      </c>
      <c r="O179" s="7" t="s">
        <v>78</v>
      </c>
      <c r="P179" s="6">
        <v>80</v>
      </c>
      <c r="Q179" s="11">
        <v>3.6</v>
      </c>
      <c r="R179" s="7" t="b">
        <v>1</v>
      </c>
      <c r="S179" s="7" t="s">
        <v>30</v>
      </c>
      <c r="T179" s="6">
        <v>188</v>
      </c>
      <c r="U179" s="7" t="s">
        <v>31</v>
      </c>
      <c r="V179" s="12" t="s">
        <v>79</v>
      </c>
      <c r="W179" s="7" t="s">
        <v>93</v>
      </c>
      <c r="X179" s="6">
        <f t="shared" si="11"/>
        <v>638</v>
      </c>
      <c r="Y179" t="str" cm="1">
        <f t="array" ref="Y179">_xlfn.IFS(E179=7.99,"BASIC",E179=11.99,"STANDARD",E179=15.99,"PREMIUM")</f>
        <v>STANDARD</v>
      </c>
      <c r="Z179" s="4">
        <f t="shared" si="9"/>
        <v>1.0642633228840126</v>
      </c>
      <c r="AA179" s="3" t="str" cm="1">
        <f t="array" ref="AA179">_xlfn.IFS(
(F179/(X179/7)) &lt; 5, "Casual",
AND((F179/(X179/7)) &gt;= 5, (F179/(X179/7)) &lt; 15), "Regular",
(F179/(X179/7)) &gt;= 15, "Power"
)</f>
        <v>Casual</v>
      </c>
      <c r="AB179" s="3">
        <f t="shared" si="12"/>
        <v>0.11800486618004866</v>
      </c>
      <c r="AC179" t="str">
        <f t="shared" si="10"/>
        <v xml:space="preserve"> Browsers</v>
      </c>
    </row>
    <row r="180" spans="1:29" x14ac:dyDescent="0.3">
      <c r="A180" s="6">
        <v>3603</v>
      </c>
      <c r="B180" s="7" t="s">
        <v>302</v>
      </c>
      <c r="C180" s="10">
        <v>45020</v>
      </c>
      <c r="D180" s="10">
        <v>45616</v>
      </c>
      <c r="E180" s="13">
        <v>7.99</v>
      </c>
      <c r="F180" s="6">
        <v>216</v>
      </c>
      <c r="G180" s="7" t="s">
        <v>51</v>
      </c>
      <c r="H180" s="6">
        <v>4</v>
      </c>
      <c r="I180" s="6">
        <v>3</v>
      </c>
      <c r="J180" s="7" t="b">
        <v>1</v>
      </c>
      <c r="K180" s="6">
        <v>923</v>
      </c>
      <c r="L180" s="6">
        <v>143</v>
      </c>
      <c r="M180" s="7" t="s">
        <v>27</v>
      </c>
      <c r="N180" s="7" t="s">
        <v>56</v>
      </c>
      <c r="O180" s="7" t="s">
        <v>45</v>
      </c>
      <c r="P180" s="6">
        <v>20</v>
      </c>
      <c r="Q180" s="11">
        <v>3.4</v>
      </c>
      <c r="R180" s="7" t="b">
        <v>0</v>
      </c>
      <c r="S180" s="7" t="s">
        <v>30</v>
      </c>
      <c r="T180" s="6">
        <v>4435</v>
      </c>
      <c r="U180" s="7" t="s">
        <v>38</v>
      </c>
      <c r="V180" s="12" t="s">
        <v>79</v>
      </c>
      <c r="W180" s="7" t="s">
        <v>33</v>
      </c>
      <c r="X180" s="6">
        <f t="shared" si="11"/>
        <v>596</v>
      </c>
      <c r="Y180" t="str" cm="1">
        <f t="array" ref="Y180">_xlfn.IFS(E180=7.99,"BASIC",E180=11.99,"STANDARD",E180=15.99,"PREMIUM")</f>
        <v>BASIC</v>
      </c>
      <c r="Z180" s="4">
        <f t="shared" si="9"/>
        <v>2.5369127516778525</v>
      </c>
      <c r="AA180" s="3" t="str" cm="1">
        <f t="array" ref="AA180">_xlfn.IFS(
(F180/(X180/7)) &lt; 5, "Casual",
AND((F180/(X180/7)) &gt;= 5, (F180/(X180/7)) &lt; 15), "Regular",
(F180/(X180/7)) &gt;= 15, "Power"
)</f>
        <v>Casual</v>
      </c>
      <c r="AB180" s="3">
        <f t="shared" si="12"/>
        <v>0.20262664165103189</v>
      </c>
      <c r="AC180" t="str">
        <f t="shared" si="10"/>
        <v>Viewers</v>
      </c>
    </row>
    <row r="181" spans="1:29" x14ac:dyDescent="0.3">
      <c r="A181" s="6">
        <v>9256</v>
      </c>
      <c r="B181" s="7" t="s">
        <v>257</v>
      </c>
      <c r="C181" s="10">
        <v>44964</v>
      </c>
      <c r="D181" s="10">
        <v>45618</v>
      </c>
      <c r="E181" s="13">
        <v>7.99</v>
      </c>
      <c r="F181" s="6">
        <v>331</v>
      </c>
      <c r="G181" s="7" t="s">
        <v>100</v>
      </c>
      <c r="H181" s="6">
        <v>5</v>
      </c>
      <c r="I181" s="6">
        <v>1</v>
      </c>
      <c r="J181" s="7" t="b">
        <v>0</v>
      </c>
      <c r="K181" s="6">
        <v>85</v>
      </c>
      <c r="L181" s="6">
        <v>117</v>
      </c>
      <c r="M181" s="7" t="s">
        <v>92</v>
      </c>
      <c r="N181" s="7" t="s">
        <v>56</v>
      </c>
      <c r="O181" s="7" t="s">
        <v>78</v>
      </c>
      <c r="P181" s="6">
        <v>21</v>
      </c>
      <c r="Q181" s="11">
        <v>4.8</v>
      </c>
      <c r="R181" s="7" t="b">
        <v>1</v>
      </c>
      <c r="S181" s="7" t="s">
        <v>30</v>
      </c>
      <c r="T181" s="6">
        <v>1454</v>
      </c>
      <c r="U181" s="7" t="s">
        <v>58</v>
      </c>
      <c r="V181" s="12" t="s">
        <v>39</v>
      </c>
      <c r="W181" s="7" t="s">
        <v>93</v>
      </c>
      <c r="X181" s="6">
        <f t="shared" si="11"/>
        <v>654</v>
      </c>
      <c r="Y181" t="str" cm="1">
        <f t="array" ref="Y181">_xlfn.IFS(E181=7.99,"BASIC",E181=11.99,"STANDARD",E181=15.99,"PREMIUM")</f>
        <v>BASIC</v>
      </c>
      <c r="Z181" s="4">
        <f t="shared" si="9"/>
        <v>3.5428134556574924</v>
      </c>
      <c r="AA181" s="3" t="str" cm="1">
        <f t="array" ref="AA181">_xlfn.IFS(
(F181/(X181/7)) &lt; 5, "Casual",
AND((F181/(X181/7)) &gt;= 5, (F181/(X181/7)) &lt; 15), "Regular",
(F181/(X181/7)) &gt;= 15, "Power"
)</f>
        <v>Casual</v>
      </c>
      <c r="AB181" s="3">
        <f t="shared" si="12"/>
        <v>1.6386138613861385</v>
      </c>
      <c r="AC181" t="str">
        <f t="shared" si="10"/>
        <v>Viewers</v>
      </c>
    </row>
    <row r="182" spans="1:29" x14ac:dyDescent="0.3">
      <c r="A182" s="6">
        <v>9469</v>
      </c>
      <c r="B182" s="7" t="s">
        <v>101</v>
      </c>
      <c r="C182" s="10">
        <v>45087</v>
      </c>
      <c r="D182" s="10">
        <v>45621</v>
      </c>
      <c r="E182" s="13">
        <v>11.99</v>
      </c>
      <c r="F182" s="6">
        <v>451</v>
      </c>
      <c r="G182" s="7" t="s">
        <v>48</v>
      </c>
      <c r="H182" s="6">
        <v>2</v>
      </c>
      <c r="I182" s="6">
        <v>3</v>
      </c>
      <c r="J182" s="7" t="b">
        <v>0</v>
      </c>
      <c r="K182" s="6">
        <v>59</v>
      </c>
      <c r="L182" s="6">
        <v>38</v>
      </c>
      <c r="M182" s="7" t="s">
        <v>74</v>
      </c>
      <c r="N182" s="7" t="s">
        <v>56</v>
      </c>
      <c r="O182" s="7" t="s">
        <v>37</v>
      </c>
      <c r="P182" s="6">
        <v>94</v>
      </c>
      <c r="Q182" s="11">
        <v>3</v>
      </c>
      <c r="R182" s="7" t="b">
        <v>1</v>
      </c>
      <c r="S182" s="7" t="s">
        <v>30</v>
      </c>
      <c r="T182" s="6">
        <v>2841</v>
      </c>
      <c r="U182" s="7" t="s">
        <v>65</v>
      </c>
      <c r="V182" s="12" t="s">
        <v>69</v>
      </c>
      <c r="W182" s="7" t="s">
        <v>40</v>
      </c>
      <c r="X182" s="6">
        <f t="shared" si="11"/>
        <v>534</v>
      </c>
      <c r="Y182" t="str" cm="1">
        <f t="array" ref="Y182">_xlfn.IFS(E182=7.99,"BASIC",E182=11.99,"STANDARD",E182=15.99,"PREMIUM")</f>
        <v>STANDARD</v>
      </c>
      <c r="Z182" s="4">
        <f t="shared" si="9"/>
        <v>5.9119850187265914</v>
      </c>
      <c r="AA182" s="3" t="str" cm="1">
        <f t="array" ref="AA182">_xlfn.IFS(
(F182/(X182/7)) &lt; 5, "Casual",
AND((F182/(X182/7)) &gt;= 5, (F182/(X182/7)) &lt; 15), "Regular",
(F182/(X182/7)) &gt;= 15, "Power"
)</f>
        <v>Regular</v>
      </c>
      <c r="AB182" s="3">
        <f t="shared" si="12"/>
        <v>4.6494845360824746</v>
      </c>
      <c r="AC182" t="str">
        <f t="shared" si="10"/>
        <v>Viewers</v>
      </c>
    </row>
    <row r="183" spans="1:29" x14ac:dyDescent="0.3">
      <c r="A183" s="6">
        <v>7136</v>
      </c>
      <c r="B183" s="7" t="s">
        <v>143</v>
      </c>
      <c r="C183" s="10">
        <v>45431</v>
      </c>
      <c r="D183" s="10">
        <v>45640</v>
      </c>
      <c r="E183" s="13">
        <v>7.99</v>
      </c>
      <c r="F183" s="6">
        <v>326</v>
      </c>
      <c r="G183" s="7" t="s">
        <v>26</v>
      </c>
      <c r="H183" s="6">
        <v>5</v>
      </c>
      <c r="I183" s="6">
        <v>1</v>
      </c>
      <c r="J183" s="7" t="b">
        <v>0</v>
      </c>
      <c r="K183" s="6">
        <v>590</v>
      </c>
      <c r="L183" s="6">
        <v>105</v>
      </c>
      <c r="M183" s="7" t="s">
        <v>92</v>
      </c>
      <c r="N183" s="7" t="s">
        <v>28</v>
      </c>
      <c r="O183" s="7" t="s">
        <v>29</v>
      </c>
      <c r="P183" s="6">
        <v>56</v>
      </c>
      <c r="Q183" s="11">
        <v>3.3</v>
      </c>
      <c r="R183" s="7" t="b">
        <v>0</v>
      </c>
      <c r="S183" s="7" t="s">
        <v>30</v>
      </c>
      <c r="T183" s="6">
        <v>1626</v>
      </c>
      <c r="U183" s="7" t="s">
        <v>31</v>
      </c>
      <c r="V183" s="12" t="s">
        <v>39</v>
      </c>
      <c r="W183" s="7" t="s">
        <v>93</v>
      </c>
      <c r="X183" s="6">
        <f t="shared" si="11"/>
        <v>209</v>
      </c>
      <c r="Y183" t="str" cm="1">
        <f t="array" ref="Y183">_xlfn.IFS(E183=7.99,"BASIC",E183=11.99,"STANDARD",E183=15.99,"PREMIUM")</f>
        <v>BASIC</v>
      </c>
      <c r="Z183" s="4">
        <f t="shared" si="9"/>
        <v>10.918660287081339</v>
      </c>
      <c r="AA183" s="3" t="str" cm="1">
        <f t="array" ref="AA183">_xlfn.IFS(
(F183/(X183/7)) &lt; 5, "Casual",
AND((F183/(X183/7)) &gt;= 5, (F183/(X183/7)) &lt; 15), "Regular",
(F183/(X183/7)) &gt;= 15, "Power"
)</f>
        <v>Regular</v>
      </c>
      <c r="AB183" s="3">
        <f t="shared" si="12"/>
        <v>0.46906474820143884</v>
      </c>
      <c r="AC183" t="str">
        <f t="shared" si="10"/>
        <v>Viewers</v>
      </c>
    </row>
    <row r="184" spans="1:29" x14ac:dyDescent="0.3">
      <c r="A184" s="6">
        <v>2321</v>
      </c>
      <c r="B184" s="7" t="s">
        <v>304</v>
      </c>
      <c r="C184" s="10">
        <v>45342</v>
      </c>
      <c r="D184" s="10">
        <v>45640</v>
      </c>
      <c r="E184" s="13">
        <v>15.99</v>
      </c>
      <c r="F184" s="6">
        <v>358</v>
      </c>
      <c r="G184" s="7" t="s">
        <v>36</v>
      </c>
      <c r="H184" s="6">
        <v>3</v>
      </c>
      <c r="I184" s="6">
        <v>1</v>
      </c>
      <c r="J184" s="7" t="b">
        <v>0</v>
      </c>
      <c r="K184" s="6">
        <v>348</v>
      </c>
      <c r="L184" s="6">
        <v>49</v>
      </c>
      <c r="M184" s="7" t="s">
        <v>92</v>
      </c>
      <c r="N184" s="7" t="s">
        <v>44</v>
      </c>
      <c r="O184" s="7" t="s">
        <v>29</v>
      </c>
      <c r="P184" s="6">
        <v>14</v>
      </c>
      <c r="Q184" s="11">
        <v>4.2</v>
      </c>
      <c r="R184" s="7" t="b">
        <v>0</v>
      </c>
      <c r="S184" s="7" t="s">
        <v>30</v>
      </c>
      <c r="T184" s="6">
        <v>111</v>
      </c>
      <c r="U184" s="7" t="s">
        <v>38</v>
      </c>
      <c r="V184" s="12" t="s">
        <v>32</v>
      </c>
      <c r="W184" s="7" t="s">
        <v>60</v>
      </c>
      <c r="X184" s="6">
        <f t="shared" si="11"/>
        <v>298</v>
      </c>
      <c r="Y184" t="str" cm="1">
        <f t="array" ref="Y184">_xlfn.IFS(E184=7.99,"BASIC",E184=11.99,"STANDARD",E184=15.99,"PREMIUM")</f>
        <v>PREMIUM</v>
      </c>
      <c r="Z184" s="4">
        <f t="shared" si="9"/>
        <v>8.4093959731543624</v>
      </c>
      <c r="AA184" s="3" t="str" cm="1">
        <f t="array" ref="AA184">_xlfn.IFS(
(F184/(X184/7)) &lt; 5, "Casual",
AND((F184/(X184/7)) &gt;= 5, (F184/(X184/7)) &lt; 15), "Regular",
(F184/(X184/7)) &gt;= 15, "Power"
)</f>
        <v>Regular</v>
      </c>
      <c r="AB184" s="3">
        <f t="shared" si="12"/>
        <v>0.90176322418136023</v>
      </c>
      <c r="AC184" t="str">
        <f t="shared" si="10"/>
        <v>Viewers</v>
      </c>
    </row>
    <row r="185" spans="1:29" x14ac:dyDescent="0.3">
      <c r="A185" s="6">
        <v>4243</v>
      </c>
      <c r="B185" s="7" t="s">
        <v>272</v>
      </c>
      <c r="C185" s="10">
        <v>44998</v>
      </c>
      <c r="D185" s="10">
        <v>45625</v>
      </c>
      <c r="E185" s="13">
        <v>15.99</v>
      </c>
      <c r="F185" s="6">
        <v>91</v>
      </c>
      <c r="G185" s="7" t="s">
        <v>26</v>
      </c>
      <c r="H185" s="6">
        <v>2</v>
      </c>
      <c r="I185" s="6">
        <v>1</v>
      </c>
      <c r="J185" s="7" t="b">
        <v>1</v>
      </c>
      <c r="K185" s="6">
        <v>561</v>
      </c>
      <c r="L185" s="6">
        <v>153</v>
      </c>
      <c r="M185" s="7" t="s">
        <v>43</v>
      </c>
      <c r="N185" s="7" t="s">
        <v>75</v>
      </c>
      <c r="O185" s="7" t="s">
        <v>64</v>
      </c>
      <c r="P185" s="6">
        <v>7</v>
      </c>
      <c r="Q185" s="11">
        <v>4.0999999999999996</v>
      </c>
      <c r="R185" s="7" t="b">
        <v>0</v>
      </c>
      <c r="S185" s="7" t="s">
        <v>30</v>
      </c>
      <c r="T185" s="6">
        <v>450</v>
      </c>
      <c r="U185" s="7" t="s">
        <v>76</v>
      </c>
      <c r="V185" s="12" t="s">
        <v>79</v>
      </c>
      <c r="W185" s="7" t="s">
        <v>60</v>
      </c>
      <c r="X185" s="6">
        <f t="shared" si="11"/>
        <v>627</v>
      </c>
      <c r="Y185" t="str" cm="1">
        <f t="array" ref="Y185">_xlfn.IFS(E185=7.99,"BASIC",E185=11.99,"STANDARD",E185=15.99,"PREMIUM")</f>
        <v>PREMIUM</v>
      </c>
      <c r="Z185" s="4">
        <f t="shared" si="9"/>
        <v>1.0159489633173844</v>
      </c>
      <c r="AA185" s="3" t="str" cm="1">
        <f t="array" ref="AA185">_xlfn.IFS(
(F185/(X185/7)) &lt; 5, "Casual",
AND((F185/(X185/7)) &gt;= 5, (F185/(X185/7)) &lt; 15), "Regular",
(F185/(X185/7)) &gt;= 15, "Power"
)</f>
        <v>Casual</v>
      </c>
      <c r="AB185" s="3">
        <f t="shared" si="12"/>
        <v>0.12745098039215685</v>
      </c>
      <c r="AC185" t="str">
        <f t="shared" si="10"/>
        <v xml:space="preserve"> Browsers</v>
      </c>
    </row>
    <row r="186" spans="1:29" x14ac:dyDescent="0.3">
      <c r="A186" s="6">
        <v>8015</v>
      </c>
      <c r="B186" s="7" t="s">
        <v>307</v>
      </c>
      <c r="C186" s="10">
        <v>45227</v>
      </c>
      <c r="D186" s="10">
        <v>45644</v>
      </c>
      <c r="E186" s="13">
        <v>7.99</v>
      </c>
      <c r="F186" s="6">
        <v>478</v>
      </c>
      <c r="G186" s="7" t="s">
        <v>26</v>
      </c>
      <c r="H186" s="6">
        <v>2</v>
      </c>
      <c r="I186" s="6">
        <v>2</v>
      </c>
      <c r="J186" s="7" t="b">
        <v>1</v>
      </c>
      <c r="K186" s="6">
        <v>214</v>
      </c>
      <c r="L186" s="6">
        <v>191</v>
      </c>
      <c r="M186" s="7" t="s">
        <v>49</v>
      </c>
      <c r="N186" s="7" t="s">
        <v>44</v>
      </c>
      <c r="O186" s="7" t="s">
        <v>57</v>
      </c>
      <c r="P186" s="6">
        <v>44</v>
      </c>
      <c r="Q186" s="11">
        <v>3.6</v>
      </c>
      <c r="R186" s="7" t="b">
        <v>0</v>
      </c>
      <c r="S186" s="7" t="s">
        <v>30</v>
      </c>
      <c r="T186" s="6">
        <v>3325</v>
      </c>
      <c r="U186" s="7" t="s">
        <v>38</v>
      </c>
      <c r="V186" s="12" t="s">
        <v>32</v>
      </c>
      <c r="W186" s="7" t="s">
        <v>93</v>
      </c>
      <c r="X186" s="6">
        <f t="shared" si="11"/>
        <v>417</v>
      </c>
      <c r="Y186" t="str" cm="1">
        <f t="array" ref="Y186">_xlfn.IFS(E186=7.99,"BASIC",E186=11.99,"STANDARD",E186=15.99,"PREMIUM")</f>
        <v>BASIC</v>
      </c>
      <c r="Z186" s="4">
        <f t="shared" si="9"/>
        <v>8.0239808153477217</v>
      </c>
      <c r="AA186" s="3" t="str" cm="1">
        <f t="array" ref="AA186">_xlfn.IFS(
(F186/(X186/7)) &lt; 5, "Casual",
AND((F186/(X186/7)) &gt;= 5, (F186/(X186/7)) &lt; 15), "Regular",
(F186/(X186/7)) &gt;= 15, "Power"
)</f>
        <v>Regular</v>
      </c>
      <c r="AB186" s="3">
        <f t="shared" si="12"/>
        <v>1.1802469135802469</v>
      </c>
      <c r="AC186" t="str">
        <f t="shared" si="10"/>
        <v>Viewers</v>
      </c>
    </row>
    <row r="187" spans="1:29" x14ac:dyDescent="0.3">
      <c r="A187" s="6">
        <v>3440</v>
      </c>
      <c r="B187" s="7" t="s">
        <v>101</v>
      </c>
      <c r="C187" s="10">
        <v>44982</v>
      </c>
      <c r="D187" s="10">
        <v>45618</v>
      </c>
      <c r="E187" s="13">
        <v>7.99</v>
      </c>
      <c r="F187" s="6">
        <v>16</v>
      </c>
      <c r="G187" s="7" t="s">
        <v>51</v>
      </c>
      <c r="H187" s="6">
        <v>3</v>
      </c>
      <c r="I187" s="6">
        <v>4</v>
      </c>
      <c r="J187" s="7" t="b">
        <v>0</v>
      </c>
      <c r="K187" s="6">
        <v>964</v>
      </c>
      <c r="L187" s="6">
        <v>111</v>
      </c>
      <c r="M187" s="7" t="s">
        <v>92</v>
      </c>
      <c r="N187" s="7" t="s">
        <v>28</v>
      </c>
      <c r="O187" s="7" t="s">
        <v>45</v>
      </c>
      <c r="P187" s="6">
        <v>52</v>
      </c>
      <c r="Q187" s="11">
        <v>3.1</v>
      </c>
      <c r="R187" s="7" t="b">
        <v>1</v>
      </c>
      <c r="S187" s="7" t="s">
        <v>30</v>
      </c>
      <c r="T187" s="6">
        <v>3059</v>
      </c>
      <c r="U187" s="7" t="s">
        <v>76</v>
      </c>
      <c r="V187" s="12" t="s">
        <v>59</v>
      </c>
      <c r="W187" s="7" t="s">
        <v>60</v>
      </c>
      <c r="X187" s="6">
        <f t="shared" si="11"/>
        <v>636</v>
      </c>
      <c r="Y187" t="str" cm="1">
        <f t="array" ref="Y187">_xlfn.IFS(E187=7.99,"BASIC",E187=11.99,"STANDARD",E187=15.99,"PREMIUM")</f>
        <v>BASIC</v>
      </c>
      <c r="Z187" s="4">
        <f t="shared" si="9"/>
        <v>0.1761006289308176</v>
      </c>
      <c r="AA187" s="3" t="str" cm="1">
        <f t="array" ref="AA187">_xlfn.IFS(
(F187/(X187/7)) &lt; 5, "Casual",
AND((F187/(X187/7)) &gt;= 5, (F187/(X187/7)) &lt; 15), "Regular",
(F187/(X187/7)) &gt;= 15, "Power"
)</f>
        <v>Casual</v>
      </c>
      <c r="AB187" s="3">
        <f t="shared" si="12"/>
        <v>1.4883720930232559E-2</v>
      </c>
      <c r="AC187" t="str">
        <f t="shared" si="10"/>
        <v xml:space="preserve"> Browsers</v>
      </c>
    </row>
    <row r="188" spans="1:29" x14ac:dyDescent="0.3">
      <c r="A188" s="6">
        <v>9914</v>
      </c>
      <c r="B188" s="7" t="s">
        <v>197</v>
      </c>
      <c r="C188" s="10">
        <v>45216</v>
      </c>
      <c r="D188" s="10">
        <v>45634</v>
      </c>
      <c r="E188" s="13">
        <v>11.99</v>
      </c>
      <c r="F188" s="6">
        <v>44</v>
      </c>
      <c r="G188" s="7" t="s">
        <v>73</v>
      </c>
      <c r="H188" s="6">
        <v>2</v>
      </c>
      <c r="I188" s="6">
        <v>1</v>
      </c>
      <c r="J188" s="7" t="b">
        <v>1</v>
      </c>
      <c r="K188" s="6">
        <v>897</v>
      </c>
      <c r="L188" s="6">
        <v>62</v>
      </c>
      <c r="M188" s="7" t="s">
        <v>74</v>
      </c>
      <c r="N188" s="7" t="s">
        <v>28</v>
      </c>
      <c r="O188" s="7" t="s">
        <v>64</v>
      </c>
      <c r="P188" s="6">
        <v>18</v>
      </c>
      <c r="Q188" s="11">
        <v>4.4000000000000004</v>
      </c>
      <c r="R188" s="7" t="b">
        <v>0</v>
      </c>
      <c r="S188" s="7" t="s">
        <v>30</v>
      </c>
      <c r="T188" s="6">
        <v>1065</v>
      </c>
      <c r="U188" s="7" t="s">
        <v>31</v>
      </c>
      <c r="V188" s="12" t="s">
        <v>32</v>
      </c>
      <c r="W188" s="7" t="s">
        <v>93</v>
      </c>
      <c r="X188" s="6">
        <f t="shared" si="11"/>
        <v>418</v>
      </c>
      <c r="Y188" t="str" cm="1">
        <f t="array" ref="Y188">_xlfn.IFS(E188=7.99,"BASIC",E188=11.99,"STANDARD",E188=15.99,"PREMIUM")</f>
        <v>STANDARD</v>
      </c>
      <c r="Z188" s="4">
        <f t="shared" si="9"/>
        <v>0.73684210526315785</v>
      </c>
      <c r="AA188" s="3" t="str" cm="1">
        <f t="array" ref="AA188">_xlfn.IFS(
(F188/(X188/7)) &lt; 5, "Casual",
AND((F188/(X188/7)) &gt;= 5, (F188/(X188/7)) &lt; 15), "Regular",
(F188/(X188/7)) &gt;= 15, "Power"
)</f>
        <v>Casual</v>
      </c>
      <c r="AB188" s="3">
        <f t="shared" si="12"/>
        <v>4.5881126173096975E-2</v>
      </c>
      <c r="AC188" t="str">
        <f t="shared" si="10"/>
        <v xml:space="preserve"> Browsers</v>
      </c>
    </row>
    <row r="189" spans="1:29" x14ac:dyDescent="0.3">
      <c r="A189" s="6">
        <v>5045</v>
      </c>
      <c r="B189" s="7" t="s">
        <v>140</v>
      </c>
      <c r="C189" s="10">
        <v>45529</v>
      </c>
      <c r="D189" s="10">
        <v>45617</v>
      </c>
      <c r="E189" s="13">
        <v>11.99</v>
      </c>
      <c r="F189" s="6">
        <v>100</v>
      </c>
      <c r="G189" s="7" t="s">
        <v>73</v>
      </c>
      <c r="H189" s="6">
        <v>4</v>
      </c>
      <c r="I189" s="6">
        <v>1</v>
      </c>
      <c r="J189" s="7" t="b">
        <v>1</v>
      </c>
      <c r="K189" s="6">
        <v>983</v>
      </c>
      <c r="L189" s="6">
        <v>191</v>
      </c>
      <c r="M189" s="7" t="s">
        <v>92</v>
      </c>
      <c r="N189" s="7" t="s">
        <v>28</v>
      </c>
      <c r="O189" s="7" t="s">
        <v>45</v>
      </c>
      <c r="P189" s="6">
        <v>53</v>
      </c>
      <c r="Q189" s="11">
        <v>4.5</v>
      </c>
      <c r="R189" s="7" t="b">
        <v>0</v>
      </c>
      <c r="S189" s="7" t="s">
        <v>30</v>
      </c>
      <c r="T189" s="6">
        <v>2575</v>
      </c>
      <c r="U189" s="7" t="s">
        <v>76</v>
      </c>
      <c r="V189" s="12" t="s">
        <v>59</v>
      </c>
      <c r="W189" s="7" t="s">
        <v>93</v>
      </c>
      <c r="X189" s="6">
        <f t="shared" si="11"/>
        <v>88</v>
      </c>
      <c r="Y189" t="str" cm="1">
        <f t="array" ref="Y189">_xlfn.IFS(E189=7.99,"BASIC",E189=11.99,"STANDARD",E189=15.99,"PREMIUM")</f>
        <v>STANDARD</v>
      </c>
      <c r="Z189" s="4">
        <f t="shared" si="9"/>
        <v>7.954545454545455</v>
      </c>
      <c r="AA189" s="3" t="str" cm="1">
        <f t="array" ref="AA189">_xlfn.IFS(
(F189/(X189/7)) &lt; 5, "Casual",
AND((F189/(X189/7)) &gt;= 5, (F189/(X189/7)) &lt; 15), "Regular",
(F189/(X189/7)) &gt;= 15, "Power"
)</f>
        <v>Regular</v>
      </c>
      <c r="AB189" s="3">
        <f t="shared" si="12"/>
        <v>8.5178875638841564E-2</v>
      </c>
      <c r="AC189" t="str">
        <f t="shared" si="10"/>
        <v xml:space="preserve"> Browsers</v>
      </c>
    </row>
    <row r="190" spans="1:29" x14ac:dyDescent="0.3">
      <c r="A190" s="6">
        <v>1379</v>
      </c>
      <c r="B190" s="7" t="s">
        <v>240</v>
      </c>
      <c r="C190" s="10">
        <v>45035</v>
      </c>
      <c r="D190" s="10">
        <v>45631</v>
      </c>
      <c r="E190" s="13">
        <v>11.99</v>
      </c>
      <c r="F190" s="6">
        <v>44</v>
      </c>
      <c r="G190" s="7" t="s">
        <v>36</v>
      </c>
      <c r="H190" s="6">
        <v>5</v>
      </c>
      <c r="I190" s="6">
        <v>4</v>
      </c>
      <c r="J190" s="7" t="b">
        <v>1</v>
      </c>
      <c r="K190" s="6">
        <v>432</v>
      </c>
      <c r="L190" s="6">
        <v>73</v>
      </c>
      <c r="M190" s="7" t="s">
        <v>49</v>
      </c>
      <c r="N190" s="7" t="s">
        <v>28</v>
      </c>
      <c r="O190" s="7" t="s">
        <v>64</v>
      </c>
      <c r="P190" s="6">
        <v>88</v>
      </c>
      <c r="Q190" s="11">
        <v>4.5999999999999996</v>
      </c>
      <c r="R190" s="7" t="b">
        <v>0</v>
      </c>
      <c r="S190" s="7" t="s">
        <v>30</v>
      </c>
      <c r="T190" s="6">
        <v>1690</v>
      </c>
      <c r="U190" s="7" t="s">
        <v>65</v>
      </c>
      <c r="V190" s="12" t="s">
        <v>32</v>
      </c>
      <c r="W190" s="7" t="s">
        <v>40</v>
      </c>
      <c r="X190" s="6">
        <f t="shared" si="11"/>
        <v>596</v>
      </c>
      <c r="Y190" t="str" cm="1">
        <f t="array" ref="Y190">_xlfn.IFS(E190=7.99,"BASIC",E190=11.99,"STANDARD",E190=15.99,"PREMIUM")</f>
        <v>STANDARD</v>
      </c>
      <c r="Z190" s="4">
        <f t="shared" si="9"/>
        <v>0.51677852348993292</v>
      </c>
      <c r="AA190" s="3" t="str" cm="1">
        <f t="array" ref="AA190">_xlfn.IFS(
(F190/(X190/7)) &lt; 5, "Casual",
AND((F190/(X190/7)) &gt;= 5, (F190/(X190/7)) &lt; 15), "Regular",
(F190/(X190/7)) &gt;= 15, "Power"
)</f>
        <v>Casual</v>
      </c>
      <c r="AB190" s="3">
        <f t="shared" si="12"/>
        <v>8.7128712871287123E-2</v>
      </c>
      <c r="AC190" t="str">
        <f t="shared" si="10"/>
        <v xml:space="preserve"> Browsers</v>
      </c>
    </row>
    <row r="191" spans="1:29" x14ac:dyDescent="0.3">
      <c r="A191" s="6">
        <v>6099</v>
      </c>
      <c r="B191" s="7" t="s">
        <v>311</v>
      </c>
      <c r="C191" s="10">
        <v>45345</v>
      </c>
      <c r="D191" s="10">
        <v>45623</v>
      </c>
      <c r="E191" s="13">
        <v>11.99</v>
      </c>
      <c r="F191" s="6">
        <v>37</v>
      </c>
      <c r="G191" s="7" t="s">
        <v>73</v>
      </c>
      <c r="H191" s="6">
        <v>3</v>
      </c>
      <c r="I191" s="6">
        <v>1</v>
      </c>
      <c r="J191" s="7" t="b">
        <v>1</v>
      </c>
      <c r="K191" s="6">
        <v>881</v>
      </c>
      <c r="L191" s="6">
        <v>189</v>
      </c>
      <c r="M191" s="7" t="s">
        <v>43</v>
      </c>
      <c r="N191" s="7" t="s">
        <v>44</v>
      </c>
      <c r="O191" s="7" t="s">
        <v>78</v>
      </c>
      <c r="P191" s="6">
        <v>32</v>
      </c>
      <c r="Q191" s="11">
        <v>3.9</v>
      </c>
      <c r="R191" s="7" t="b">
        <v>0</v>
      </c>
      <c r="S191" s="7" t="s">
        <v>30</v>
      </c>
      <c r="T191" s="6">
        <v>1382</v>
      </c>
      <c r="U191" s="7" t="s">
        <v>31</v>
      </c>
      <c r="V191" s="12" t="s">
        <v>32</v>
      </c>
      <c r="W191" s="7" t="s">
        <v>60</v>
      </c>
      <c r="X191" s="6">
        <f t="shared" si="11"/>
        <v>278</v>
      </c>
      <c r="Y191" t="str" cm="1">
        <f t="array" ref="Y191">_xlfn.IFS(E191=7.99,"BASIC",E191=11.99,"STANDARD",E191=15.99,"PREMIUM")</f>
        <v>STANDARD</v>
      </c>
      <c r="Z191" s="4">
        <f t="shared" si="9"/>
        <v>0.93165467625899279</v>
      </c>
      <c r="AA191" s="3" t="str" cm="1">
        <f t="array" ref="AA191">_xlfn.IFS(
(F191/(X191/7)) &lt; 5, "Casual",
AND((F191/(X191/7)) &gt;= 5, (F191/(X191/7)) &lt; 15), "Regular",
(F191/(X191/7)) &gt;= 15, "Power"
)</f>
        <v>Casual</v>
      </c>
      <c r="AB191" s="3">
        <f t="shared" si="12"/>
        <v>3.4579439252336447E-2</v>
      </c>
      <c r="AC191" t="str">
        <f t="shared" si="10"/>
        <v xml:space="preserve"> Browsers</v>
      </c>
    </row>
    <row r="192" spans="1:29" x14ac:dyDescent="0.3">
      <c r="A192" s="6">
        <v>4696</v>
      </c>
      <c r="B192" s="7" t="s">
        <v>313</v>
      </c>
      <c r="C192" s="10">
        <v>45095</v>
      </c>
      <c r="D192" s="10">
        <v>45630</v>
      </c>
      <c r="E192" s="13">
        <v>15.99</v>
      </c>
      <c r="F192" s="6">
        <v>48</v>
      </c>
      <c r="G192" s="7" t="s">
        <v>26</v>
      </c>
      <c r="H192" s="6">
        <v>5</v>
      </c>
      <c r="I192" s="6">
        <v>2</v>
      </c>
      <c r="J192" s="7" t="b">
        <v>0</v>
      </c>
      <c r="K192" s="6">
        <v>331</v>
      </c>
      <c r="L192" s="6">
        <v>93</v>
      </c>
      <c r="M192" s="7" t="s">
        <v>27</v>
      </c>
      <c r="N192" s="7" t="s">
        <v>75</v>
      </c>
      <c r="O192" s="7" t="s">
        <v>78</v>
      </c>
      <c r="P192" s="6">
        <v>66</v>
      </c>
      <c r="Q192" s="11">
        <v>3.7</v>
      </c>
      <c r="R192" s="7" t="b">
        <v>0</v>
      </c>
      <c r="S192" s="7" t="s">
        <v>30</v>
      </c>
      <c r="T192" s="6">
        <v>1050</v>
      </c>
      <c r="U192" s="7" t="s">
        <v>65</v>
      </c>
      <c r="V192" s="12" t="s">
        <v>39</v>
      </c>
      <c r="W192" s="7" t="s">
        <v>33</v>
      </c>
      <c r="X192" s="6">
        <f t="shared" si="11"/>
        <v>535</v>
      </c>
      <c r="Y192" t="str" cm="1">
        <f t="array" ref="Y192">_xlfn.IFS(E192=7.99,"BASIC",E192=11.99,"STANDARD",E192=15.99,"PREMIUM")</f>
        <v>PREMIUM</v>
      </c>
      <c r="Z192" s="4">
        <f t="shared" si="9"/>
        <v>0.62803738317757007</v>
      </c>
      <c r="AA192" s="3" t="str" cm="1">
        <f t="array" ref="AA192">_xlfn.IFS(
(F192/(X192/7)) &lt; 5, "Casual",
AND((F192/(X192/7)) &gt;= 5, (F192/(X192/7)) &lt; 15), "Regular",
(F192/(X192/7)) &gt;= 15, "Power"
)</f>
        <v>Casual</v>
      </c>
      <c r="AB192" s="3">
        <f t="shared" si="12"/>
        <v>0.11320754716981132</v>
      </c>
      <c r="AC192" t="str">
        <f t="shared" si="10"/>
        <v xml:space="preserve"> Browsers</v>
      </c>
    </row>
    <row r="193" spans="1:30" x14ac:dyDescent="0.3">
      <c r="A193" s="6">
        <v>4808</v>
      </c>
      <c r="B193" s="7" t="s">
        <v>280</v>
      </c>
      <c r="C193" s="10">
        <v>45377</v>
      </c>
      <c r="D193" s="10">
        <v>45623</v>
      </c>
      <c r="E193" s="13">
        <v>7.99</v>
      </c>
      <c r="F193" s="6">
        <v>371</v>
      </c>
      <c r="G193" s="7" t="s">
        <v>100</v>
      </c>
      <c r="H193" s="6">
        <v>1</v>
      </c>
      <c r="I193" s="6">
        <v>1</v>
      </c>
      <c r="J193" s="7" t="b">
        <v>1</v>
      </c>
      <c r="K193" s="6">
        <v>819</v>
      </c>
      <c r="L193" s="6">
        <v>71</v>
      </c>
      <c r="M193" s="7" t="s">
        <v>43</v>
      </c>
      <c r="N193" s="7" t="s">
        <v>28</v>
      </c>
      <c r="O193" s="7" t="s">
        <v>57</v>
      </c>
      <c r="P193" s="6">
        <v>36</v>
      </c>
      <c r="Q193" s="11">
        <v>4.0999999999999996</v>
      </c>
      <c r="R193" s="7" t="b">
        <v>1</v>
      </c>
      <c r="S193" s="7" t="s">
        <v>30</v>
      </c>
      <c r="T193" s="6">
        <v>2328</v>
      </c>
      <c r="U193" s="7" t="s">
        <v>38</v>
      </c>
      <c r="V193" s="12" t="s">
        <v>69</v>
      </c>
      <c r="W193" s="7" t="s">
        <v>33</v>
      </c>
      <c r="X193" s="6">
        <f t="shared" si="11"/>
        <v>246</v>
      </c>
      <c r="Y193" t="str" cm="1">
        <f t="array" ref="Y193">_xlfn.IFS(E193=7.99,"BASIC",E193=11.99,"STANDARD",E193=15.99,"PREMIUM")</f>
        <v>BASIC</v>
      </c>
      <c r="Z193" s="4">
        <f t="shared" si="9"/>
        <v>10.556910569105691</v>
      </c>
      <c r="AA193" s="3" t="str" cm="1">
        <f t="array" ref="AA193">_xlfn.IFS(
(F193/(X193/7)) &lt; 5, "Casual",
AND((F193/(X193/7)) &gt;= 5, (F193/(X193/7)) &lt; 15), "Regular",
(F193/(X193/7)) &gt;= 15, "Power"
)</f>
        <v>Regular</v>
      </c>
      <c r="AB193" s="3">
        <f t="shared" si="12"/>
        <v>0.41685393258426967</v>
      </c>
      <c r="AC193" t="str">
        <f t="shared" si="10"/>
        <v>Viewers</v>
      </c>
    </row>
    <row r="194" spans="1:30" x14ac:dyDescent="0.3">
      <c r="A194" s="6">
        <v>3633</v>
      </c>
      <c r="B194" s="7" t="s">
        <v>316</v>
      </c>
      <c r="C194" s="10">
        <f>_xlfn.XLOOKUP(A194,'Data Anomalies -Pls Read It'!A:A,'Data Anomalies -Pls Read It'!D:D,1,0)</f>
        <v>45636</v>
      </c>
      <c r="D194" s="10">
        <f>_xlfn.XLOOKUP(A194,'Data Anomalies -Pls Read It'!A:A,'Data Anomalies -Pls Read It'!C:C,1,0)</f>
        <v>45644</v>
      </c>
      <c r="E194" s="13">
        <v>7.99</v>
      </c>
      <c r="F194" s="6">
        <v>176</v>
      </c>
      <c r="G194" s="7" t="s">
        <v>26</v>
      </c>
      <c r="H194" s="6">
        <v>5</v>
      </c>
      <c r="I194" s="6">
        <v>1</v>
      </c>
      <c r="J194" s="7" t="b">
        <v>1</v>
      </c>
      <c r="K194" s="6">
        <v>936</v>
      </c>
      <c r="L194" s="6">
        <v>11</v>
      </c>
      <c r="M194" s="7" t="s">
        <v>92</v>
      </c>
      <c r="N194" s="7" t="s">
        <v>75</v>
      </c>
      <c r="O194" s="7" t="s">
        <v>64</v>
      </c>
      <c r="P194" s="6">
        <v>42</v>
      </c>
      <c r="Q194" s="11">
        <v>3.2</v>
      </c>
      <c r="R194" s="7" t="b">
        <v>0</v>
      </c>
      <c r="S194" s="7" t="s">
        <v>30</v>
      </c>
      <c r="T194" s="6">
        <v>4414</v>
      </c>
      <c r="U194" s="7" t="s">
        <v>31</v>
      </c>
      <c r="V194" s="12" t="s">
        <v>32</v>
      </c>
      <c r="W194" s="7" t="s">
        <v>33</v>
      </c>
      <c r="X194" s="6">
        <f t="shared" si="11"/>
        <v>8</v>
      </c>
      <c r="Y194" t="str" cm="1">
        <f t="array" ref="Y194">_xlfn.IFS(E194=7.99,"BASIC",E194=11.99,"STANDARD",E194=15.99,"PREMIUM")</f>
        <v>BASIC</v>
      </c>
      <c r="Z194" s="4">
        <f t="shared" ref="Z194:Z257" si="13">F194/(X194/7)</f>
        <v>154</v>
      </c>
      <c r="AA194" s="3" t="str" cm="1">
        <f t="array" ref="AA194">_xlfn.IFS(
(F194/(X194/7)) &lt; 5, "Casual",
AND((F194/(X194/7)) &gt;= 5, (F194/(X194/7)) &lt; 15), "Regular",
(F194/(X194/7)) &gt;= 15, "Power"
)</f>
        <v>Power</v>
      </c>
      <c r="AB194" s="3">
        <f t="shared" si="12"/>
        <v>0.18585005279831046</v>
      </c>
      <c r="AC194" t="str">
        <f t="shared" ref="AC194:AC257" si="14">IF(F194/(K194+L194) &lt; 0.15," Browsers","Viewers")</f>
        <v>Viewers</v>
      </c>
      <c r="AD194" t="s">
        <v>779</v>
      </c>
    </row>
    <row r="195" spans="1:30" x14ac:dyDescent="0.3">
      <c r="A195" s="6">
        <v>4979</v>
      </c>
      <c r="B195" s="7" t="s">
        <v>255</v>
      </c>
      <c r="C195" s="10">
        <v>45612</v>
      </c>
      <c r="D195" s="10">
        <v>45620</v>
      </c>
      <c r="E195" s="13">
        <v>15.99</v>
      </c>
      <c r="F195" s="6">
        <v>312</v>
      </c>
      <c r="G195" s="7" t="s">
        <v>36</v>
      </c>
      <c r="H195" s="6">
        <v>4</v>
      </c>
      <c r="I195" s="6">
        <v>4</v>
      </c>
      <c r="J195" s="7" t="b">
        <v>0</v>
      </c>
      <c r="K195" s="6">
        <v>321</v>
      </c>
      <c r="L195" s="6">
        <v>19</v>
      </c>
      <c r="M195" s="7" t="s">
        <v>68</v>
      </c>
      <c r="N195" s="7" t="s">
        <v>28</v>
      </c>
      <c r="O195" s="7" t="s">
        <v>57</v>
      </c>
      <c r="P195" s="6">
        <v>18</v>
      </c>
      <c r="Q195" s="11">
        <v>4.3</v>
      </c>
      <c r="R195" s="7" t="b">
        <v>1</v>
      </c>
      <c r="S195" s="7" t="s">
        <v>30</v>
      </c>
      <c r="T195" s="6">
        <v>3980</v>
      </c>
      <c r="U195" s="7" t="s">
        <v>65</v>
      </c>
      <c r="V195" s="12" t="s">
        <v>39</v>
      </c>
      <c r="W195" s="7" t="s">
        <v>40</v>
      </c>
      <c r="X195" s="6">
        <f t="shared" ref="X195:X258" si="15">D195-C195</f>
        <v>8</v>
      </c>
      <c r="Y195" t="str" cm="1">
        <f t="array" ref="Y195">_xlfn.IFS(E195=7.99,"BASIC",E195=11.99,"STANDARD",E195=15.99,"PREMIUM")</f>
        <v>PREMIUM</v>
      </c>
      <c r="Z195" s="4">
        <f t="shared" si="13"/>
        <v>273</v>
      </c>
      <c r="AA195" s="3" t="str" cm="1">
        <f t="array" ref="AA195">_xlfn.IFS(
(F195/(X195/7)) &lt; 5, "Casual",
AND((F195/(X195/7)) &gt;= 5, (F195/(X195/7)) &lt; 15), "Regular",
(F195/(X195/7)) &gt;= 15, "Power"
)</f>
        <v>Power</v>
      </c>
      <c r="AB195" s="3">
        <f t="shared" si="12"/>
        <v>0.91764705882352937</v>
      </c>
      <c r="AC195" t="str">
        <f t="shared" si="14"/>
        <v>Viewers</v>
      </c>
    </row>
    <row r="196" spans="1:30" x14ac:dyDescent="0.3">
      <c r="A196" s="6">
        <v>2214</v>
      </c>
      <c r="B196" s="7" t="s">
        <v>318</v>
      </c>
      <c r="C196" s="10">
        <v>45586</v>
      </c>
      <c r="D196" s="10">
        <v>45620</v>
      </c>
      <c r="E196" s="13">
        <v>7.99</v>
      </c>
      <c r="F196" s="6">
        <v>375</v>
      </c>
      <c r="G196" s="7" t="s">
        <v>100</v>
      </c>
      <c r="H196" s="6">
        <v>1</v>
      </c>
      <c r="I196" s="6">
        <v>1</v>
      </c>
      <c r="J196" s="7" t="b">
        <v>1</v>
      </c>
      <c r="K196" s="6">
        <v>244</v>
      </c>
      <c r="L196" s="6">
        <v>106</v>
      </c>
      <c r="M196" s="7" t="s">
        <v>55</v>
      </c>
      <c r="N196" s="7" t="s">
        <v>28</v>
      </c>
      <c r="O196" s="7" t="s">
        <v>78</v>
      </c>
      <c r="P196" s="6">
        <v>16</v>
      </c>
      <c r="Q196" s="11">
        <v>3.9</v>
      </c>
      <c r="R196" s="7" t="b">
        <v>1</v>
      </c>
      <c r="S196" s="7" t="s">
        <v>30</v>
      </c>
      <c r="T196" s="6">
        <v>3596</v>
      </c>
      <c r="U196" s="7" t="s">
        <v>31</v>
      </c>
      <c r="V196" s="12" t="s">
        <v>39</v>
      </c>
      <c r="W196" s="7" t="s">
        <v>33</v>
      </c>
      <c r="X196" s="6">
        <f t="shared" si="15"/>
        <v>34</v>
      </c>
      <c r="Y196" t="str" cm="1">
        <f t="array" ref="Y196">_xlfn.IFS(E196=7.99,"BASIC",E196=11.99,"STANDARD",E196=15.99,"PREMIUM")</f>
        <v>BASIC</v>
      </c>
      <c r="Z196" s="4">
        <f t="shared" si="13"/>
        <v>77.205882352941188</v>
      </c>
      <c r="AA196" s="3" t="str" cm="1">
        <f t="array" ref="AA196">_xlfn.IFS(
(F196/(X196/7)) &lt; 5, "Casual",
AND((F196/(X196/7)) &gt;= 5, (F196/(X196/7)) &lt; 15), "Regular",
(F196/(X196/7)) &gt;= 15, "Power"
)</f>
        <v>Power</v>
      </c>
      <c r="AB196" s="3">
        <f t="shared" si="12"/>
        <v>1.0714285714285714</v>
      </c>
      <c r="AC196" t="str">
        <f t="shared" si="14"/>
        <v>Viewers</v>
      </c>
    </row>
    <row r="197" spans="1:30" x14ac:dyDescent="0.3">
      <c r="A197" s="6">
        <v>6606</v>
      </c>
      <c r="B197" s="7" t="s">
        <v>311</v>
      </c>
      <c r="C197" s="10">
        <v>45317</v>
      </c>
      <c r="D197" s="10">
        <v>45625</v>
      </c>
      <c r="E197" s="13">
        <v>15.99</v>
      </c>
      <c r="F197" s="6">
        <v>134</v>
      </c>
      <c r="G197" s="7" t="s">
        <v>48</v>
      </c>
      <c r="H197" s="6">
        <v>3</v>
      </c>
      <c r="I197" s="6">
        <v>5</v>
      </c>
      <c r="J197" s="7" t="b">
        <v>1</v>
      </c>
      <c r="K197" s="6">
        <v>826</v>
      </c>
      <c r="L197" s="6">
        <v>160</v>
      </c>
      <c r="M197" s="7" t="s">
        <v>92</v>
      </c>
      <c r="N197" s="7" t="s">
        <v>75</v>
      </c>
      <c r="O197" s="7" t="s">
        <v>64</v>
      </c>
      <c r="P197" s="6">
        <v>96</v>
      </c>
      <c r="Q197" s="11">
        <v>3.6</v>
      </c>
      <c r="R197" s="7" t="b">
        <v>1</v>
      </c>
      <c r="S197" s="7" t="s">
        <v>30</v>
      </c>
      <c r="T197" s="6">
        <v>1150</v>
      </c>
      <c r="U197" s="7" t="s">
        <v>31</v>
      </c>
      <c r="V197" s="12" t="s">
        <v>39</v>
      </c>
      <c r="W197" s="7" t="s">
        <v>33</v>
      </c>
      <c r="X197" s="6">
        <f t="shared" si="15"/>
        <v>308</v>
      </c>
      <c r="Y197" t="str" cm="1">
        <f t="array" ref="Y197">_xlfn.IFS(E197=7.99,"BASIC",E197=11.99,"STANDARD",E197=15.99,"PREMIUM")</f>
        <v>PREMIUM</v>
      </c>
      <c r="Z197" s="4">
        <f t="shared" si="13"/>
        <v>3.0454545454545454</v>
      </c>
      <c r="AA197" s="3" t="str" cm="1">
        <f t="array" ref="AA197">_xlfn.IFS(
(F197/(X197/7)) &lt; 5, "Casual",
AND((F197/(X197/7)) &gt;= 5, (F197/(X197/7)) &lt; 15), "Regular",
(F197/(X197/7)) &gt;= 15, "Power"
)</f>
        <v>Casual</v>
      </c>
      <c r="AB197" s="3">
        <f t="shared" si="12"/>
        <v>0.13590263691683571</v>
      </c>
      <c r="AC197" t="str">
        <f t="shared" si="14"/>
        <v xml:space="preserve"> Browsers</v>
      </c>
    </row>
    <row r="198" spans="1:30" x14ac:dyDescent="0.3">
      <c r="A198" s="6">
        <v>4246</v>
      </c>
      <c r="B198" s="7" t="s">
        <v>259</v>
      </c>
      <c r="C198" s="10">
        <v>45193</v>
      </c>
      <c r="D198" s="10">
        <v>45641</v>
      </c>
      <c r="E198" s="13">
        <v>7.99</v>
      </c>
      <c r="F198" s="6">
        <v>91</v>
      </c>
      <c r="G198" s="7" t="s">
        <v>36</v>
      </c>
      <c r="H198" s="6">
        <v>5</v>
      </c>
      <c r="I198" s="6">
        <v>1</v>
      </c>
      <c r="J198" s="7" t="b">
        <v>0</v>
      </c>
      <c r="K198" s="6">
        <v>159</v>
      </c>
      <c r="L198" s="6">
        <v>14</v>
      </c>
      <c r="M198" s="7" t="s">
        <v>49</v>
      </c>
      <c r="N198" s="7" t="s">
        <v>28</v>
      </c>
      <c r="O198" s="7" t="s">
        <v>57</v>
      </c>
      <c r="P198" s="6">
        <v>85</v>
      </c>
      <c r="Q198" s="11">
        <v>4.4000000000000004</v>
      </c>
      <c r="R198" s="7" t="b">
        <v>0</v>
      </c>
      <c r="S198" s="7" t="s">
        <v>30</v>
      </c>
      <c r="T198" s="6">
        <v>1858</v>
      </c>
      <c r="U198" s="7" t="s">
        <v>58</v>
      </c>
      <c r="V198" s="12" t="s">
        <v>32</v>
      </c>
      <c r="W198" s="7" t="s">
        <v>33</v>
      </c>
      <c r="X198" s="6">
        <f t="shared" si="15"/>
        <v>448</v>
      </c>
      <c r="Y198" t="str" cm="1">
        <f t="array" ref="Y198">_xlfn.IFS(E198=7.99,"BASIC",E198=11.99,"STANDARD",E198=15.99,"PREMIUM")</f>
        <v>BASIC</v>
      </c>
      <c r="Z198" s="4">
        <f t="shared" si="13"/>
        <v>1.421875</v>
      </c>
      <c r="AA198" s="3" t="str" cm="1">
        <f t="array" ref="AA198">_xlfn.IFS(
(F198/(X198/7)) &lt; 5, "Casual",
AND((F198/(X198/7)) &gt;= 5, (F198/(X198/7)) &lt; 15), "Regular",
(F198/(X198/7)) &gt;= 15, "Power"
)</f>
        <v>Casual</v>
      </c>
      <c r="AB198" s="3">
        <f t="shared" si="12"/>
        <v>0.52601156069364163</v>
      </c>
      <c r="AC198" t="str">
        <f t="shared" si="14"/>
        <v>Viewers</v>
      </c>
    </row>
    <row r="199" spans="1:30" x14ac:dyDescent="0.3">
      <c r="A199" s="6">
        <v>2836</v>
      </c>
      <c r="B199" s="7" t="s">
        <v>232</v>
      </c>
      <c r="C199" s="10">
        <v>45329</v>
      </c>
      <c r="D199" s="10">
        <v>45643</v>
      </c>
      <c r="E199" s="13">
        <v>7.99</v>
      </c>
      <c r="F199" s="6">
        <v>359</v>
      </c>
      <c r="G199" s="7" t="s">
        <v>63</v>
      </c>
      <c r="H199" s="6">
        <v>2</v>
      </c>
      <c r="I199" s="6">
        <v>6</v>
      </c>
      <c r="J199" s="7" t="b">
        <v>0</v>
      </c>
      <c r="K199" s="6">
        <v>305</v>
      </c>
      <c r="L199" s="6">
        <v>81</v>
      </c>
      <c r="M199" s="7" t="s">
        <v>68</v>
      </c>
      <c r="N199" s="7" t="s">
        <v>75</v>
      </c>
      <c r="O199" s="7" t="s">
        <v>37</v>
      </c>
      <c r="P199" s="6">
        <v>28</v>
      </c>
      <c r="Q199" s="11">
        <v>3.3</v>
      </c>
      <c r="R199" s="7" t="b">
        <v>0</v>
      </c>
      <c r="S199" s="7" t="s">
        <v>30</v>
      </c>
      <c r="T199" s="6">
        <v>1926</v>
      </c>
      <c r="U199" s="7" t="s">
        <v>38</v>
      </c>
      <c r="V199" s="12" t="s">
        <v>79</v>
      </c>
      <c r="W199" s="7" t="s">
        <v>60</v>
      </c>
      <c r="X199" s="6">
        <f t="shared" si="15"/>
        <v>314</v>
      </c>
      <c r="Y199" t="str" cm="1">
        <f t="array" ref="Y199">_xlfn.IFS(E199=7.99,"BASIC",E199=11.99,"STANDARD",E199=15.99,"PREMIUM")</f>
        <v>BASIC</v>
      </c>
      <c r="Z199" s="4">
        <f t="shared" si="13"/>
        <v>8.0031847133757967</v>
      </c>
      <c r="AA199" s="3" t="str" cm="1">
        <f t="array" ref="AA199">_xlfn.IFS(
(F199/(X199/7)) &lt; 5, "Casual",
AND((F199/(X199/7)) &gt;= 5, (F199/(X199/7)) &lt; 15), "Regular",
(F199/(X199/7)) &gt;= 15, "Power"
)</f>
        <v>Regular</v>
      </c>
      <c r="AB199" s="3">
        <f t="shared" si="12"/>
        <v>0.93005181347150256</v>
      </c>
      <c r="AC199" t="str">
        <f t="shared" si="14"/>
        <v>Viewers</v>
      </c>
    </row>
    <row r="200" spans="1:30" x14ac:dyDescent="0.3">
      <c r="A200" s="6">
        <v>6963</v>
      </c>
      <c r="B200" s="7" t="s">
        <v>322</v>
      </c>
      <c r="C200" s="10">
        <v>45113</v>
      </c>
      <c r="D200" s="10">
        <v>45625</v>
      </c>
      <c r="E200" s="13">
        <v>15.99</v>
      </c>
      <c r="F200" s="6">
        <v>172</v>
      </c>
      <c r="G200" s="7" t="s">
        <v>73</v>
      </c>
      <c r="H200" s="6">
        <v>2</v>
      </c>
      <c r="I200" s="6">
        <v>6</v>
      </c>
      <c r="J200" s="7" t="b">
        <v>0</v>
      </c>
      <c r="K200" s="6">
        <v>841</v>
      </c>
      <c r="L200" s="6">
        <v>83</v>
      </c>
      <c r="M200" s="7" t="s">
        <v>49</v>
      </c>
      <c r="N200" s="7" t="s">
        <v>28</v>
      </c>
      <c r="O200" s="7" t="s">
        <v>78</v>
      </c>
      <c r="P200" s="6">
        <v>44</v>
      </c>
      <c r="Q200" s="11">
        <v>5</v>
      </c>
      <c r="R200" s="7" t="b">
        <v>1</v>
      </c>
      <c r="S200" s="7" t="s">
        <v>30</v>
      </c>
      <c r="T200" s="6">
        <v>2933</v>
      </c>
      <c r="U200" s="7" t="s">
        <v>76</v>
      </c>
      <c r="V200" s="12" t="s">
        <v>39</v>
      </c>
      <c r="W200" s="7" t="s">
        <v>40</v>
      </c>
      <c r="X200" s="6">
        <f t="shared" si="15"/>
        <v>512</v>
      </c>
      <c r="Y200" t="str" cm="1">
        <f t="array" ref="Y200">_xlfn.IFS(E200=7.99,"BASIC",E200=11.99,"STANDARD",E200=15.99,"PREMIUM")</f>
        <v>PREMIUM</v>
      </c>
      <c r="Z200" s="4">
        <f t="shared" si="13"/>
        <v>2.3515625</v>
      </c>
      <c r="AA200" s="3" t="str" cm="1">
        <f t="array" ref="AA200">_xlfn.IFS(
(F200/(X200/7)) &lt; 5, "Casual",
AND((F200/(X200/7)) &gt;= 5, (F200/(X200/7)) &lt; 15), "Regular",
(F200/(X200/7)) &gt;= 15, "Power"
)</f>
        <v>Casual</v>
      </c>
      <c r="AB200" s="3">
        <f t="shared" si="12"/>
        <v>0.18614718614718614</v>
      </c>
      <c r="AC200" t="str">
        <f t="shared" si="14"/>
        <v>Viewers</v>
      </c>
    </row>
    <row r="201" spans="1:30" x14ac:dyDescent="0.3">
      <c r="A201" s="6">
        <v>2243</v>
      </c>
      <c r="B201" s="7" t="s">
        <v>323</v>
      </c>
      <c r="C201" s="10">
        <v>45490</v>
      </c>
      <c r="D201" s="10">
        <v>45628</v>
      </c>
      <c r="E201" s="13">
        <v>11.99</v>
      </c>
      <c r="F201" s="6">
        <v>490</v>
      </c>
      <c r="G201" s="7" t="s">
        <v>73</v>
      </c>
      <c r="H201" s="6">
        <v>3</v>
      </c>
      <c r="I201" s="6">
        <v>3</v>
      </c>
      <c r="J201" s="7" t="b">
        <v>1</v>
      </c>
      <c r="K201" s="6">
        <v>123</v>
      </c>
      <c r="L201" s="6">
        <v>183</v>
      </c>
      <c r="M201" s="7" t="s">
        <v>92</v>
      </c>
      <c r="N201" s="7" t="s">
        <v>75</v>
      </c>
      <c r="O201" s="7" t="s">
        <v>37</v>
      </c>
      <c r="P201" s="6">
        <v>45</v>
      </c>
      <c r="Q201" s="11">
        <v>4.4000000000000004</v>
      </c>
      <c r="R201" s="7" t="b">
        <v>0</v>
      </c>
      <c r="S201" s="7" t="s">
        <v>30</v>
      </c>
      <c r="T201" s="6">
        <v>2397</v>
      </c>
      <c r="U201" s="7" t="s">
        <v>38</v>
      </c>
      <c r="V201" s="12" t="s">
        <v>59</v>
      </c>
      <c r="W201" s="7" t="s">
        <v>40</v>
      </c>
      <c r="X201" s="6">
        <f t="shared" si="15"/>
        <v>138</v>
      </c>
      <c r="Y201" t="str" cm="1">
        <f t="array" ref="Y201">_xlfn.IFS(E201=7.99,"BASIC",E201=11.99,"STANDARD",E201=15.99,"PREMIUM")</f>
        <v>STANDARD</v>
      </c>
      <c r="Z201" s="4">
        <f t="shared" si="13"/>
        <v>24.855072463768114</v>
      </c>
      <c r="AA201" s="3" t="str" cm="1">
        <f t="array" ref="AA201">_xlfn.IFS(
(F201/(X201/7)) &lt; 5, "Casual",
AND((F201/(X201/7)) &gt;= 5, (F201/(X201/7)) &lt; 15), "Regular",
(F201/(X201/7)) &gt;= 15, "Power"
)</f>
        <v>Power</v>
      </c>
      <c r="AB201" s="3">
        <f t="shared" ref="AB201:AB264" si="16">(F201/(K201+L201))</f>
        <v>1.6013071895424837</v>
      </c>
      <c r="AC201" t="str">
        <f t="shared" si="14"/>
        <v>Viewers</v>
      </c>
    </row>
    <row r="202" spans="1:30" x14ac:dyDescent="0.3">
      <c r="A202" s="6">
        <v>5081</v>
      </c>
      <c r="B202" s="7" t="s">
        <v>325</v>
      </c>
      <c r="C202" s="10">
        <v>45592</v>
      </c>
      <c r="D202" s="10">
        <v>45616</v>
      </c>
      <c r="E202" s="13">
        <v>11.99</v>
      </c>
      <c r="F202" s="6">
        <v>16</v>
      </c>
      <c r="G202" s="7" t="s">
        <v>100</v>
      </c>
      <c r="H202" s="6">
        <v>1</v>
      </c>
      <c r="I202" s="6">
        <v>5</v>
      </c>
      <c r="J202" s="7" t="b">
        <v>1</v>
      </c>
      <c r="K202" s="6">
        <v>803</v>
      </c>
      <c r="L202" s="6">
        <v>196</v>
      </c>
      <c r="M202" s="7" t="s">
        <v>68</v>
      </c>
      <c r="N202" s="7" t="s">
        <v>75</v>
      </c>
      <c r="O202" s="7" t="s">
        <v>29</v>
      </c>
      <c r="P202" s="6">
        <v>90</v>
      </c>
      <c r="Q202" s="11">
        <v>4.3</v>
      </c>
      <c r="R202" s="7" t="b">
        <v>1</v>
      </c>
      <c r="S202" s="7" t="s">
        <v>30</v>
      </c>
      <c r="T202" s="6">
        <v>1946</v>
      </c>
      <c r="U202" s="7" t="s">
        <v>58</v>
      </c>
      <c r="V202" s="12" t="s">
        <v>69</v>
      </c>
      <c r="W202" s="7" t="s">
        <v>33</v>
      </c>
      <c r="X202" s="6">
        <f t="shared" si="15"/>
        <v>24</v>
      </c>
      <c r="Y202" t="str" cm="1">
        <f t="array" ref="Y202">_xlfn.IFS(E202=7.99,"BASIC",E202=11.99,"STANDARD",E202=15.99,"PREMIUM")</f>
        <v>STANDARD</v>
      </c>
      <c r="Z202" s="4">
        <f t="shared" si="13"/>
        <v>4.666666666666667</v>
      </c>
      <c r="AA202" s="3" t="str" cm="1">
        <f t="array" ref="AA202">_xlfn.IFS(
(F202/(X202/7)) &lt; 5, "Casual",
AND((F202/(X202/7)) &gt;= 5, (F202/(X202/7)) &lt; 15), "Regular",
(F202/(X202/7)) &gt;= 15, "Power"
)</f>
        <v>Casual</v>
      </c>
      <c r="AB202" s="3">
        <f t="shared" si="16"/>
        <v>1.6016016016016016E-2</v>
      </c>
      <c r="AC202" t="str">
        <f t="shared" si="14"/>
        <v xml:space="preserve"> Browsers</v>
      </c>
    </row>
    <row r="203" spans="1:30" x14ac:dyDescent="0.3">
      <c r="A203" s="6">
        <v>4171</v>
      </c>
      <c r="B203" s="7" t="s">
        <v>224</v>
      </c>
      <c r="C203" s="10">
        <v>45477</v>
      </c>
      <c r="D203" s="10">
        <v>45640</v>
      </c>
      <c r="E203" s="13">
        <v>11.99</v>
      </c>
      <c r="F203" s="6">
        <v>291</v>
      </c>
      <c r="G203" s="7" t="s">
        <v>48</v>
      </c>
      <c r="H203" s="6">
        <v>2</v>
      </c>
      <c r="I203" s="6">
        <v>1</v>
      </c>
      <c r="J203" s="7" t="b">
        <v>1</v>
      </c>
      <c r="K203" s="6">
        <v>380</v>
      </c>
      <c r="L203" s="6">
        <v>106</v>
      </c>
      <c r="M203" s="7" t="s">
        <v>43</v>
      </c>
      <c r="N203" s="7" t="s">
        <v>28</v>
      </c>
      <c r="O203" s="7" t="s">
        <v>57</v>
      </c>
      <c r="P203" s="6">
        <v>22</v>
      </c>
      <c r="Q203" s="11">
        <v>4.0999999999999996</v>
      </c>
      <c r="R203" s="7" t="b">
        <v>0</v>
      </c>
      <c r="S203" s="7" t="s">
        <v>30</v>
      </c>
      <c r="T203" s="6">
        <v>2576</v>
      </c>
      <c r="U203" s="7" t="s">
        <v>58</v>
      </c>
      <c r="V203" s="12" t="s">
        <v>69</v>
      </c>
      <c r="W203" s="7" t="s">
        <v>40</v>
      </c>
      <c r="X203" s="6">
        <f t="shared" si="15"/>
        <v>163</v>
      </c>
      <c r="Y203" t="str" cm="1">
        <f t="array" ref="Y203">_xlfn.IFS(E203=7.99,"BASIC",E203=11.99,"STANDARD",E203=15.99,"PREMIUM")</f>
        <v>STANDARD</v>
      </c>
      <c r="Z203" s="4">
        <f t="shared" si="13"/>
        <v>12.496932515337424</v>
      </c>
      <c r="AA203" s="3" t="str" cm="1">
        <f t="array" ref="AA203">_xlfn.IFS(
(F203/(X203/7)) &lt; 5, "Casual",
AND((F203/(X203/7)) &gt;= 5, (F203/(X203/7)) &lt; 15), "Regular",
(F203/(X203/7)) &gt;= 15, "Power"
)</f>
        <v>Regular</v>
      </c>
      <c r="AB203" s="3">
        <f t="shared" si="16"/>
        <v>0.59876543209876543</v>
      </c>
      <c r="AC203" t="str">
        <f t="shared" si="14"/>
        <v>Viewers</v>
      </c>
    </row>
    <row r="204" spans="1:30" x14ac:dyDescent="0.3">
      <c r="A204" s="6">
        <v>7399</v>
      </c>
      <c r="B204" s="7" t="s">
        <v>201</v>
      </c>
      <c r="C204" s="10">
        <v>45517</v>
      </c>
      <c r="D204" s="10">
        <v>45635</v>
      </c>
      <c r="E204" s="13">
        <v>11.99</v>
      </c>
      <c r="F204" s="6">
        <v>119</v>
      </c>
      <c r="G204" s="7" t="s">
        <v>100</v>
      </c>
      <c r="H204" s="6">
        <v>2</v>
      </c>
      <c r="I204" s="6">
        <v>5</v>
      </c>
      <c r="J204" s="7" t="b">
        <v>1</v>
      </c>
      <c r="K204" s="6">
        <v>344</v>
      </c>
      <c r="L204" s="6">
        <v>93</v>
      </c>
      <c r="M204" s="7" t="s">
        <v>74</v>
      </c>
      <c r="N204" s="7" t="s">
        <v>44</v>
      </c>
      <c r="O204" s="7" t="s">
        <v>29</v>
      </c>
      <c r="P204" s="6">
        <v>0</v>
      </c>
      <c r="Q204" s="11">
        <v>4.2</v>
      </c>
      <c r="R204" s="7" t="b">
        <v>0</v>
      </c>
      <c r="S204" s="7" t="s">
        <v>30</v>
      </c>
      <c r="T204" s="6">
        <v>2259</v>
      </c>
      <c r="U204" s="7" t="s">
        <v>76</v>
      </c>
      <c r="V204" s="12" t="s">
        <v>69</v>
      </c>
      <c r="W204" s="7" t="s">
        <v>33</v>
      </c>
      <c r="X204" s="6">
        <f t="shared" si="15"/>
        <v>118</v>
      </c>
      <c r="Y204" t="str" cm="1">
        <f t="array" ref="Y204">_xlfn.IFS(E204=7.99,"BASIC",E204=11.99,"STANDARD",E204=15.99,"PREMIUM")</f>
        <v>STANDARD</v>
      </c>
      <c r="Z204" s="4">
        <f t="shared" si="13"/>
        <v>7.0593220338983045</v>
      </c>
      <c r="AA204" s="3" t="str" cm="1">
        <f t="array" ref="AA204">_xlfn.IFS(
(F204/(X204/7)) &lt; 5, "Casual",
AND((F204/(X204/7)) &gt;= 5, (F204/(X204/7)) &lt; 15), "Regular",
(F204/(X204/7)) &gt;= 15, "Power"
)</f>
        <v>Regular</v>
      </c>
      <c r="AB204" s="3">
        <f t="shared" si="16"/>
        <v>0.27231121281464532</v>
      </c>
      <c r="AC204" t="str">
        <f t="shared" si="14"/>
        <v>Viewers</v>
      </c>
    </row>
    <row r="205" spans="1:30" x14ac:dyDescent="0.3">
      <c r="A205" s="6">
        <v>1110</v>
      </c>
      <c r="B205" s="7" t="s">
        <v>247</v>
      </c>
      <c r="C205" s="10">
        <v>45417</v>
      </c>
      <c r="D205" s="10">
        <v>45630</v>
      </c>
      <c r="E205" s="13">
        <v>11.99</v>
      </c>
      <c r="F205" s="6">
        <v>35</v>
      </c>
      <c r="G205" s="7" t="s">
        <v>26</v>
      </c>
      <c r="H205" s="6">
        <v>2</v>
      </c>
      <c r="I205" s="6">
        <v>3</v>
      </c>
      <c r="J205" s="7" t="b">
        <v>1</v>
      </c>
      <c r="K205" s="6">
        <v>908</v>
      </c>
      <c r="L205" s="6">
        <v>128</v>
      </c>
      <c r="M205" s="7" t="s">
        <v>27</v>
      </c>
      <c r="N205" s="7" t="s">
        <v>28</v>
      </c>
      <c r="O205" s="7" t="s">
        <v>57</v>
      </c>
      <c r="P205" s="6">
        <v>86</v>
      </c>
      <c r="Q205" s="11">
        <v>3.2</v>
      </c>
      <c r="R205" s="7" t="b">
        <v>1</v>
      </c>
      <c r="S205" s="7" t="s">
        <v>30</v>
      </c>
      <c r="T205" s="6">
        <v>1068</v>
      </c>
      <c r="U205" s="7" t="s">
        <v>76</v>
      </c>
      <c r="V205" s="12" t="s">
        <v>32</v>
      </c>
      <c r="W205" s="7" t="s">
        <v>40</v>
      </c>
      <c r="X205" s="6">
        <f t="shared" si="15"/>
        <v>213</v>
      </c>
      <c r="Y205" t="str" cm="1">
        <f t="array" ref="Y205">_xlfn.IFS(E205=7.99,"BASIC",E205=11.99,"STANDARD",E205=15.99,"PREMIUM")</f>
        <v>STANDARD</v>
      </c>
      <c r="Z205" s="4">
        <f t="shared" si="13"/>
        <v>1.1502347417840375</v>
      </c>
      <c r="AA205" s="3" t="str" cm="1">
        <f t="array" ref="AA205">_xlfn.IFS(
(F205/(X205/7)) &lt; 5, "Casual",
AND((F205/(X205/7)) &gt;= 5, (F205/(X205/7)) &lt; 15), "Regular",
(F205/(X205/7)) &gt;= 15, "Power"
)</f>
        <v>Casual</v>
      </c>
      <c r="AB205" s="3">
        <f t="shared" si="16"/>
        <v>3.3783783783783786E-2</v>
      </c>
      <c r="AC205" t="str">
        <f t="shared" si="14"/>
        <v xml:space="preserve"> Browsers</v>
      </c>
    </row>
    <row r="206" spans="1:30" x14ac:dyDescent="0.3">
      <c r="A206" s="6">
        <v>5630</v>
      </c>
      <c r="B206" s="7" t="s">
        <v>328</v>
      </c>
      <c r="C206" s="10">
        <v>45264</v>
      </c>
      <c r="D206" s="10">
        <v>45620</v>
      </c>
      <c r="E206" s="13">
        <v>7.99</v>
      </c>
      <c r="F206" s="6">
        <v>88</v>
      </c>
      <c r="G206" s="7" t="s">
        <v>36</v>
      </c>
      <c r="H206" s="6">
        <v>4</v>
      </c>
      <c r="I206" s="6">
        <v>6</v>
      </c>
      <c r="J206" s="7" t="b">
        <v>1</v>
      </c>
      <c r="K206" s="6">
        <v>782</v>
      </c>
      <c r="L206" s="6">
        <v>180</v>
      </c>
      <c r="M206" s="7" t="s">
        <v>27</v>
      </c>
      <c r="N206" s="7" t="s">
        <v>44</v>
      </c>
      <c r="O206" s="7" t="s">
        <v>78</v>
      </c>
      <c r="P206" s="6">
        <v>86</v>
      </c>
      <c r="Q206" s="11">
        <v>5</v>
      </c>
      <c r="R206" s="7" t="b">
        <v>1</v>
      </c>
      <c r="S206" s="7" t="s">
        <v>30</v>
      </c>
      <c r="T206" s="6">
        <v>2928</v>
      </c>
      <c r="U206" s="7" t="s">
        <v>58</v>
      </c>
      <c r="V206" s="12" t="s">
        <v>69</v>
      </c>
      <c r="W206" s="7" t="s">
        <v>33</v>
      </c>
      <c r="X206" s="6">
        <f t="shared" si="15"/>
        <v>356</v>
      </c>
      <c r="Y206" t="str" cm="1">
        <f t="array" ref="Y206">_xlfn.IFS(E206=7.99,"BASIC",E206=11.99,"STANDARD",E206=15.99,"PREMIUM")</f>
        <v>BASIC</v>
      </c>
      <c r="Z206" s="4">
        <f t="shared" si="13"/>
        <v>1.7303370786516854</v>
      </c>
      <c r="AA206" s="3" t="str" cm="1">
        <f t="array" ref="AA206">_xlfn.IFS(
(F206/(X206/7)) &lt; 5, "Casual",
AND((F206/(X206/7)) &gt;= 5, (F206/(X206/7)) &lt; 15), "Regular",
(F206/(X206/7)) &gt;= 15, "Power"
)</f>
        <v>Casual</v>
      </c>
      <c r="AB206" s="3">
        <f t="shared" si="16"/>
        <v>9.1476091476091481E-2</v>
      </c>
      <c r="AC206" t="str">
        <f t="shared" si="14"/>
        <v xml:space="preserve"> Browsers</v>
      </c>
    </row>
    <row r="207" spans="1:30" x14ac:dyDescent="0.3">
      <c r="A207" s="6">
        <v>9430</v>
      </c>
      <c r="B207" s="7" t="s">
        <v>329</v>
      </c>
      <c r="C207" s="10">
        <v>45233</v>
      </c>
      <c r="D207" s="10">
        <v>45617</v>
      </c>
      <c r="E207" s="13">
        <v>7.99</v>
      </c>
      <c r="F207" s="6">
        <v>312</v>
      </c>
      <c r="G207" s="7" t="s">
        <v>48</v>
      </c>
      <c r="H207" s="6">
        <v>4</v>
      </c>
      <c r="I207" s="6">
        <v>1</v>
      </c>
      <c r="J207" s="7" t="b">
        <v>0</v>
      </c>
      <c r="K207" s="6">
        <v>769</v>
      </c>
      <c r="L207" s="6">
        <v>140</v>
      </c>
      <c r="M207" s="7" t="s">
        <v>49</v>
      </c>
      <c r="N207" s="7" t="s">
        <v>44</v>
      </c>
      <c r="O207" s="7" t="s">
        <v>45</v>
      </c>
      <c r="P207" s="6">
        <v>94</v>
      </c>
      <c r="Q207" s="11">
        <v>4.8</v>
      </c>
      <c r="R207" s="7" t="b">
        <v>1</v>
      </c>
      <c r="S207" s="7" t="s">
        <v>30</v>
      </c>
      <c r="T207" s="6">
        <v>3674</v>
      </c>
      <c r="U207" s="7" t="s">
        <v>58</v>
      </c>
      <c r="V207" s="12" t="s">
        <v>69</v>
      </c>
      <c r="W207" s="7" t="s">
        <v>40</v>
      </c>
      <c r="X207" s="6">
        <f t="shared" si="15"/>
        <v>384</v>
      </c>
      <c r="Y207" t="str" cm="1">
        <f t="array" ref="Y207">_xlfn.IFS(E207=7.99,"BASIC",E207=11.99,"STANDARD",E207=15.99,"PREMIUM")</f>
        <v>BASIC</v>
      </c>
      <c r="Z207" s="4">
        <f t="shared" si="13"/>
        <v>5.6875</v>
      </c>
      <c r="AA207" s="3" t="str" cm="1">
        <f t="array" ref="AA207">_xlfn.IFS(
(F207/(X207/7)) &lt; 5, "Casual",
AND((F207/(X207/7)) &gt;= 5, (F207/(X207/7)) &lt; 15), "Regular",
(F207/(X207/7)) &gt;= 15, "Power"
)</f>
        <v>Regular</v>
      </c>
      <c r="AB207" s="3">
        <f t="shared" si="16"/>
        <v>0.34323432343234322</v>
      </c>
      <c r="AC207" t="str">
        <f t="shared" si="14"/>
        <v>Viewers</v>
      </c>
    </row>
    <row r="208" spans="1:30" x14ac:dyDescent="0.3">
      <c r="A208" s="6">
        <v>7436</v>
      </c>
      <c r="B208" s="7" t="s">
        <v>330</v>
      </c>
      <c r="C208" s="10">
        <v>45344</v>
      </c>
      <c r="D208" s="10">
        <v>45643</v>
      </c>
      <c r="E208" s="13">
        <v>15.99</v>
      </c>
      <c r="F208" s="6">
        <v>238</v>
      </c>
      <c r="G208" s="7" t="s">
        <v>48</v>
      </c>
      <c r="H208" s="6">
        <v>4</v>
      </c>
      <c r="I208" s="6">
        <v>1</v>
      </c>
      <c r="J208" s="7" t="b">
        <v>1</v>
      </c>
      <c r="K208" s="6">
        <v>233</v>
      </c>
      <c r="L208" s="6">
        <v>102</v>
      </c>
      <c r="M208" s="7" t="s">
        <v>43</v>
      </c>
      <c r="N208" s="7" t="s">
        <v>44</v>
      </c>
      <c r="O208" s="7" t="s">
        <v>29</v>
      </c>
      <c r="P208" s="6">
        <v>78</v>
      </c>
      <c r="Q208" s="11">
        <v>3.1</v>
      </c>
      <c r="R208" s="7" t="b">
        <v>0</v>
      </c>
      <c r="S208" s="7" t="s">
        <v>30</v>
      </c>
      <c r="T208" s="6">
        <v>130</v>
      </c>
      <c r="U208" s="7" t="s">
        <v>58</v>
      </c>
      <c r="V208" s="12" t="s">
        <v>79</v>
      </c>
      <c r="W208" s="7" t="s">
        <v>33</v>
      </c>
      <c r="X208" s="6">
        <f t="shared" si="15"/>
        <v>299</v>
      </c>
      <c r="Y208" t="str" cm="1">
        <f t="array" ref="Y208">_xlfn.IFS(E208=7.99,"BASIC",E208=11.99,"STANDARD",E208=15.99,"PREMIUM")</f>
        <v>PREMIUM</v>
      </c>
      <c r="Z208" s="4">
        <f t="shared" si="13"/>
        <v>5.5719063545150505</v>
      </c>
      <c r="AA208" s="3" t="str" cm="1">
        <f t="array" ref="AA208">_xlfn.IFS(
(F208/(X208/7)) &lt; 5, "Casual",
AND((F208/(X208/7)) &gt;= 5, (F208/(X208/7)) &lt; 15), "Regular",
(F208/(X208/7)) &gt;= 15, "Power"
)</f>
        <v>Regular</v>
      </c>
      <c r="AB208" s="3">
        <f t="shared" si="16"/>
        <v>0.71044776119402986</v>
      </c>
      <c r="AC208" t="str">
        <f t="shared" si="14"/>
        <v>Viewers</v>
      </c>
    </row>
    <row r="209" spans="1:29" x14ac:dyDescent="0.3">
      <c r="A209" s="6">
        <v>2147</v>
      </c>
      <c r="B209" s="7" t="s">
        <v>332</v>
      </c>
      <c r="C209" s="10">
        <v>45303</v>
      </c>
      <c r="D209" s="10">
        <v>45637</v>
      </c>
      <c r="E209" s="13">
        <v>11.99</v>
      </c>
      <c r="F209" s="6">
        <v>132</v>
      </c>
      <c r="G209" s="7" t="s">
        <v>26</v>
      </c>
      <c r="H209" s="6">
        <v>4</v>
      </c>
      <c r="I209" s="6">
        <v>6</v>
      </c>
      <c r="J209" s="7" t="b">
        <v>1</v>
      </c>
      <c r="K209" s="6">
        <v>170</v>
      </c>
      <c r="L209" s="6">
        <v>164</v>
      </c>
      <c r="M209" s="7" t="s">
        <v>92</v>
      </c>
      <c r="N209" s="7" t="s">
        <v>44</v>
      </c>
      <c r="O209" s="7" t="s">
        <v>64</v>
      </c>
      <c r="P209" s="6">
        <v>71</v>
      </c>
      <c r="Q209" s="11">
        <v>3.3</v>
      </c>
      <c r="R209" s="7" t="b">
        <v>1</v>
      </c>
      <c r="S209" s="7" t="s">
        <v>30</v>
      </c>
      <c r="T209" s="6">
        <v>4873</v>
      </c>
      <c r="U209" s="7" t="s">
        <v>65</v>
      </c>
      <c r="V209" s="12" t="s">
        <v>69</v>
      </c>
      <c r="W209" s="7" t="s">
        <v>60</v>
      </c>
      <c r="X209" s="6">
        <f t="shared" si="15"/>
        <v>334</v>
      </c>
      <c r="Y209" t="str" cm="1">
        <f t="array" ref="Y209">_xlfn.IFS(E209=7.99,"BASIC",E209=11.99,"STANDARD",E209=15.99,"PREMIUM")</f>
        <v>STANDARD</v>
      </c>
      <c r="Z209" s="4">
        <f t="shared" si="13"/>
        <v>2.7664670658682633</v>
      </c>
      <c r="AA209" s="3" t="str" cm="1">
        <f t="array" ref="AA209">_xlfn.IFS(
(F209/(X209/7)) &lt; 5, "Casual",
AND((F209/(X209/7)) &gt;= 5, (F209/(X209/7)) &lt; 15), "Regular",
(F209/(X209/7)) &gt;= 15, "Power"
)</f>
        <v>Casual</v>
      </c>
      <c r="AB209" s="3">
        <f t="shared" si="16"/>
        <v>0.39520958083832336</v>
      </c>
      <c r="AC209" t="str">
        <f t="shared" si="14"/>
        <v>Viewers</v>
      </c>
    </row>
    <row r="210" spans="1:29" x14ac:dyDescent="0.3">
      <c r="A210" s="6">
        <v>3264</v>
      </c>
      <c r="B210" s="7" t="s">
        <v>118</v>
      </c>
      <c r="C210" s="10">
        <v>45060</v>
      </c>
      <c r="D210" s="10">
        <v>45635</v>
      </c>
      <c r="E210" s="13">
        <v>11.99</v>
      </c>
      <c r="F210" s="6">
        <v>456</v>
      </c>
      <c r="G210" s="7" t="s">
        <v>73</v>
      </c>
      <c r="H210" s="6">
        <v>1</v>
      </c>
      <c r="I210" s="6">
        <v>6</v>
      </c>
      <c r="J210" s="7" t="b">
        <v>1</v>
      </c>
      <c r="K210" s="6">
        <v>945</v>
      </c>
      <c r="L210" s="6">
        <v>114</v>
      </c>
      <c r="M210" s="7" t="s">
        <v>49</v>
      </c>
      <c r="N210" s="7" t="s">
        <v>56</v>
      </c>
      <c r="O210" s="7" t="s">
        <v>37</v>
      </c>
      <c r="P210" s="6">
        <v>44</v>
      </c>
      <c r="Q210" s="11">
        <v>3</v>
      </c>
      <c r="R210" s="7" t="b">
        <v>0</v>
      </c>
      <c r="S210" s="7" t="s">
        <v>30</v>
      </c>
      <c r="T210" s="6">
        <v>96</v>
      </c>
      <c r="U210" s="7" t="s">
        <v>31</v>
      </c>
      <c r="V210" s="12" t="s">
        <v>79</v>
      </c>
      <c r="W210" s="7" t="s">
        <v>33</v>
      </c>
      <c r="X210" s="6">
        <f t="shared" si="15"/>
        <v>575</v>
      </c>
      <c r="Y210" t="str" cm="1">
        <f t="array" ref="Y210">_xlfn.IFS(E210=7.99,"BASIC",E210=11.99,"STANDARD",E210=15.99,"PREMIUM")</f>
        <v>STANDARD</v>
      </c>
      <c r="Z210" s="4">
        <f t="shared" si="13"/>
        <v>5.5513043478260871</v>
      </c>
      <c r="AA210" s="3" t="str" cm="1">
        <f t="array" ref="AA210">_xlfn.IFS(
(F210/(X210/7)) &lt; 5, "Casual",
AND((F210/(X210/7)) &gt;= 5, (F210/(X210/7)) &lt; 15), "Regular",
(F210/(X210/7)) &gt;= 15, "Power"
)</f>
        <v>Regular</v>
      </c>
      <c r="AB210" s="3">
        <f t="shared" si="16"/>
        <v>0.43059490084985835</v>
      </c>
      <c r="AC210" t="str">
        <f t="shared" si="14"/>
        <v>Viewers</v>
      </c>
    </row>
    <row r="211" spans="1:29" x14ac:dyDescent="0.3">
      <c r="A211" s="6">
        <v>1214</v>
      </c>
      <c r="B211" s="7" t="s">
        <v>334</v>
      </c>
      <c r="C211" s="10">
        <v>45085</v>
      </c>
      <c r="D211" s="10">
        <v>45637</v>
      </c>
      <c r="E211" s="13">
        <v>11.99</v>
      </c>
      <c r="F211" s="6">
        <v>281</v>
      </c>
      <c r="G211" s="7" t="s">
        <v>26</v>
      </c>
      <c r="H211" s="6">
        <v>5</v>
      </c>
      <c r="I211" s="6">
        <v>6</v>
      </c>
      <c r="J211" s="7" t="b">
        <v>1</v>
      </c>
      <c r="K211" s="6">
        <v>945</v>
      </c>
      <c r="L211" s="6">
        <v>108</v>
      </c>
      <c r="M211" s="7" t="s">
        <v>74</v>
      </c>
      <c r="N211" s="7" t="s">
        <v>28</v>
      </c>
      <c r="O211" s="7" t="s">
        <v>64</v>
      </c>
      <c r="P211" s="6">
        <v>98</v>
      </c>
      <c r="Q211" s="11">
        <v>3.8</v>
      </c>
      <c r="R211" s="7" t="b">
        <v>1</v>
      </c>
      <c r="S211" s="7" t="s">
        <v>30</v>
      </c>
      <c r="T211" s="6">
        <v>110</v>
      </c>
      <c r="U211" s="7" t="s">
        <v>65</v>
      </c>
      <c r="V211" s="12" t="s">
        <v>59</v>
      </c>
      <c r="W211" s="7" t="s">
        <v>93</v>
      </c>
      <c r="X211" s="6">
        <f t="shared" si="15"/>
        <v>552</v>
      </c>
      <c r="Y211" t="str" cm="1">
        <f t="array" ref="Y211">_xlfn.IFS(E211=7.99,"BASIC",E211=11.99,"STANDARD",E211=15.99,"PREMIUM")</f>
        <v>STANDARD</v>
      </c>
      <c r="Z211" s="4">
        <f t="shared" si="13"/>
        <v>3.5634057971014492</v>
      </c>
      <c r="AA211" s="3" t="str" cm="1">
        <f t="array" ref="AA211">_xlfn.IFS(
(F211/(X211/7)) &lt; 5, "Casual",
AND((F211/(X211/7)) &gt;= 5, (F211/(X211/7)) &lt; 15), "Regular",
(F211/(X211/7)) &gt;= 15, "Power"
)</f>
        <v>Casual</v>
      </c>
      <c r="AB211" s="3">
        <f t="shared" si="16"/>
        <v>0.26685660018993351</v>
      </c>
      <c r="AC211" t="str">
        <f t="shared" si="14"/>
        <v>Viewers</v>
      </c>
    </row>
    <row r="212" spans="1:29" x14ac:dyDescent="0.3">
      <c r="A212" s="6">
        <v>6050</v>
      </c>
      <c r="B212" s="7" t="s">
        <v>335</v>
      </c>
      <c r="C212" s="10">
        <v>45512</v>
      </c>
      <c r="D212" s="10">
        <v>45619</v>
      </c>
      <c r="E212" s="13">
        <v>11.99</v>
      </c>
      <c r="F212" s="6">
        <v>281</v>
      </c>
      <c r="G212" s="7" t="s">
        <v>63</v>
      </c>
      <c r="H212" s="6">
        <v>5</v>
      </c>
      <c r="I212" s="6">
        <v>3</v>
      </c>
      <c r="J212" s="7" t="b">
        <v>0</v>
      </c>
      <c r="K212" s="6">
        <v>217</v>
      </c>
      <c r="L212" s="6">
        <v>162</v>
      </c>
      <c r="M212" s="7" t="s">
        <v>27</v>
      </c>
      <c r="N212" s="7" t="s">
        <v>44</v>
      </c>
      <c r="O212" s="7" t="s">
        <v>45</v>
      </c>
      <c r="P212" s="6">
        <v>0</v>
      </c>
      <c r="Q212" s="11">
        <v>3.4</v>
      </c>
      <c r="R212" s="7" t="b">
        <v>0</v>
      </c>
      <c r="S212" s="7" t="s">
        <v>30</v>
      </c>
      <c r="T212" s="6">
        <v>225</v>
      </c>
      <c r="U212" s="7" t="s">
        <v>31</v>
      </c>
      <c r="V212" s="12" t="s">
        <v>69</v>
      </c>
      <c r="W212" s="7" t="s">
        <v>33</v>
      </c>
      <c r="X212" s="6">
        <f t="shared" si="15"/>
        <v>107</v>
      </c>
      <c r="Y212" t="str" cm="1">
        <f t="array" ref="Y212">_xlfn.IFS(E212=7.99,"BASIC",E212=11.99,"STANDARD",E212=15.99,"PREMIUM")</f>
        <v>STANDARD</v>
      </c>
      <c r="Z212" s="4">
        <f t="shared" si="13"/>
        <v>18.383177570093459</v>
      </c>
      <c r="AA212" s="3" t="str" cm="1">
        <f t="array" ref="AA212">_xlfn.IFS(
(F212/(X212/7)) &lt; 5, "Casual",
AND((F212/(X212/7)) &gt;= 5, (F212/(X212/7)) &lt; 15), "Regular",
(F212/(X212/7)) &gt;= 15, "Power"
)</f>
        <v>Power</v>
      </c>
      <c r="AB212" s="3">
        <f t="shared" si="16"/>
        <v>0.74142480211081796</v>
      </c>
      <c r="AC212" t="str">
        <f t="shared" si="14"/>
        <v>Viewers</v>
      </c>
    </row>
    <row r="213" spans="1:29" x14ac:dyDescent="0.3">
      <c r="A213" s="6">
        <v>7395</v>
      </c>
      <c r="B213" s="7" t="s">
        <v>130</v>
      </c>
      <c r="C213" s="10">
        <v>45256</v>
      </c>
      <c r="D213" s="10">
        <v>45631</v>
      </c>
      <c r="E213" s="13">
        <v>11.99</v>
      </c>
      <c r="F213" s="6">
        <v>73</v>
      </c>
      <c r="G213" s="7" t="s">
        <v>26</v>
      </c>
      <c r="H213" s="6">
        <v>1</v>
      </c>
      <c r="I213" s="6">
        <v>1</v>
      </c>
      <c r="J213" s="7" t="b">
        <v>1</v>
      </c>
      <c r="K213" s="6">
        <v>664</v>
      </c>
      <c r="L213" s="6">
        <v>123</v>
      </c>
      <c r="M213" s="7" t="s">
        <v>68</v>
      </c>
      <c r="N213" s="7" t="s">
        <v>44</v>
      </c>
      <c r="O213" s="7" t="s">
        <v>37</v>
      </c>
      <c r="P213" s="6">
        <v>70</v>
      </c>
      <c r="Q213" s="11">
        <v>4.4000000000000004</v>
      </c>
      <c r="R213" s="7" t="b">
        <v>1</v>
      </c>
      <c r="S213" s="7" t="s">
        <v>30</v>
      </c>
      <c r="T213" s="6">
        <v>4083</v>
      </c>
      <c r="U213" s="7" t="s">
        <v>58</v>
      </c>
      <c r="V213" s="12" t="s">
        <v>39</v>
      </c>
      <c r="W213" s="7" t="s">
        <v>33</v>
      </c>
      <c r="X213" s="6">
        <f t="shared" si="15"/>
        <v>375</v>
      </c>
      <c r="Y213" t="str" cm="1">
        <f t="array" ref="Y213">_xlfn.IFS(E213=7.99,"BASIC",E213=11.99,"STANDARD",E213=15.99,"PREMIUM")</f>
        <v>STANDARD</v>
      </c>
      <c r="Z213" s="4">
        <f t="shared" si="13"/>
        <v>1.3626666666666667</v>
      </c>
      <c r="AA213" s="3" t="str" cm="1">
        <f t="array" ref="AA213">_xlfn.IFS(
(F213/(X213/7)) &lt; 5, "Casual",
AND((F213/(X213/7)) &gt;= 5, (F213/(X213/7)) &lt; 15), "Regular",
(F213/(X213/7)) &gt;= 15, "Power"
)</f>
        <v>Casual</v>
      </c>
      <c r="AB213" s="3">
        <f t="shared" si="16"/>
        <v>9.2757306226175354E-2</v>
      </c>
      <c r="AC213" t="str">
        <f t="shared" si="14"/>
        <v xml:space="preserve"> Browsers</v>
      </c>
    </row>
    <row r="214" spans="1:29" x14ac:dyDescent="0.3">
      <c r="A214" s="6">
        <v>3904</v>
      </c>
      <c r="B214" s="7" t="s">
        <v>224</v>
      </c>
      <c r="C214" s="10">
        <v>45461</v>
      </c>
      <c r="D214" s="10">
        <v>45635</v>
      </c>
      <c r="E214" s="13">
        <v>11.99</v>
      </c>
      <c r="F214" s="6">
        <v>365</v>
      </c>
      <c r="G214" s="7" t="s">
        <v>63</v>
      </c>
      <c r="H214" s="6">
        <v>3</v>
      </c>
      <c r="I214" s="6">
        <v>1</v>
      </c>
      <c r="J214" s="7" t="b">
        <v>1</v>
      </c>
      <c r="K214" s="6">
        <v>679</v>
      </c>
      <c r="L214" s="6">
        <v>1</v>
      </c>
      <c r="M214" s="7" t="s">
        <v>92</v>
      </c>
      <c r="N214" s="7" t="s">
        <v>44</v>
      </c>
      <c r="O214" s="7" t="s">
        <v>78</v>
      </c>
      <c r="P214" s="6">
        <v>100</v>
      </c>
      <c r="Q214" s="11">
        <v>4.7</v>
      </c>
      <c r="R214" s="7" t="b">
        <v>0</v>
      </c>
      <c r="S214" s="7" t="s">
        <v>30</v>
      </c>
      <c r="T214" s="6">
        <v>2714</v>
      </c>
      <c r="U214" s="7" t="s">
        <v>76</v>
      </c>
      <c r="V214" s="12" t="s">
        <v>32</v>
      </c>
      <c r="W214" s="7" t="s">
        <v>40</v>
      </c>
      <c r="X214" s="6">
        <f t="shared" si="15"/>
        <v>174</v>
      </c>
      <c r="Y214" t="str" cm="1">
        <f t="array" ref="Y214">_xlfn.IFS(E214=7.99,"BASIC",E214=11.99,"STANDARD",E214=15.99,"PREMIUM")</f>
        <v>STANDARD</v>
      </c>
      <c r="Z214" s="4">
        <f t="shared" si="13"/>
        <v>14.683908045977011</v>
      </c>
      <c r="AA214" s="3" t="str" cm="1">
        <f t="array" ref="AA214">_xlfn.IFS(
(F214/(X214/7)) &lt; 5, "Casual",
AND((F214/(X214/7)) &gt;= 5, (F214/(X214/7)) &lt; 15), "Regular",
(F214/(X214/7)) &gt;= 15, "Power"
)</f>
        <v>Regular</v>
      </c>
      <c r="AB214" s="3">
        <f t="shared" si="16"/>
        <v>0.53676470588235292</v>
      </c>
      <c r="AC214" t="str">
        <f t="shared" si="14"/>
        <v>Viewers</v>
      </c>
    </row>
    <row r="215" spans="1:29" x14ac:dyDescent="0.3">
      <c r="A215" s="6">
        <v>6545</v>
      </c>
      <c r="B215" s="7" t="s">
        <v>147</v>
      </c>
      <c r="C215" s="10">
        <v>45456</v>
      </c>
      <c r="D215" s="10">
        <v>45634</v>
      </c>
      <c r="E215" s="13">
        <v>7.99</v>
      </c>
      <c r="F215" s="6">
        <v>61</v>
      </c>
      <c r="G215" s="7" t="s">
        <v>36</v>
      </c>
      <c r="H215" s="6">
        <v>1</v>
      </c>
      <c r="I215" s="6">
        <v>5</v>
      </c>
      <c r="J215" s="7" t="b">
        <v>1</v>
      </c>
      <c r="K215" s="6">
        <v>242</v>
      </c>
      <c r="L215" s="6">
        <v>200</v>
      </c>
      <c r="M215" s="7" t="s">
        <v>74</v>
      </c>
      <c r="N215" s="7" t="s">
        <v>75</v>
      </c>
      <c r="O215" s="7" t="s">
        <v>45</v>
      </c>
      <c r="P215" s="6">
        <v>53</v>
      </c>
      <c r="Q215" s="11">
        <v>4.8</v>
      </c>
      <c r="R215" s="7" t="b">
        <v>1</v>
      </c>
      <c r="S215" s="7" t="s">
        <v>30</v>
      </c>
      <c r="T215" s="6">
        <v>674</v>
      </c>
      <c r="U215" s="7" t="s">
        <v>65</v>
      </c>
      <c r="V215" s="12" t="s">
        <v>32</v>
      </c>
      <c r="W215" s="7" t="s">
        <v>33</v>
      </c>
      <c r="X215" s="6">
        <f t="shared" si="15"/>
        <v>178</v>
      </c>
      <c r="Y215" t="str" cm="1">
        <f t="array" ref="Y215">_xlfn.IFS(E215=7.99,"BASIC",E215=11.99,"STANDARD",E215=15.99,"PREMIUM")</f>
        <v>BASIC</v>
      </c>
      <c r="Z215" s="4">
        <f t="shared" si="13"/>
        <v>2.398876404494382</v>
      </c>
      <c r="AA215" s="3" t="str" cm="1">
        <f t="array" ref="AA215">_xlfn.IFS(
(F215/(X215/7)) &lt; 5, "Casual",
AND((F215/(X215/7)) &gt;= 5, (F215/(X215/7)) &lt; 15), "Regular",
(F215/(X215/7)) &gt;= 15, "Power"
)</f>
        <v>Casual</v>
      </c>
      <c r="AB215" s="3">
        <f t="shared" si="16"/>
        <v>0.13800904977375567</v>
      </c>
      <c r="AC215" t="str">
        <f t="shared" si="14"/>
        <v xml:space="preserve"> Browsers</v>
      </c>
    </row>
    <row r="216" spans="1:29" x14ac:dyDescent="0.3">
      <c r="A216" s="6">
        <v>3131</v>
      </c>
      <c r="B216" s="7" t="s">
        <v>153</v>
      </c>
      <c r="C216" s="10">
        <v>45088</v>
      </c>
      <c r="D216" s="10">
        <v>45617</v>
      </c>
      <c r="E216" s="13">
        <v>15.99</v>
      </c>
      <c r="F216" s="6">
        <v>399</v>
      </c>
      <c r="G216" s="7" t="s">
        <v>48</v>
      </c>
      <c r="H216" s="6">
        <v>3</v>
      </c>
      <c r="I216" s="6">
        <v>5</v>
      </c>
      <c r="J216" s="7" t="b">
        <v>0</v>
      </c>
      <c r="K216" s="6">
        <v>541</v>
      </c>
      <c r="L216" s="6">
        <v>158</v>
      </c>
      <c r="M216" s="7" t="s">
        <v>49</v>
      </c>
      <c r="N216" s="7" t="s">
        <v>44</v>
      </c>
      <c r="O216" s="7" t="s">
        <v>78</v>
      </c>
      <c r="P216" s="6">
        <v>4</v>
      </c>
      <c r="Q216" s="11">
        <v>4.9000000000000004</v>
      </c>
      <c r="R216" s="7" t="b">
        <v>1</v>
      </c>
      <c r="S216" s="7" t="s">
        <v>30</v>
      </c>
      <c r="T216" s="6">
        <v>948</v>
      </c>
      <c r="U216" s="7" t="s">
        <v>65</v>
      </c>
      <c r="V216" s="12" t="s">
        <v>79</v>
      </c>
      <c r="W216" s="7" t="s">
        <v>60</v>
      </c>
      <c r="X216" s="6">
        <f t="shared" si="15"/>
        <v>529</v>
      </c>
      <c r="Y216" t="str" cm="1">
        <f t="array" ref="Y216">_xlfn.IFS(E216=7.99,"BASIC",E216=11.99,"STANDARD",E216=15.99,"PREMIUM")</f>
        <v>PREMIUM</v>
      </c>
      <c r="Z216" s="4">
        <f t="shared" si="13"/>
        <v>5.279773156899811</v>
      </c>
      <c r="AA216" s="3" t="str" cm="1">
        <f t="array" ref="AA216">_xlfn.IFS(
(F216/(X216/7)) &lt; 5, "Casual",
AND((F216/(X216/7)) &gt;= 5, (F216/(X216/7)) &lt; 15), "Regular",
(F216/(X216/7)) &gt;= 15, "Power"
)</f>
        <v>Regular</v>
      </c>
      <c r="AB216" s="3">
        <f t="shared" si="16"/>
        <v>0.57081545064377681</v>
      </c>
      <c r="AC216" t="str">
        <f t="shared" si="14"/>
        <v>Viewers</v>
      </c>
    </row>
    <row r="217" spans="1:29" x14ac:dyDescent="0.3">
      <c r="A217" s="6">
        <v>8589</v>
      </c>
      <c r="B217" s="7" t="s">
        <v>207</v>
      </c>
      <c r="C217" s="10">
        <v>44945</v>
      </c>
      <c r="D217" s="10">
        <v>45616</v>
      </c>
      <c r="E217" s="13">
        <v>11.99</v>
      </c>
      <c r="F217" s="6">
        <v>102</v>
      </c>
      <c r="G217" s="7" t="s">
        <v>100</v>
      </c>
      <c r="H217" s="6">
        <v>2</v>
      </c>
      <c r="I217" s="6">
        <v>1</v>
      </c>
      <c r="J217" s="7" t="b">
        <v>1</v>
      </c>
      <c r="K217" s="6">
        <v>108</v>
      </c>
      <c r="L217" s="6">
        <v>105</v>
      </c>
      <c r="M217" s="7" t="s">
        <v>92</v>
      </c>
      <c r="N217" s="7" t="s">
        <v>28</v>
      </c>
      <c r="O217" s="7" t="s">
        <v>64</v>
      </c>
      <c r="P217" s="6">
        <v>76</v>
      </c>
      <c r="Q217" s="11">
        <v>4.7</v>
      </c>
      <c r="R217" s="7" t="b">
        <v>0</v>
      </c>
      <c r="S217" s="7" t="s">
        <v>30</v>
      </c>
      <c r="T217" s="6">
        <v>933</v>
      </c>
      <c r="U217" s="7" t="s">
        <v>38</v>
      </c>
      <c r="V217" s="12" t="s">
        <v>32</v>
      </c>
      <c r="W217" s="7" t="s">
        <v>93</v>
      </c>
      <c r="X217" s="6">
        <f t="shared" si="15"/>
        <v>671</v>
      </c>
      <c r="Y217" t="str" cm="1">
        <f t="array" ref="Y217">_xlfn.IFS(E217=7.99,"BASIC",E217=11.99,"STANDARD",E217=15.99,"PREMIUM")</f>
        <v>STANDARD</v>
      </c>
      <c r="Z217" s="4">
        <f t="shared" si="13"/>
        <v>1.0640834575260805</v>
      </c>
      <c r="AA217" s="3" t="str" cm="1">
        <f t="array" ref="AA217">_xlfn.IFS(
(F217/(X217/7)) &lt; 5, "Casual",
AND((F217/(X217/7)) &gt;= 5, (F217/(X217/7)) &lt; 15), "Regular",
(F217/(X217/7)) &gt;= 15, "Power"
)</f>
        <v>Casual</v>
      </c>
      <c r="AB217" s="3">
        <f t="shared" si="16"/>
        <v>0.47887323943661969</v>
      </c>
      <c r="AC217" t="str">
        <f t="shared" si="14"/>
        <v>Viewers</v>
      </c>
    </row>
    <row r="218" spans="1:29" x14ac:dyDescent="0.3">
      <c r="A218" s="6">
        <v>2908</v>
      </c>
      <c r="B218" s="7" t="s">
        <v>248</v>
      </c>
      <c r="C218" s="10">
        <v>45561</v>
      </c>
      <c r="D218" s="10">
        <v>45618</v>
      </c>
      <c r="E218" s="13">
        <v>11.99</v>
      </c>
      <c r="F218" s="6">
        <v>88</v>
      </c>
      <c r="G218" s="7" t="s">
        <v>48</v>
      </c>
      <c r="H218" s="6">
        <v>4</v>
      </c>
      <c r="I218" s="6">
        <v>2</v>
      </c>
      <c r="J218" s="7" t="b">
        <v>1</v>
      </c>
      <c r="K218" s="6">
        <v>343</v>
      </c>
      <c r="L218" s="6">
        <v>163</v>
      </c>
      <c r="M218" s="7" t="s">
        <v>92</v>
      </c>
      <c r="N218" s="7" t="s">
        <v>75</v>
      </c>
      <c r="O218" s="7" t="s">
        <v>37</v>
      </c>
      <c r="P218" s="6">
        <v>89</v>
      </c>
      <c r="Q218" s="11">
        <v>5</v>
      </c>
      <c r="R218" s="7" t="b">
        <v>1</v>
      </c>
      <c r="S218" s="7" t="s">
        <v>30</v>
      </c>
      <c r="T218" s="6">
        <v>2914</v>
      </c>
      <c r="U218" s="7" t="s">
        <v>58</v>
      </c>
      <c r="V218" s="12" t="s">
        <v>79</v>
      </c>
      <c r="W218" s="7" t="s">
        <v>40</v>
      </c>
      <c r="X218" s="6">
        <f t="shared" si="15"/>
        <v>57</v>
      </c>
      <c r="Y218" t="str" cm="1">
        <f t="array" ref="Y218">_xlfn.IFS(E218=7.99,"BASIC",E218=11.99,"STANDARD",E218=15.99,"PREMIUM")</f>
        <v>STANDARD</v>
      </c>
      <c r="Z218" s="4">
        <f t="shared" si="13"/>
        <v>10.807017543859649</v>
      </c>
      <c r="AA218" s="3" t="str" cm="1">
        <f t="array" ref="AA218">_xlfn.IFS(
(F218/(X218/7)) &lt; 5, "Casual",
AND((F218/(X218/7)) &gt;= 5, (F218/(X218/7)) &lt; 15), "Regular",
(F218/(X218/7)) &gt;= 15, "Power"
)</f>
        <v>Regular</v>
      </c>
      <c r="AB218" s="3">
        <f t="shared" si="16"/>
        <v>0.17391304347826086</v>
      </c>
      <c r="AC218" t="str">
        <f t="shared" si="14"/>
        <v>Viewers</v>
      </c>
    </row>
    <row r="219" spans="1:29" x14ac:dyDescent="0.3">
      <c r="A219" s="6">
        <v>5209</v>
      </c>
      <c r="B219" s="7" t="s">
        <v>238</v>
      </c>
      <c r="C219" s="10">
        <v>45056</v>
      </c>
      <c r="D219" s="10">
        <v>45615</v>
      </c>
      <c r="E219" s="13">
        <v>11.99</v>
      </c>
      <c r="F219" s="6">
        <v>92</v>
      </c>
      <c r="G219" s="7" t="s">
        <v>100</v>
      </c>
      <c r="H219" s="6">
        <v>5</v>
      </c>
      <c r="I219" s="6">
        <v>3</v>
      </c>
      <c r="J219" s="7" t="b">
        <v>1</v>
      </c>
      <c r="K219" s="6">
        <v>477</v>
      </c>
      <c r="L219" s="6">
        <v>38</v>
      </c>
      <c r="M219" s="7" t="s">
        <v>92</v>
      </c>
      <c r="N219" s="7" t="s">
        <v>56</v>
      </c>
      <c r="O219" s="7" t="s">
        <v>64</v>
      </c>
      <c r="P219" s="6">
        <v>71</v>
      </c>
      <c r="Q219" s="11">
        <v>3.9</v>
      </c>
      <c r="R219" s="7" t="b">
        <v>1</v>
      </c>
      <c r="S219" s="7" t="s">
        <v>30</v>
      </c>
      <c r="T219" s="6">
        <v>3928</v>
      </c>
      <c r="U219" s="7" t="s">
        <v>31</v>
      </c>
      <c r="V219" s="12" t="s">
        <v>69</v>
      </c>
      <c r="W219" s="7" t="s">
        <v>40</v>
      </c>
      <c r="X219" s="6">
        <f t="shared" si="15"/>
        <v>559</v>
      </c>
      <c r="Y219" t="str" cm="1">
        <f t="array" ref="Y219">_xlfn.IFS(E219=7.99,"BASIC",E219=11.99,"STANDARD",E219=15.99,"PREMIUM")</f>
        <v>STANDARD</v>
      </c>
      <c r="Z219" s="4">
        <f t="shared" si="13"/>
        <v>1.1520572450805009</v>
      </c>
      <c r="AA219" s="3" t="str" cm="1">
        <f t="array" ref="AA219">_xlfn.IFS(
(F219/(X219/7)) &lt; 5, "Casual",
AND((F219/(X219/7)) &gt;= 5, (F219/(X219/7)) &lt; 15), "Regular",
(F219/(X219/7)) &gt;= 15, "Power"
)</f>
        <v>Casual</v>
      </c>
      <c r="AB219" s="3">
        <f t="shared" si="16"/>
        <v>0.17864077669902911</v>
      </c>
      <c r="AC219" t="str">
        <f t="shared" si="14"/>
        <v>Viewers</v>
      </c>
    </row>
    <row r="220" spans="1:29" x14ac:dyDescent="0.3">
      <c r="A220" s="6">
        <v>2319</v>
      </c>
      <c r="B220" s="7" t="s">
        <v>150</v>
      </c>
      <c r="C220" s="10">
        <v>45078</v>
      </c>
      <c r="D220" s="10">
        <v>45616</v>
      </c>
      <c r="E220" s="13">
        <v>15.99</v>
      </c>
      <c r="F220" s="6">
        <v>295</v>
      </c>
      <c r="G220" s="7" t="s">
        <v>36</v>
      </c>
      <c r="H220" s="6">
        <v>5</v>
      </c>
      <c r="I220" s="6">
        <v>4</v>
      </c>
      <c r="J220" s="7" t="b">
        <v>0</v>
      </c>
      <c r="K220" s="6">
        <v>767</v>
      </c>
      <c r="L220" s="6">
        <v>190</v>
      </c>
      <c r="M220" s="7" t="s">
        <v>92</v>
      </c>
      <c r="N220" s="7" t="s">
        <v>56</v>
      </c>
      <c r="O220" s="7" t="s">
        <v>57</v>
      </c>
      <c r="P220" s="6">
        <v>7</v>
      </c>
      <c r="Q220" s="11">
        <v>4.0999999999999996</v>
      </c>
      <c r="R220" s="7" t="b">
        <v>0</v>
      </c>
      <c r="S220" s="7" t="s">
        <v>30</v>
      </c>
      <c r="T220" s="6">
        <v>2559</v>
      </c>
      <c r="U220" s="7" t="s">
        <v>31</v>
      </c>
      <c r="V220" s="12" t="s">
        <v>32</v>
      </c>
      <c r="W220" s="7" t="s">
        <v>40</v>
      </c>
      <c r="X220" s="6">
        <f t="shared" si="15"/>
        <v>538</v>
      </c>
      <c r="Y220" t="str" cm="1">
        <f t="array" ref="Y220">_xlfn.IFS(E220=7.99,"BASIC",E220=11.99,"STANDARD",E220=15.99,"PREMIUM")</f>
        <v>PREMIUM</v>
      </c>
      <c r="Z220" s="4">
        <f t="shared" si="13"/>
        <v>3.8382899628252787</v>
      </c>
      <c r="AA220" s="3" t="str" cm="1">
        <f t="array" ref="AA220">_xlfn.IFS(
(F220/(X220/7)) &lt; 5, "Casual",
AND((F220/(X220/7)) &gt;= 5, (F220/(X220/7)) &lt; 15), "Regular",
(F220/(X220/7)) &gt;= 15, "Power"
)</f>
        <v>Casual</v>
      </c>
      <c r="AB220" s="3">
        <f t="shared" si="16"/>
        <v>0.30825496342737724</v>
      </c>
      <c r="AC220" t="str">
        <f t="shared" si="14"/>
        <v>Viewers</v>
      </c>
    </row>
    <row r="221" spans="1:29" x14ac:dyDescent="0.3">
      <c r="A221" s="6">
        <v>9026</v>
      </c>
      <c r="B221" s="7" t="s">
        <v>197</v>
      </c>
      <c r="C221" s="10">
        <v>45415</v>
      </c>
      <c r="D221" s="10">
        <v>45618</v>
      </c>
      <c r="E221" s="13">
        <v>11.99</v>
      </c>
      <c r="F221" s="6">
        <v>139</v>
      </c>
      <c r="G221" s="7" t="s">
        <v>73</v>
      </c>
      <c r="H221" s="6">
        <v>1</v>
      </c>
      <c r="I221" s="6">
        <v>5</v>
      </c>
      <c r="J221" s="7" t="b">
        <v>1</v>
      </c>
      <c r="K221" s="6">
        <v>12</v>
      </c>
      <c r="L221" s="6">
        <v>9</v>
      </c>
      <c r="M221" s="7" t="s">
        <v>49</v>
      </c>
      <c r="N221" s="7" t="s">
        <v>56</v>
      </c>
      <c r="O221" s="7" t="s">
        <v>57</v>
      </c>
      <c r="P221" s="6">
        <v>21</v>
      </c>
      <c r="Q221" s="11">
        <v>4.8</v>
      </c>
      <c r="R221" s="7" t="b">
        <v>1</v>
      </c>
      <c r="S221" s="7" t="s">
        <v>30</v>
      </c>
      <c r="T221" s="6">
        <v>2571</v>
      </c>
      <c r="U221" s="7" t="s">
        <v>76</v>
      </c>
      <c r="V221" s="12" t="s">
        <v>32</v>
      </c>
      <c r="W221" s="7" t="s">
        <v>40</v>
      </c>
      <c r="X221" s="6">
        <f t="shared" si="15"/>
        <v>203</v>
      </c>
      <c r="Y221" t="str" cm="1">
        <f t="array" ref="Y221">_xlfn.IFS(E221=7.99,"BASIC",E221=11.99,"STANDARD",E221=15.99,"PREMIUM")</f>
        <v>STANDARD</v>
      </c>
      <c r="Z221" s="4">
        <f t="shared" si="13"/>
        <v>4.7931034482758621</v>
      </c>
      <c r="AA221" s="3" t="str" cm="1">
        <f t="array" ref="AA221">_xlfn.IFS(
(F221/(X221/7)) &lt; 5, "Casual",
AND((F221/(X221/7)) &gt;= 5, (F221/(X221/7)) &lt; 15), "Regular",
(F221/(X221/7)) &gt;= 15, "Power"
)</f>
        <v>Casual</v>
      </c>
      <c r="AB221" s="3">
        <f t="shared" si="16"/>
        <v>6.6190476190476186</v>
      </c>
      <c r="AC221" t="str">
        <f t="shared" si="14"/>
        <v>Viewers</v>
      </c>
    </row>
    <row r="222" spans="1:29" x14ac:dyDescent="0.3">
      <c r="A222" s="6">
        <v>2723</v>
      </c>
      <c r="B222" s="7" t="s">
        <v>337</v>
      </c>
      <c r="C222" s="10">
        <v>45170</v>
      </c>
      <c r="D222" s="10">
        <v>45620</v>
      </c>
      <c r="E222" s="13">
        <v>15.99</v>
      </c>
      <c r="F222" s="6">
        <v>416</v>
      </c>
      <c r="G222" s="7" t="s">
        <v>26</v>
      </c>
      <c r="H222" s="6">
        <v>1</v>
      </c>
      <c r="I222" s="6">
        <v>2</v>
      </c>
      <c r="J222" s="7" t="b">
        <v>1</v>
      </c>
      <c r="K222" s="6">
        <v>920</v>
      </c>
      <c r="L222" s="6">
        <v>79</v>
      </c>
      <c r="M222" s="7" t="s">
        <v>55</v>
      </c>
      <c r="N222" s="7" t="s">
        <v>44</v>
      </c>
      <c r="O222" s="7" t="s">
        <v>78</v>
      </c>
      <c r="P222" s="6">
        <v>20</v>
      </c>
      <c r="Q222" s="11">
        <v>4.4000000000000004</v>
      </c>
      <c r="R222" s="7" t="b">
        <v>0</v>
      </c>
      <c r="S222" s="7" t="s">
        <v>30</v>
      </c>
      <c r="T222" s="6">
        <v>3834</v>
      </c>
      <c r="U222" s="7" t="s">
        <v>31</v>
      </c>
      <c r="V222" s="12" t="s">
        <v>79</v>
      </c>
      <c r="W222" s="7" t="s">
        <v>40</v>
      </c>
      <c r="X222" s="6">
        <f t="shared" si="15"/>
        <v>450</v>
      </c>
      <c r="Y222" t="str" cm="1">
        <f t="array" ref="Y222">_xlfn.IFS(E222=7.99,"BASIC",E222=11.99,"STANDARD",E222=15.99,"PREMIUM")</f>
        <v>PREMIUM</v>
      </c>
      <c r="Z222" s="4">
        <f t="shared" si="13"/>
        <v>6.4711111111111101</v>
      </c>
      <c r="AA222" s="3" t="str" cm="1">
        <f t="array" ref="AA222">_xlfn.IFS(
(F222/(X222/7)) &lt; 5, "Casual",
AND((F222/(X222/7)) &gt;= 5, (F222/(X222/7)) &lt; 15), "Regular",
(F222/(X222/7)) &gt;= 15, "Power"
)</f>
        <v>Regular</v>
      </c>
      <c r="AB222" s="3">
        <f t="shared" si="16"/>
        <v>0.41641641641641641</v>
      </c>
      <c r="AC222" t="str">
        <f t="shared" si="14"/>
        <v>Viewers</v>
      </c>
    </row>
    <row r="223" spans="1:29" x14ac:dyDescent="0.3">
      <c r="A223" s="6">
        <v>5487</v>
      </c>
      <c r="B223" s="7" t="s">
        <v>148</v>
      </c>
      <c r="C223" s="10">
        <v>45376</v>
      </c>
      <c r="D223" s="10">
        <v>45642</v>
      </c>
      <c r="E223" s="13">
        <v>7.99</v>
      </c>
      <c r="F223" s="6">
        <v>173</v>
      </c>
      <c r="G223" s="7" t="s">
        <v>73</v>
      </c>
      <c r="H223" s="6">
        <v>2</v>
      </c>
      <c r="I223" s="6">
        <v>2</v>
      </c>
      <c r="J223" s="7" t="b">
        <v>0</v>
      </c>
      <c r="K223" s="6">
        <v>819</v>
      </c>
      <c r="L223" s="6">
        <v>174</v>
      </c>
      <c r="M223" s="7" t="s">
        <v>27</v>
      </c>
      <c r="N223" s="7" t="s">
        <v>28</v>
      </c>
      <c r="O223" s="7" t="s">
        <v>29</v>
      </c>
      <c r="P223" s="6">
        <v>34</v>
      </c>
      <c r="Q223" s="11">
        <v>4.0999999999999996</v>
      </c>
      <c r="R223" s="7" t="b">
        <v>0</v>
      </c>
      <c r="S223" s="7" t="s">
        <v>30</v>
      </c>
      <c r="T223" s="6">
        <v>4714</v>
      </c>
      <c r="U223" s="7" t="s">
        <v>65</v>
      </c>
      <c r="V223" s="12" t="s">
        <v>39</v>
      </c>
      <c r="W223" s="7" t="s">
        <v>40</v>
      </c>
      <c r="X223" s="6">
        <f t="shared" si="15"/>
        <v>266</v>
      </c>
      <c r="Y223" t="str" cm="1">
        <f t="array" ref="Y223">_xlfn.IFS(E223=7.99,"BASIC",E223=11.99,"STANDARD",E223=15.99,"PREMIUM")</f>
        <v>BASIC</v>
      </c>
      <c r="Z223" s="4">
        <f t="shared" si="13"/>
        <v>4.5526315789473681</v>
      </c>
      <c r="AA223" s="3" t="str" cm="1">
        <f t="array" ref="AA223">_xlfn.IFS(
(F223/(X223/7)) &lt; 5, "Casual",
AND((F223/(X223/7)) &gt;= 5, (F223/(X223/7)) &lt; 15), "Regular",
(F223/(X223/7)) &gt;= 15, "Power"
)</f>
        <v>Casual</v>
      </c>
      <c r="AB223" s="3">
        <f t="shared" si="16"/>
        <v>0.17421953675730112</v>
      </c>
      <c r="AC223" t="str">
        <f t="shared" si="14"/>
        <v>Viewers</v>
      </c>
    </row>
    <row r="224" spans="1:29" x14ac:dyDescent="0.3">
      <c r="A224" s="6">
        <v>4656</v>
      </c>
      <c r="B224" s="7" t="s">
        <v>207</v>
      </c>
      <c r="C224" s="10">
        <v>45068</v>
      </c>
      <c r="D224" s="10">
        <v>45625</v>
      </c>
      <c r="E224" s="13">
        <v>7.99</v>
      </c>
      <c r="F224" s="6">
        <v>75</v>
      </c>
      <c r="G224" s="7" t="s">
        <v>26</v>
      </c>
      <c r="H224" s="6">
        <v>3</v>
      </c>
      <c r="I224" s="6">
        <v>5</v>
      </c>
      <c r="J224" s="7" t="b">
        <v>0</v>
      </c>
      <c r="K224" s="6">
        <v>607</v>
      </c>
      <c r="L224" s="6">
        <v>94</v>
      </c>
      <c r="M224" s="7" t="s">
        <v>43</v>
      </c>
      <c r="N224" s="7" t="s">
        <v>75</v>
      </c>
      <c r="O224" s="7" t="s">
        <v>37</v>
      </c>
      <c r="P224" s="6">
        <v>57</v>
      </c>
      <c r="Q224" s="11">
        <v>3.8</v>
      </c>
      <c r="R224" s="7" t="b">
        <v>1</v>
      </c>
      <c r="S224" s="7" t="s">
        <v>30</v>
      </c>
      <c r="T224" s="6">
        <v>4800</v>
      </c>
      <c r="U224" s="7" t="s">
        <v>58</v>
      </c>
      <c r="V224" s="12" t="s">
        <v>39</v>
      </c>
      <c r="W224" s="7" t="s">
        <v>93</v>
      </c>
      <c r="X224" s="6">
        <f t="shared" si="15"/>
        <v>557</v>
      </c>
      <c r="Y224" t="str" cm="1">
        <f t="array" ref="Y224">_xlfn.IFS(E224=7.99,"BASIC",E224=11.99,"STANDARD",E224=15.99,"PREMIUM")</f>
        <v>BASIC</v>
      </c>
      <c r="Z224" s="4">
        <f t="shared" si="13"/>
        <v>0.9425493716337523</v>
      </c>
      <c r="AA224" s="3" t="str" cm="1">
        <f t="array" ref="AA224">_xlfn.IFS(
(F224/(X224/7)) &lt; 5, "Casual",
AND((F224/(X224/7)) &gt;= 5, (F224/(X224/7)) &lt; 15), "Regular",
(F224/(X224/7)) &gt;= 15, "Power"
)</f>
        <v>Casual</v>
      </c>
      <c r="AB224" s="3">
        <f t="shared" si="16"/>
        <v>0.10699001426533523</v>
      </c>
      <c r="AC224" t="str">
        <f t="shared" si="14"/>
        <v xml:space="preserve"> Browsers</v>
      </c>
    </row>
    <row r="225" spans="1:29" x14ac:dyDescent="0.3">
      <c r="A225" s="6">
        <v>5718</v>
      </c>
      <c r="B225" s="7" t="s">
        <v>340</v>
      </c>
      <c r="C225" s="10">
        <v>45457</v>
      </c>
      <c r="D225" s="10">
        <v>45624</v>
      </c>
      <c r="E225" s="13">
        <v>15.99</v>
      </c>
      <c r="F225" s="6">
        <v>173</v>
      </c>
      <c r="G225" s="7" t="s">
        <v>48</v>
      </c>
      <c r="H225" s="6">
        <v>1</v>
      </c>
      <c r="I225" s="6">
        <v>6</v>
      </c>
      <c r="J225" s="7" t="b">
        <v>1</v>
      </c>
      <c r="K225" s="6">
        <v>346</v>
      </c>
      <c r="L225" s="6">
        <v>76</v>
      </c>
      <c r="M225" s="7" t="s">
        <v>43</v>
      </c>
      <c r="N225" s="7" t="s">
        <v>28</v>
      </c>
      <c r="O225" s="7" t="s">
        <v>57</v>
      </c>
      <c r="P225" s="6">
        <v>28</v>
      </c>
      <c r="Q225" s="11">
        <v>3.3</v>
      </c>
      <c r="R225" s="7" t="b">
        <v>0</v>
      </c>
      <c r="S225" s="7" t="s">
        <v>30</v>
      </c>
      <c r="T225" s="6">
        <v>1610</v>
      </c>
      <c r="U225" s="7" t="s">
        <v>31</v>
      </c>
      <c r="V225" s="12" t="s">
        <v>69</v>
      </c>
      <c r="W225" s="7" t="s">
        <v>93</v>
      </c>
      <c r="X225" s="6">
        <f t="shared" si="15"/>
        <v>167</v>
      </c>
      <c r="Y225" t="str" cm="1">
        <f t="array" ref="Y225">_xlfn.IFS(E225=7.99,"BASIC",E225=11.99,"STANDARD",E225=15.99,"PREMIUM")</f>
        <v>PREMIUM</v>
      </c>
      <c r="Z225" s="4">
        <f t="shared" si="13"/>
        <v>7.2514970059880239</v>
      </c>
      <c r="AA225" s="3" t="str" cm="1">
        <f t="array" ref="AA225">_xlfn.IFS(
(F225/(X225/7)) &lt; 5, "Casual",
AND((F225/(X225/7)) &gt;= 5, (F225/(X225/7)) &lt; 15), "Regular",
(F225/(X225/7)) &gt;= 15, "Power"
)</f>
        <v>Regular</v>
      </c>
      <c r="AB225" s="3">
        <f t="shared" si="16"/>
        <v>0.4099526066350711</v>
      </c>
      <c r="AC225" t="str">
        <f t="shared" si="14"/>
        <v>Viewers</v>
      </c>
    </row>
    <row r="226" spans="1:29" x14ac:dyDescent="0.3">
      <c r="A226" s="6">
        <v>1215</v>
      </c>
      <c r="B226" s="7" t="s">
        <v>342</v>
      </c>
      <c r="C226" s="10">
        <v>45155</v>
      </c>
      <c r="D226" s="10">
        <v>45623</v>
      </c>
      <c r="E226" s="13">
        <v>7.99</v>
      </c>
      <c r="F226" s="6">
        <v>421</v>
      </c>
      <c r="G226" s="7" t="s">
        <v>51</v>
      </c>
      <c r="H226" s="6">
        <v>3</v>
      </c>
      <c r="I226" s="6">
        <v>1</v>
      </c>
      <c r="J226" s="7" t="b">
        <v>1</v>
      </c>
      <c r="K226" s="6">
        <v>668</v>
      </c>
      <c r="L226" s="6">
        <v>17</v>
      </c>
      <c r="M226" s="7" t="s">
        <v>43</v>
      </c>
      <c r="N226" s="7" t="s">
        <v>56</v>
      </c>
      <c r="O226" s="7" t="s">
        <v>57</v>
      </c>
      <c r="P226" s="6">
        <v>7</v>
      </c>
      <c r="Q226" s="11">
        <v>4</v>
      </c>
      <c r="R226" s="7" t="b">
        <v>1</v>
      </c>
      <c r="S226" s="7" t="s">
        <v>30</v>
      </c>
      <c r="T226" s="6">
        <v>2780</v>
      </c>
      <c r="U226" s="7" t="s">
        <v>76</v>
      </c>
      <c r="V226" s="12" t="s">
        <v>39</v>
      </c>
      <c r="W226" s="7" t="s">
        <v>40</v>
      </c>
      <c r="X226" s="6">
        <f t="shared" si="15"/>
        <v>468</v>
      </c>
      <c r="Y226" t="str" cm="1">
        <f t="array" ref="Y226">_xlfn.IFS(E226=7.99,"BASIC",E226=11.99,"STANDARD",E226=15.99,"PREMIUM")</f>
        <v>BASIC</v>
      </c>
      <c r="Z226" s="4">
        <f t="shared" si="13"/>
        <v>6.2970085470085468</v>
      </c>
      <c r="AA226" s="3" t="str" cm="1">
        <f t="array" ref="AA226">_xlfn.IFS(
(F226/(X226/7)) &lt; 5, "Casual",
AND((F226/(X226/7)) &gt;= 5, (F226/(X226/7)) &lt; 15), "Regular",
(F226/(X226/7)) &gt;= 15, "Power"
)</f>
        <v>Regular</v>
      </c>
      <c r="AB226" s="3">
        <f t="shared" si="16"/>
        <v>0.61459854014598536</v>
      </c>
      <c r="AC226" t="str">
        <f t="shared" si="14"/>
        <v>Viewers</v>
      </c>
    </row>
    <row r="227" spans="1:29" x14ac:dyDescent="0.3">
      <c r="A227" s="6">
        <v>3427</v>
      </c>
      <c r="B227" s="7" t="s">
        <v>344</v>
      </c>
      <c r="C227" s="10">
        <v>45270</v>
      </c>
      <c r="D227" s="10">
        <v>45633</v>
      </c>
      <c r="E227" s="13">
        <v>15.99</v>
      </c>
      <c r="F227" s="6">
        <v>29</v>
      </c>
      <c r="G227" s="7" t="s">
        <v>48</v>
      </c>
      <c r="H227" s="6">
        <v>5</v>
      </c>
      <c r="I227" s="6">
        <v>2</v>
      </c>
      <c r="J227" s="7" t="b">
        <v>1</v>
      </c>
      <c r="K227" s="6">
        <v>317</v>
      </c>
      <c r="L227" s="6">
        <v>116</v>
      </c>
      <c r="M227" s="7" t="s">
        <v>27</v>
      </c>
      <c r="N227" s="7" t="s">
        <v>56</v>
      </c>
      <c r="O227" s="7" t="s">
        <v>37</v>
      </c>
      <c r="P227" s="6">
        <v>78</v>
      </c>
      <c r="Q227" s="11">
        <v>3.8</v>
      </c>
      <c r="R227" s="7" t="b">
        <v>1</v>
      </c>
      <c r="S227" s="7" t="s">
        <v>30</v>
      </c>
      <c r="T227" s="6">
        <v>639</v>
      </c>
      <c r="U227" s="7" t="s">
        <v>76</v>
      </c>
      <c r="V227" s="12" t="s">
        <v>39</v>
      </c>
      <c r="W227" s="7" t="s">
        <v>60</v>
      </c>
      <c r="X227" s="6">
        <f t="shared" si="15"/>
        <v>363</v>
      </c>
      <c r="Y227" t="str" cm="1">
        <f t="array" ref="Y227">_xlfn.IFS(E227=7.99,"BASIC",E227=11.99,"STANDARD",E227=15.99,"PREMIUM")</f>
        <v>PREMIUM</v>
      </c>
      <c r="Z227" s="4">
        <f t="shared" si="13"/>
        <v>0.55922865013774103</v>
      </c>
      <c r="AA227" s="3" t="str" cm="1">
        <f t="array" ref="AA227">_xlfn.IFS(
(F227/(X227/7)) &lt; 5, "Casual",
AND((F227/(X227/7)) &gt;= 5, (F227/(X227/7)) &lt; 15), "Regular",
(F227/(X227/7)) &gt;= 15, "Power"
)</f>
        <v>Casual</v>
      </c>
      <c r="AB227" s="3">
        <f t="shared" si="16"/>
        <v>6.6974595842956119E-2</v>
      </c>
      <c r="AC227" t="str">
        <f t="shared" si="14"/>
        <v xml:space="preserve"> Browsers</v>
      </c>
    </row>
    <row r="228" spans="1:29" x14ac:dyDescent="0.3">
      <c r="A228" s="6">
        <v>2428</v>
      </c>
      <c r="B228" s="7" t="s">
        <v>345</v>
      </c>
      <c r="C228" s="10">
        <v>45349</v>
      </c>
      <c r="D228" s="10">
        <v>45617</v>
      </c>
      <c r="E228" s="13">
        <v>7.99</v>
      </c>
      <c r="F228" s="6">
        <v>180</v>
      </c>
      <c r="G228" s="7" t="s">
        <v>73</v>
      </c>
      <c r="H228" s="6">
        <v>2</v>
      </c>
      <c r="I228" s="6">
        <v>4</v>
      </c>
      <c r="J228" s="7" t="b">
        <v>1</v>
      </c>
      <c r="K228" s="6">
        <v>297</v>
      </c>
      <c r="L228" s="6">
        <v>19</v>
      </c>
      <c r="M228" s="7" t="s">
        <v>92</v>
      </c>
      <c r="N228" s="7" t="s">
        <v>56</v>
      </c>
      <c r="O228" s="7" t="s">
        <v>29</v>
      </c>
      <c r="P228" s="6">
        <v>84</v>
      </c>
      <c r="Q228" s="11">
        <v>4.9000000000000004</v>
      </c>
      <c r="R228" s="7" t="b">
        <v>0</v>
      </c>
      <c r="S228" s="7" t="s">
        <v>30</v>
      </c>
      <c r="T228" s="6">
        <v>1960</v>
      </c>
      <c r="U228" s="7" t="s">
        <v>31</v>
      </c>
      <c r="V228" s="12" t="s">
        <v>59</v>
      </c>
      <c r="W228" s="7" t="s">
        <v>93</v>
      </c>
      <c r="X228" s="6">
        <f t="shared" si="15"/>
        <v>268</v>
      </c>
      <c r="Y228" t="str" cm="1">
        <f t="array" ref="Y228">_xlfn.IFS(E228=7.99,"BASIC",E228=11.99,"STANDARD",E228=15.99,"PREMIUM")</f>
        <v>BASIC</v>
      </c>
      <c r="Z228" s="4">
        <f t="shared" si="13"/>
        <v>4.7014925373134329</v>
      </c>
      <c r="AA228" s="3" t="str" cm="1">
        <f t="array" ref="AA228">_xlfn.IFS(
(F228/(X228/7)) &lt; 5, "Casual",
AND((F228/(X228/7)) &gt;= 5, (F228/(X228/7)) &lt; 15), "Regular",
(F228/(X228/7)) &gt;= 15, "Power"
)</f>
        <v>Casual</v>
      </c>
      <c r="AB228" s="3">
        <f t="shared" si="16"/>
        <v>0.569620253164557</v>
      </c>
      <c r="AC228" t="str">
        <f t="shared" si="14"/>
        <v>Viewers</v>
      </c>
    </row>
    <row r="229" spans="1:29" x14ac:dyDescent="0.3">
      <c r="A229" s="6">
        <v>1947</v>
      </c>
      <c r="B229" s="7" t="s">
        <v>347</v>
      </c>
      <c r="C229" s="10">
        <v>45536</v>
      </c>
      <c r="D229" s="10">
        <v>45620</v>
      </c>
      <c r="E229" s="13">
        <v>11.99</v>
      </c>
      <c r="F229" s="6">
        <v>469</v>
      </c>
      <c r="G229" s="7" t="s">
        <v>26</v>
      </c>
      <c r="H229" s="6">
        <v>4</v>
      </c>
      <c r="I229" s="6">
        <v>6</v>
      </c>
      <c r="J229" s="7" t="b">
        <v>1</v>
      </c>
      <c r="K229" s="6">
        <v>866</v>
      </c>
      <c r="L229" s="6">
        <v>120</v>
      </c>
      <c r="M229" s="7" t="s">
        <v>43</v>
      </c>
      <c r="N229" s="7" t="s">
        <v>56</v>
      </c>
      <c r="O229" s="7" t="s">
        <v>64</v>
      </c>
      <c r="P229" s="6">
        <v>92</v>
      </c>
      <c r="Q229" s="11">
        <v>3.6</v>
      </c>
      <c r="R229" s="7" t="b">
        <v>1</v>
      </c>
      <c r="S229" s="7" t="s">
        <v>30</v>
      </c>
      <c r="T229" s="6">
        <v>1764</v>
      </c>
      <c r="U229" s="7" t="s">
        <v>58</v>
      </c>
      <c r="V229" s="12" t="s">
        <v>59</v>
      </c>
      <c r="W229" s="7" t="s">
        <v>33</v>
      </c>
      <c r="X229" s="6">
        <f t="shared" si="15"/>
        <v>84</v>
      </c>
      <c r="Y229" t="str" cm="1">
        <f t="array" ref="Y229">_xlfn.IFS(E229=7.99,"BASIC",E229=11.99,"STANDARD",E229=15.99,"PREMIUM")</f>
        <v>STANDARD</v>
      </c>
      <c r="Z229" s="4">
        <f t="shared" si="13"/>
        <v>39.083333333333336</v>
      </c>
      <c r="AA229" s="3" t="str" cm="1">
        <f t="array" ref="AA229">_xlfn.IFS(
(F229/(X229/7)) &lt; 5, "Casual",
AND((F229/(X229/7)) &gt;= 5, (F229/(X229/7)) &lt; 15), "Regular",
(F229/(X229/7)) &gt;= 15, "Power"
)</f>
        <v>Power</v>
      </c>
      <c r="AB229" s="3">
        <f t="shared" si="16"/>
        <v>0.47565922920892495</v>
      </c>
      <c r="AC229" t="str">
        <f t="shared" si="14"/>
        <v>Viewers</v>
      </c>
    </row>
    <row r="230" spans="1:29" x14ac:dyDescent="0.3">
      <c r="A230" s="6">
        <v>5036</v>
      </c>
      <c r="B230" s="7" t="s">
        <v>290</v>
      </c>
      <c r="C230" s="10">
        <v>45520</v>
      </c>
      <c r="D230" s="10">
        <v>45625</v>
      </c>
      <c r="E230" s="13">
        <v>15.99</v>
      </c>
      <c r="F230" s="6">
        <v>381</v>
      </c>
      <c r="G230" s="7" t="s">
        <v>63</v>
      </c>
      <c r="H230" s="6">
        <v>5</v>
      </c>
      <c r="I230" s="6">
        <v>1</v>
      </c>
      <c r="J230" s="7" t="b">
        <v>1</v>
      </c>
      <c r="K230" s="6">
        <v>286</v>
      </c>
      <c r="L230" s="6">
        <v>121</v>
      </c>
      <c r="M230" s="7" t="s">
        <v>43</v>
      </c>
      <c r="N230" s="7" t="s">
        <v>75</v>
      </c>
      <c r="O230" s="7" t="s">
        <v>78</v>
      </c>
      <c r="P230" s="6">
        <v>57</v>
      </c>
      <c r="Q230" s="11">
        <v>4.0999999999999996</v>
      </c>
      <c r="R230" s="7" t="b">
        <v>1</v>
      </c>
      <c r="S230" s="7" t="s">
        <v>30</v>
      </c>
      <c r="T230" s="6">
        <v>967</v>
      </c>
      <c r="U230" s="7" t="s">
        <v>31</v>
      </c>
      <c r="V230" s="12" t="s">
        <v>59</v>
      </c>
      <c r="W230" s="7" t="s">
        <v>93</v>
      </c>
      <c r="X230" s="6">
        <f t="shared" si="15"/>
        <v>105</v>
      </c>
      <c r="Y230" t="str" cm="1">
        <f t="array" ref="Y230">_xlfn.IFS(E230=7.99,"BASIC",E230=11.99,"STANDARD",E230=15.99,"PREMIUM")</f>
        <v>PREMIUM</v>
      </c>
      <c r="Z230" s="4">
        <f t="shared" si="13"/>
        <v>25.4</v>
      </c>
      <c r="AA230" s="3" t="str" cm="1">
        <f t="array" ref="AA230">_xlfn.IFS(
(F230/(X230/7)) &lt; 5, "Casual",
AND((F230/(X230/7)) &gt;= 5, (F230/(X230/7)) &lt; 15), "Regular",
(F230/(X230/7)) &gt;= 15, "Power"
)</f>
        <v>Power</v>
      </c>
      <c r="AB230" s="3">
        <f t="shared" si="16"/>
        <v>0.93611793611793614</v>
      </c>
      <c r="AC230" t="str">
        <f t="shared" si="14"/>
        <v>Viewers</v>
      </c>
    </row>
    <row r="231" spans="1:29" x14ac:dyDescent="0.3">
      <c r="A231" s="6">
        <v>5857</v>
      </c>
      <c r="B231" s="7" t="s">
        <v>88</v>
      </c>
      <c r="C231" s="10">
        <v>45631</v>
      </c>
      <c r="D231" s="10">
        <v>45641</v>
      </c>
      <c r="E231" s="13">
        <v>15.99</v>
      </c>
      <c r="F231" s="6">
        <v>263</v>
      </c>
      <c r="G231" s="7" t="s">
        <v>63</v>
      </c>
      <c r="H231" s="6">
        <v>5</v>
      </c>
      <c r="I231" s="6">
        <v>5</v>
      </c>
      <c r="J231" s="7" t="b">
        <v>0</v>
      </c>
      <c r="K231" s="6">
        <v>95</v>
      </c>
      <c r="L231" s="6">
        <v>149</v>
      </c>
      <c r="M231" s="7" t="s">
        <v>74</v>
      </c>
      <c r="N231" s="7" t="s">
        <v>56</v>
      </c>
      <c r="O231" s="7" t="s">
        <v>78</v>
      </c>
      <c r="P231" s="6">
        <v>17</v>
      </c>
      <c r="Q231" s="11">
        <v>4</v>
      </c>
      <c r="R231" s="7" t="b">
        <v>1</v>
      </c>
      <c r="S231" s="7" t="s">
        <v>30</v>
      </c>
      <c r="T231" s="6">
        <v>2086</v>
      </c>
      <c r="U231" s="7" t="s">
        <v>58</v>
      </c>
      <c r="V231" s="12" t="s">
        <v>79</v>
      </c>
      <c r="W231" s="7" t="s">
        <v>93</v>
      </c>
      <c r="X231" s="6">
        <f t="shared" si="15"/>
        <v>10</v>
      </c>
      <c r="Y231" t="str" cm="1">
        <f t="array" ref="Y231">_xlfn.IFS(E231=7.99,"BASIC",E231=11.99,"STANDARD",E231=15.99,"PREMIUM")</f>
        <v>PREMIUM</v>
      </c>
      <c r="Z231" s="4">
        <f t="shared" si="13"/>
        <v>184.1</v>
      </c>
      <c r="AA231" s="3" t="str" cm="1">
        <f t="array" ref="AA231">_xlfn.IFS(
(F231/(X231/7)) &lt; 5, "Casual",
AND((F231/(X231/7)) &gt;= 5, (F231/(X231/7)) &lt; 15), "Regular",
(F231/(X231/7)) &gt;= 15, "Power"
)</f>
        <v>Power</v>
      </c>
      <c r="AB231" s="3">
        <f t="shared" si="16"/>
        <v>1.0778688524590163</v>
      </c>
      <c r="AC231" t="str">
        <f t="shared" si="14"/>
        <v>Viewers</v>
      </c>
    </row>
    <row r="232" spans="1:29" x14ac:dyDescent="0.3">
      <c r="A232" s="6">
        <v>8770</v>
      </c>
      <c r="B232" s="7" t="s">
        <v>106</v>
      </c>
      <c r="C232" s="10">
        <v>45150</v>
      </c>
      <c r="D232" s="10">
        <v>45617</v>
      </c>
      <c r="E232" s="13">
        <v>7.99</v>
      </c>
      <c r="F232" s="6">
        <v>48</v>
      </c>
      <c r="G232" s="7" t="s">
        <v>36</v>
      </c>
      <c r="H232" s="6">
        <v>4</v>
      </c>
      <c r="I232" s="6">
        <v>2</v>
      </c>
      <c r="J232" s="7" t="b">
        <v>0</v>
      </c>
      <c r="K232" s="6">
        <v>938</v>
      </c>
      <c r="L232" s="6">
        <v>92</v>
      </c>
      <c r="M232" s="7" t="s">
        <v>43</v>
      </c>
      <c r="N232" s="7" t="s">
        <v>75</v>
      </c>
      <c r="O232" s="7" t="s">
        <v>78</v>
      </c>
      <c r="P232" s="6">
        <v>99</v>
      </c>
      <c r="Q232" s="11">
        <v>4.2</v>
      </c>
      <c r="R232" s="7" t="b">
        <v>1</v>
      </c>
      <c r="S232" s="7" t="s">
        <v>30</v>
      </c>
      <c r="T232" s="6">
        <v>3288</v>
      </c>
      <c r="U232" s="7" t="s">
        <v>58</v>
      </c>
      <c r="V232" s="12" t="s">
        <v>79</v>
      </c>
      <c r="W232" s="7" t="s">
        <v>33</v>
      </c>
      <c r="X232" s="6">
        <f t="shared" si="15"/>
        <v>467</v>
      </c>
      <c r="Y232" t="str" cm="1">
        <f t="array" ref="Y232">_xlfn.IFS(E232=7.99,"BASIC",E232=11.99,"STANDARD",E232=15.99,"PREMIUM")</f>
        <v>BASIC</v>
      </c>
      <c r="Z232" s="4">
        <f t="shared" si="13"/>
        <v>0.71948608137044978</v>
      </c>
      <c r="AA232" s="3" t="str" cm="1">
        <f t="array" ref="AA232">_xlfn.IFS(
(F232/(X232/7)) &lt; 5, "Casual",
AND((F232/(X232/7)) &gt;= 5, (F232/(X232/7)) &lt; 15), "Regular",
(F232/(X232/7)) &gt;= 15, "Power"
)</f>
        <v>Casual</v>
      </c>
      <c r="AB232" s="3">
        <f t="shared" si="16"/>
        <v>4.6601941747572817E-2</v>
      </c>
      <c r="AC232" t="str">
        <f t="shared" si="14"/>
        <v xml:space="preserve"> Browsers</v>
      </c>
    </row>
    <row r="233" spans="1:29" x14ac:dyDescent="0.3">
      <c r="A233" s="6">
        <v>4118</v>
      </c>
      <c r="B233" s="7" t="s">
        <v>349</v>
      </c>
      <c r="C233" s="10">
        <v>45062</v>
      </c>
      <c r="D233" s="10">
        <v>45615</v>
      </c>
      <c r="E233" s="13">
        <v>11.99</v>
      </c>
      <c r="F233" s="6">
        <v>447</v>
      </c>
      <c r="G233" s="7" t="s">
        <v>51</v>
      </c>
      <c r="H233" s="6">
        <v>3</v>
      </c>
      <c r="I233" s="6">
        <v>4</v>
      </c>
      <c r="J233" s="7" t="b">
        <v>0</v>
      </c>
      <c r="K233" s="6">
        <v>264</v>
      </c>
      <c r="L233" s="6">
        <v>55</v>
      </c>
      <c r="M233" s="7" t="s">
        <v>68</v>
      </c>
      <c r="N233" s="7" t="s">
        <v>28</v>
      </c>
      <c r="O233" s="7" t="s">
        <v>45</v>
      </c>
      <c r="P233" s="6">
        <v>58</v>
      </c>
      <c r="Q233" s="11">
        <v>3.6</v>
      </c>
      <c r="R233" s="7" t="b">
        <v>0</v>
      </c>
      <c r="S233" s="7" t="s">
        <v>30</v>
      </c>
      <c r="T233" s="6">
        <v>1486</v>
      </c>
      <c r="U233" s="7" t="s">
        <v>31</v>
      </c>
      <c r="V233" s="12" t="s">
        <v>79</v>
      </c>
      <c r="W233" s="7" t="s">
        <v>93</v>
      </c>
      <c r="X233" s="6">
        <f t="shared" si="15"/>
        <v>553</v>
      </c>
      <c r="Y233" t="str" cm="1">
        <f t="array" ref="Y233">_xlfn.IFS(E233=7.99,"BASIC",E233=11.99,"STANDARD",E233=15.99,"PREMIUM")</f>
        <v>STANDARD</v>
      </c>
      <c r="Z233" s="4">
        <f t="shared" si="13"/>
        <v>5.6582278481012658</v>
      </c>
      <c r="AA233" s="3" t="str" cm="1">
        <f t="array" ref="AA233">_xlfn.IFS(
(F233/(X233/7)) &lt; 5, "Casual",
AND((F233/(X233/7)) &gt;= 5, (F233/(X233/7)) &lt; 15), "Regular",
(F233/(X233/7)) &gt;= 15, "Power"
)</f>
        <v>Regular</v>
      </c>
      <c r="AB233" s="3">
        <f t="shared" si="16"/>
        <v>1.4012539184952979</v>
      </c>
      <c r="AC233" t="str">
        <f t="shared" si="14"/>
        <v>Viewers</v>
      </c>
    </row>
    <row r="234" spans="1:29" x14ac:dyDescent="0.3">
      <c r="A234" s="6">
        <v>7162</v>
      </c>
      <c r="B234" s="7" t="s">
        <v>351</v>
      </c>
      <c r="C234" s="10">
        <v>45525</v>
      </c>
      <c r="D234" s="10">
        <v>45640</v>
      </c>
      <c r="E234" s="13">
        <v>15.99</v>
      </c>
      <c r="F234" s="6">
        <v>415</v>
      </c>
      <c r="G234" s="7" t="s">
        <v>48</v>
      </c>
      <c r="H234" s="6">
        <v>1</v>
      </c>
      <c r="I234" s="6">
        <v>3</v>
      </c>
      <c r="J234" s="7" t="b">
        <v>1</v>
      </c>
      <c r="K234" s="6">
        <v>44</v>
      </c>
      <c r="L234" s="6">
        <v>10</v>
      </c>
      <c r="M234" s="7" t="s">
        <v>92</v>
      </c>
      <c r="N234" s="7" t="s">
        <v>44</v>
      </c>
      <c r="O234" s="7" t="s">
        <v>78</v>
      </c>
      <c r="P234" s="6">
        <v>91</v>
      </c>
      <c r="Q234" s="11">
        <v>3.3</v>
      </c>
      <c r="R234" s="7" t="b">
        <v>0</v>
      </c>
      <c r="S234" s="7" t="s">
        <v>30</v>
      </c>
      <c r="T234" s="6">
        <v>223</v>
      </c>
      <c r="U234" s="7" t="s">
        <v>58</v>
      </c>
      <c r="V234" s="12" t="s">
        <v>79</v>
      </c>
      <c r="W234" s="7" t="s">
        <v>93</v>
      </c>
      <c r="X234" s="6">
        <f t="shared" si="15"/>
        <v>115</v>
      </c>
      <c r="Y234" t="str" cm="1">
        <f t="array" ref="Y234">_xlfn.IFS(E234=7.99,"BASIC",E234=11.99,"STANDARD",E234=15.99,"PREMIUM")</f>
        <v>PREMIUM</v>
      </c>
      <c r="Z234" s="4">
        <f t="shared" si="13"/>
        <v>25.260869565217394</v>
      </c>
      <c r="AA234" s="3" t="str" cm="1">
        <f t="array" ref="AA234">_xlfn.IFS(
(F234/(X234/7)) &lt; 5, "Casual",
AND((F234/(X234/7)) &gt;= 5, (F234/(X234/7)) &lt; 15), "Regular",
(F234/(X234/7)) &gt;= 15, "Power"
)</f>
        <v>Power</v>
      </c>
      <c r="AB234" s="3">
        <f t="shared" si="16"/>
        <v>7.6851851851851851</v>
      </c>
      <c r="AC234" t="str">
        <f t="shared" si="14"/>
        <v>Viewers</v>
      </c>
    </row>
    <row r="235" spans="1:29" x14ac:dyDescent="0.3">
      <c r="A235" s="6">
        <v>9278</v>
      </c>
      <c r="B235" s="7" t="s">
        <v>304</v>
      </c>
      <c r="C235" s="10">
        <v>45554</v>
      </c>
      <c r="D235" s="10">
        <v>45640</v>
      </c>
      <c r="E235" s="13">
        <v>7.99</v>
      </c>
      <c r="F235" s="6">
        <v>429</v>
      </c>
      <c r="G235" s="7" t="s">
        <v>36</v>
      </c>
      <c r="H235" s="6">
        <v>5</v>
      </c>
      <c r="I235" s="6">
        <v>4</v>
      </c>
      <c r="J235" s="7" t="b">
        <v>0</v>
      </c>
      <c r="K235" s="6">
        <v>944</v>
      </c>
      <c r="L235" s="6">
        <v>165</v>
      </c>
      <c r="M235" s="7" t="s">
        <v>92</v>
      </c>
      <c r="N235" s="7" t="s">
        <v>28</v>
      </c>
      <c r="O235" s="7" t="s">
        <v>78</v>
      </c>
      <c r="P235" s="6">
        <v>12</v>
      </c>
      <c r="Q235" s="11">
        <v>4.7</v>
      </c>
      <c r="R235" s="7" t="b">
        <v>1</v>
      </c>
      <c r="S235" s="7" t="s">
        <v>30</v>
      </c>
      <c r="T235" s="6">
        <v>2394</v>
      </c>
      <c r="U235" s="7" t="s">
        <v>76</v>
      </c>
      <c r="V235" s="12" t="s">
        <v>69</v>
      </c>
      <c r="W235" s="7" t="s">
        <v>60</v>
      </c>
      <c r="X235" s="6">
        <f t="shared" si="15"/>
        <v>86</v>
      </c>
      <c r="Y235" t="str" cm="1">
        <f t="array" ref="Y235">_xlfn.IFS(E235=7.99,"BASIC",E235=11.99,"STANDARD",E235=15.99,"PREMIUM")</f>
        <v>BASIC</v>
      </c>
      <c r="Z235" s="4">
        <f t="shared" si="13"/>
        <v>34.918604651162788</v>
      </c>
      <c r="AA235" s="3" t="str" cm="1">
        <f t="array" ref="AA235">_xlfn.IFS(
(F235/(X235/7)) &lt; 5, "Casual",
AND((F235/(X235/7)) &gt;= 5, (F235/(X235/7)) &lt; 15), "Regular",
(F235/(X235/7)) &gt;= 15, "Power"
)</f>
        <v>Power</v>
      </c>
      <c r="AB235" s="3">
        <f t="shared" si="16"/>
        <v>0.38683498647430115</v>
      </c>
      <c r="AC235" t="str">
        <f t="shared" si="14"/>
        <v>Viewers</v>
      </c>
    </row>
    <row r="236" spans="1:29" x14ac:dyDescent="0.3">
      <c r="A236" s="6">
        <v>5406</v>
      </c>
      <c r="B236" s="7" t="s">
        <v>353</v>
      </c>
      <c r="C236" s="10">
        <v>45577</v>
      </c>
      <c r="D236" s="10">
        <v>45633</v>
      </c>
      <c r="E236" s="13">
        <v>7.99</v>
      </c>
      <c r="F236" s="6">
        <v>26</v>
      </c>
      <c r="G236" s="7" t="s">
        <v>36</v>
      </c>
      <c r="H236" s="6">
        <v>5</v>
      </c>
      <c r="I236" s="6">
        <v>5</v>
      </c>
      <c r="J236" s="7" t="b">
        <v>0</v>
      </c>
      <c r="K236" s="6">
        <v>542</v>
      </c>
      <c r="L236" s="6">
        <v>152</v>
      </c>
      <c r="M236" s="7" t="s">
        <v>43</v>
      </c>
      <c r="N236" s="7" t="s">
        <v>56</v>
      </c>
      <c r="O236" s="7" t="s">
        <v>45</v>
      </c>
      <c r="P236" s="6">
        <v>6</v>
      </c>
      <c r="Q236" s="11">
        <v>3.1</v>
      </c>
      <c r="R236" s="7" t="b">
        <v>0</v>
      </c>
      <c r="S236" s="7" t="s">
        <v>30</v>
      </c>
      <c r="T236" s="6">
        <v>4329</v>
      </c>
      <c r="U236" s="7" t="s">
        <v>31</v>
      </c>
      <c r="V236" s="12" t="s">
        <v>59</v>
      </c>
      <c r="W236" s="7" t="s">
        <v>60</v>
      </c>
      <c r="X236" s="6">
        <f t="shared" si="15"/>
        <v>56</v>
      </c>
      <c r="Y236" t="str" cm="1">
        <f t="array" ref="Y236">_xlfn.IFS(E236=7.99,"BASIC",E236=11.99,"STANDARD",E236=15.99,"PREMIUM")</f>
        <v>BASIC</v>
      </c>
      <c r="Z236" s="4">
        <f t="shared" si="13"/>
        <v>3.25</v>
      </c>
      <c r="AA236" s="3" t="str" cm="1">
        <f t="array" ref="AA236">_xlfn.IFS(
(F236/(X236/7)) &lt; 5, "Casual",
AND((F236/(X236/7)) &gt;= 5, (F236/(X236/7)) &lt; 15), "Regular",
(F236/(X236/7)) &gt;= 15, "Power"
)</f>
        <v>Casual</v>
      </c>
      <c r="AB236" s="3">
        <f t="shared" si="16"/>
        <v>3.7463976945244955E-2</v>
      </c>
      <c r="AC236" t="str">
        <f t="shared" si="14"/>
        <v xml:space="preserve"> Browsers</v>
      </c>
    </row>
    <row r="237" spans="1:29" x14ac:dyDescent="0.3">
      <c r="A237" s="6">
        <v>4641</v>
      </c>
      <c r="B237" s="7" t="s">
        <v>311</v>
      </c>
      <c r="C237" s="10">
        <v>45547</v>
      </c>
      <c r="D237" s="10">
        <v>45634</v>
      </c>
      <c r="E237" s="13">
        <v>15.99</v>
      </c>
      <c r="F237" s="6">
        <v>101</v>
      </c>
      <c r="G237" s="7" t="s">
        <v>100</v>
      </c>
      <c r="H237" s="6">
        <v>4</v>
      </c>
      <c r="I237" s="6">
        <v>6</v>
      </c>
      <c r="J237" s="7" t="b">
        <v>1</v>
      </c>
      <c r="K237" s="6">
        <v>350</v>
      </c>
      <c r="L237" s="6">
        <v>17</v>
      </c>
      <c r="M237" s="7" t="s">
        <v>68</v>
      </c>
      <c r="N237" s="7" t="s">
        <v>28</v>
      </c>
      <c r="O237" s="7" t="s">
        <v>45</v>
      </c>
      <c r="P237" s="6">
        <v>11</v>
      </c>
      <c r="Q237" s="11">
        <v>3.4</v>
      </c>
      <c r="R237" s="7" t="b">
        <v>1</v>
      </c>
      <c r="S237" s="7" t="s">
        <v>30</v>
      </c>
      <c r="T237" s="6">
        <v>2193</v>
      </c>
      <c r="U237" s="7" t="s">
        <v>76</v>
      </c>
      <c r="V237" s="12" t="s">
        <v>32</v>
      </c>
      <c r="W237" s="7" t="s">
        <v>93</v>
      </c>
      <c r="X237" s="6">
        <f t="shared" si="15"/>
        <v>87</v>
      </c>
      <c r="Y237" t="str" cm="1">
        <f t="array" ref="Y237">_xlfn.IFS(E237=7.99,"BASIC",E237=11.99,"STANDARD",E237=15.99,"PREMIUM")</f>
        <v>PREMIUM</v>
      </c>
      <c r="Z237" s="4">
        <f t="shared" si="13"/>
        <v>8.1264367816091951</v>
      </c>
      <c r="AA237" s="3" t="str" cm="1">
        <f t="array" ref="AA237">_xlfn.IFS(
(F237/(X237/7)) &lt; 5, "Casual",
AND((F237/(X237/7)) &gt;= 5, (F237/(X237/7)) &lt; 15), "Regular",
(F237/(X237/7)) &gt;= 15, "Power"
)</f>
        <v>Regular</v>
      </c>
      <c r="AB237" s="3">
        <f t="shared" si="16"/>
        <v>0.27520435967302453</v>
      </c>
      <c r="AC237" t="str">
        <f t="shared" si="14"/>
        <v>Viewers</v>
      </c>
    </row>
    <row r="238" spans="1:29" x14ac:dyDescent="0.3">
      <c r="A238" s="6">
        <v>3969</v>
      </c>
      <c r="B238" s="7" t="s">
        <v>329</v>
      </c>
      <c r="C238" s="10">
        <v>45069</v>
      </c>
      <c r="D238" s="10">
        <v>45638</v>
      </c>
      <c r="E238" s="13">
        <v>15.99</v>
      </c>
      <c r="F238" s="6">
        <v>461</v>
      </c>
      <c r="G238" s="7" t="s">
        <v>48</v>
      </c>
      <c r="H238" s="6">
        <v>2</v>
      </c>
      <c r="I238" s="6">
        <v>6</v>
      </c>
      <c r="J238" s="7" t="b">
        <v>1</v>
      </c>
      <c r="K238" s="6">
        <v>31</v>
      </c>
      <c r="L238" s="6">
        <v>173</v>
      </c>
      <c r="M238" s="7" t="s">
        <v>43</v>
      </c>
      <c r="N238" s="7" t="s">
        <v>28</v>
      </c>
      <c r="O238" s="7" t="s">
        <v>57</v>
      </c>
      <c r="P238" s="6">
        <v>84</v>
      </c>
      <c r="Q238" s="11">
        <v>3.5</v>
      </c>
      <c r="R238" s="7" t="b">
        <v>1</v>
      </c>
      <c r="S238" s="7" t="s">
        <v>30</v>
      </c>
      <c r="T238" s="6">
        <v>3730</v>
      </c>
      <c r="U238" s="7" t="s">
        <v>76</v>
      </c>
      <c r="V238" s="12" t="s">
        <v>39</v>
      </c>
      <c r="W238" s="7" t="s">
        <v>60</v>
      </c>
      <c r="X238" s="6">
        <f t="shared" si="15"/>
        <v>569</v>
      </c>
      <c r="Y238" t="str" cm="1">
        <f t="array" ref="Y238">_xlfn.IFS(E238=7.99,"BASIC",E238=11.99,"STANDARD",E238=15.99,"PREMIUM")</f>
        <v>PREMIUM</v>
      </c>
      <c r="Z238" s="4">
        <f t="shared" si="13"/>
        <v>5.6713532513181013</v>
      </c>
      <c r="AA238" s="3" t="str" cm="1">
        <f t="array" ref="AA238">_xlfn.IFS(
(F238/(X238/7)) &lt; 5, "Casual",
AND((F238/(X238/7)) &gt;= 5, (F238/(X238/7)) &lt; 15), "Regular",
(F238/(X238/7)) &gt;= 15, "Power"
)</f>
        <v>Regular</v>
      </c>
      <c r="AB238" s="3">
        <f t="shared" si="16"/>
        <v>2.2598039215686274</v>
      </c>
      <c r="AC238" t="str">
        <f t="shared" si="14"/>
        <v>Viewers</v>
      </c>
    </row>
    <row r="239" spans="1:29" x14ac:dyDescent="0.3">
      <c r="A239" s="6">
        <v>3078</v>
      </c>
      <c r="B239" s="7" t="s">
        <v>355</v>
      </c>
      <c r="C239" s="10">
        <v>45101</v>
      </c>
      <c r="D239" s="10">
        <v>45640</v>
      </c>
      <c r="E239" s="13">
        <v>7.99</v>
      </c>
      <c r="F239" s="6">
        <v>246</v>
      </c>
      <c r="G239" s="7" t="s">
        <v>26</v>
      </c>
      <c r="H239" s="6">
        <v>3</v>
      </c>
      <c r="I239" s="6">
        <v>3</v>
      </c>
      <c r="J239" s="7" t="b">
        <v>0</v>
      </c>
      <c r="K239" s="6">
        <v>358</v>
      </c>
      <c r="L239" s="6">
        <v>158</v>
      </c>
      <c r="M239" s="7" t="s">
        <v>74</v>
      </c>
      <c r="N239" s="7" t="s">
        <v>56</v>
      </c>
      <c r="O239" s="7" t="s">
        <v>29</v>
      </c>
      <c r="P239" s="6">
        <v>18</v>
      </c>
      <c r="Q239" s="11">
        <v>3.8</v>
      </c>
      <c r="R239" s="7" t="b">
        <v>0</v>
      </c>
      <c r="S239" s="7" t="s">
        <v>30</v>
      </c>
      <c r="T239" s="6">
        <v>2234</v>
      </c>
      <c r="U239" s="7" t="s">
        <v>58</v>
      </c>
      <c r="V239" s="12" t="s">
        <v>59</v>
      </c>
      <c r="W239" s="7" t="s">
        <v>93</v>
      </c>
      <c r="X239" s="6">
        <f t="shared" si="15"/>
        <v>539</v>
      </c>
      <c r="Y239" t="str" cm="1">
        <f t="array" ref="Y239">_xlfn.IFS(E239=7.99,"BASIC",E239=11.99,"STANDARD",E239=15.99,"PREMIUM")</f>
        <v>BASIC</v>
      </c>
      <c r="Z239" s="4">
        <f t="shared" si="13"/>
        <v>3.1948051948051948</v>
      </c>
      <c r="AA239" s="3" t="str" cm="1">
        <f t="array" ref="AA239">_xlfn.IFS(
(F239/(X239/7)) &lt; 5, "Casual",
AND((F239/(X239/7)) &gt;= 5, (F239/(X239/7)) &lt; 15), "Regular",
(F239/(X239/7)) &gt;= 15, "Power"
)</f>
        <v>Casual</v>
      </c>
      <c r="AB239" s="3">
        <f t="shared" si="16"/>
        <v>0.47674418604651164</v>
      </c>
      <c r="AC239" t="str">
        <f t="shared" si="14"/>
        <v>Viewers</v>
      </c>
    </row>
    <row r="240" spans="1:29" x14ac:dyDescent="0.3">
      <c r="A240" s="6">
        <v>2808</v>
      </c>
      <c r="B240" s="7" t="s">
        <v>177</v>
      </c>
      <c r="C240" s="10">
        <v>45242</v>
      </c>
      <c r="D240" s="10">
        <v>45640</v>
      </c>
      <c r="E240" s="13">
        <v>15.99</v>
      </c>
      <c r="F240" s="6">
        <v>91</v>
      </c>
      <c r="G240" s="7" t="s">
        <v>63</v>
      </c>
      <c r="H240" s="6">
        <v>3</v>
      </c>
      <c r="I240" s="6">
        <v>6</v>
      </c>
      <c r="J240" s="7" t="b">
        <v>0</v>
      </c>
      <c r="K240" s="6">
        <v>961</v>
      </c>
      <c r="L240" s="6">
        <v>170</v>
      </c>
      <c r="M240" s="7" t="s">
        <v>27</v>
      </c>
      <c r="N240" s="7" t="s">
        <v>28</v>
      </c>
      <c r="O240" s="7" t="s">
        <v>45</v>
      </c>
      <c r="P240" s="6">
        <v>87</v>
      </c>
      <c r="Q240" s="11">
        <v>4.2</v>
      </c>
      <c r="R240" s="7" t="b">
        <v>0</v>
      </c>
      <c r="S240" s="7" t="s">
        <v>30</v>
      </c>
      <c r="T240" s="6">
        <v>718</v>
      </c>
      <c r="U240" s="7" t="s">
        <v>58</v>
      </c>
      <c r="V240" s="12" t="s">
        <v>39</v>
      </c>
      <c r="W240" s="7" t="s">
        <v>93</v>
      </c>
      <c r="X240" s="6">
        <f t="shared" si="15"/>
        <v>398</v>
      </c>
      <c r="Y240" t="str" cm="1">
        <f t="array" ref="Y240">_xlfn.IFS(E240=7.99,"BASIC",E240=11.99,"STANDARD",E240=15.99,"PREMIUM")</f>
        <v>PREMIUM</v>
      </c>
      <c r="Z240" s="4">
        <f t="shared" si="13"/>
        <v>1.6005025125628141</v>
      </c>
      <c r="AA240" s="3" t="str" cm="1">
        <f t="array" ref="AA240">_xlfn.IFS(
(F240/(X240/7)) &lt; 5, "Casual",
AND((F240/(X240/7)) &gt;= 5, (F240/(X240/7)) &lt; 15), "Regular",
(F240/(X240/7)) &gt;= 15, "Power"
)</f>
        <v>Casual</v>
      </c>
      <c r="AB240" s="3">
        <f t="shared" si="16"/>
        <v>8.0459770114942528E-2</v>
      </c>
      <c r="AC240" t="str">
        <f t="shared" si="14"/>
        <v xml:space="preserve"> Browsers</v>
      </c>
    </row>
    <row r="241" spans="1:30" x14ac:dyDescent="0.3">
      <c r="A241" s="6">
        <v>7484</v>
      </c>
      <c r="B241" s="7" t="s">
        <v>340</v>
      </c>
      <c r="C241" s="10">
        <f>_xlfn.XLOOKUP(A241,'Data Anomalies -Pls Read It'!A:A,'Data Anomalies -Pls Read It'!D:D,1,0)</f>
        <v>45617</v>
      </c>
      <c r="D241" s="10">
        <f>_xlfn.XLOOKUP(A241,'Data Anomalies -Pls Read It'!A:A,'Data Anomalies -Pls Read It'!C:C,1,0)</f>
        <v>45634</v>
      </c>
      <c r="E241" s="13">
        <v>11.99</v>
      </c>
      <c r="F241" s="6">
        <v>152</v>
      </c>
      <c r="G241" s="7" t="s">
        <v>100</v>
      </c>
      <c r="H241" s="6">
        <v>5</v>
      </c>
      <c r="I241" s="6">
        <v>1</v>
      </c>
      <c r="J241" s="7" t="b">
        <v>0</v>
      </c>
      <c r="K241" s="6">
        <v>623</v>
      </c>
      <c r="L241" s="6">
        <v>180</v>
      </c>
      <c r="M241" s="7" t="s">
        <v>43</v>
      </c>
      <c r="N241" s="7" t="s">
        <v>75</v>
      </c>
      <c r="O241" s="7" t="s">
        <v>78</v>
      </c>
      <c r="P241" s="6">
        <v>89</v>
      </c>
      <c r="Q241" s="11">
        <v>4.5</v>
      </c>
      <c r="R241" s="7" t="b">
        <v>1</v>
      </c>
      <c r="S241" s="7" t="s">
        <v>30</v>
      </c>
      <c r="T241" s="6">
        <v>1594</v>
      </c>
      <c r="U241" s="7" t="s">
        <v>31</v>
      </c>
      <c r="V241" s="12" t="s">
        <v>39</v>
      </c>
      <c r="W241" s="7" t="s">
        <v>33</v>
      </c>
      <c r="X241" s="6">
        <f t="shared" si="15"/>
        <v>17</v>
      </c>
      <c r="Y241" t="str" cm="1">
        <f t="array" ref="Y241">_xlfn.IFS(E241=7.99,"BASIC",E241=11.99,"STANDARD",E241=15.99,"PREMIUM")</f>
        <v>STANDARD</v>
      </c>
      <c r="Z241" s="4">
        <f t="shared" si="13"/>
        <v>62.588235294117652</v>
      </c>
      <c r="AA241" s="3" t="str" cm="1">
        <f t="array" ref="AA241">_xlfn.IFS(
(F241/(X241/7)) &lt; 5, "Casual",
AND((F241/(X241/7)) &gt;= 5, (F241/(X241/7)) &lt; 15), "Regular",
(F241/(X241/7)) &gt;= 15, "Power"
)</f>
        <v>Power</v>
      </c>
      <c r="AB241" s="3">
        <f t="shared" si="16"/>
        <v>0.18929016189290163</v>
      </c>
      <c r="AC241" t="str">
        <f t="shared" si="14"/>
        <v>Viewers</v>
      </c>
      <c r="AD241" t="s">
        <v>779</v>
      </c>
    </row>
    <row r="242" spans="1:30" x14ac:dyDescent="0.3">
      <c r="A242" s="6">
        <v>2396</v>
      </c>
      <c r="B242" s="7" t="s">
        <v>272</v>
      </c>
      <c r="C242" s="10">
        <v>45262</v>
      </c>
      <c r="D242" s="10">
        <v>45621</v>
      </c>
      <c r="E242" s="13">
        <v>11.99</v>
      </c>
      <c r="F242" s="6">
        <v>283</v>
      </c>
      <c r="G242" s="7" t="s">
        <v>26</v>
      </c>
      <c r="H242" s="6">
        <v>3</v>
      </c>
      <c r="I242" s="6">
        <v>5</v>
      </c>
      <c r="J242" s="7" t="b">
        <v>0</v>
      </c>
      <c r="K242" s="6">
        <v>466</v>
      </c>
      <c r="L242" s="6">
        <v>139</v>
      </c>
      <c r="M242" s="7" t="s">
        <v>49</v>
      </c>
      <c r="N242" s="7" t="s">
        <v>28</v>
      </c>
      <c r="O242" s="7" t="s">
        <v>29</v>
      </c>
      <c r="P242" s="6">
        <v>62</v>
      </c>
      <c r="Q242" s="11">
        <v>4</v>
      </c>
      <c r="R242" s="7" t="b">
        <v>1</v>
      </c>
      <c r="S242" s="7" t="s">
        <v>30</v>
      </c>
      <c r="T242" s="6">
        <v>681</v>
      </c>
      <c r="U242" s="7" t="s">
        <v>65</v>
      </c>
      <c r="V242" s="12" t="s">
        <v>32</v>
      </c>
      <c r="W242" s="7" t="s">
        <v>40</v>
      </c>
      <c r="X242" s="6">
        <f t="shared" si="15"/>
        <v>359</v>
      </c>
      <c r="Y242" t="str" cm="1">
        <f t="array" ref="Y242">_xlfn.IFS(E242=7.99,"BASIC",E242=11.99,"STANDARD",E242=15.99,"PREMIUM")</f>
        <v>STANDARD</v>
      </c>
      <c r="Z242" s="4">
        <f t="shared" si="13"/>
        <v>5.5181058495821729</v>
      </c>
      <c r="AA242" s="3" t="str" cm="1">
        <f t="array" ref="AA242">_xlfn.IFS(
(F242/(X242/7)) &lt; 5, "Casual",
AND((F242/(X242/7)) &gt;= 5, (F242/(X242/7)) &lt; 15), "Regular",
(F242/(X242/7)) &gt;= 15, "Power"
)</f>
        <v>Regular</v>
      </c>
      <c r="AB242" s="3">
        <f t="shared" si="16"/>
        <v>0.46776859504132229</v>
      </c>
      <c r="AC242" t="str">
        <f t="shared" si="14"/>
        <v>Viewers</v>
      </c>
    </row>
    <row r="243" spans="1:30" x14ac:dyDescent="0.3">
      <c r="A243" s="6">
        <v>2472</v>
      </c>
      <c r="B243" s="7" t="s">
        <v>325</v>
      </c>
      <c r="C243" s="10">
        <v>45248</v>
      </c>
      <c r="D243" s="10">
        <v>45621</v>
      </c>
      <c r="E243" s="13">
        <v>7.99</v>
      </c>
      <c r="F243" s="6">
        <v>61</v>
      </c>
      <c r="G243" s="7" t="s">
        <v>73</v>
      </c>
      <c r="H243" s="6">
        <v>3</v>
      </c>
      <c r="I243" s="6">
        <v>4</v>
      </c>
      <c r="J243" s="7" t="b">
        <v>0</v>
      </c>
      <c r="K243" s="6">
        <v>860</v>
      </c>
      <c r="L243" s="6">
        <v>145</v>
      </c>
      <c r="M243" s="7" t="s">
        <v>55</v>
      </c>
      <c r="N243" s="7" t="s">
        <v>44</v>
      </c>
      <c r="O243" s="7" t="s">
        <v>57</v>
      </c>
      <c r="P243" s="6">
        <v>82</v>
      </c>
      <c r="Q243" s="11">
        <v>4.7</v>
      </c>
      <c r="R243" s="7" t="b">
        <v>1</v>
      </c>
      <c r="S243" s="7" t="s">
        <v>30</v>
      </c>
      <c r="T243" s="6">
        <v>428</v>
      </c>
      <c r="U243" s="7" t="s">
        <v>76</v>
      </c>
      <c r="V243" s="12" t="s">
        <v>79</v>
      </c>
      <c r="W243" s="7" t="s">
        <v>33</v>
      </c>
      <c r="X243" s="6">
        <f t="shared" si="15"/>
        <v>373</v>
      </c>
      <c r="Y243" t="str" cm="1">
        <f t="array" ref="Y243">_xlfn.IFS(E243=7.99,"BASIC",E243=11.99,"STANDARD",E243=15.99,"PREMIUM")</f>
        <v>BASIC</v>
      </c>
      <c r="Z243" s="4">
        <f t="shared" si="13"/>
        <v>1.1447721179624666</v>
      </c>
      <c r="AA243" s="3" t="str" cm="1">
        <f t="array" ref="AA243">_xlfn.IFS(
(F243/(X243/7)) &lt; 5, "Casual",
AND((F243/(X243/7)) &gt;= 5, (F243/(X243/7)) &lt; 15), "Regular",
(F243/(X243/7)) &gt;= 15, "Power"
)</f>
        <v>Casual</v>
      </c>
      <c r="AB243" s="3">
        <f t="shared" si="16"/>
        <v>6.0696517412935323E-2</v>
      </c>
      <c r="AC243" t="str">
        <f t="shared" si="14"/>
        <v xml:space="preserve"> Browsers</v>
      </c>
    </row>
    <row r="244" spans="1:30" x14ac:dyDescent="0.3">
      <c r="A244" s="6">
        <v>7939</v>
      </c>
      <c r="B244" s="7" t="s">
        <v>357</v>
      </c>
      <c r="C244" s="10">
        <v>45177</v>
      </c>
      <c r="D244" s="10">
        <v>45621</v>
      </c>
      <c r="E244" s="13">
        <v>11.99</v>
      </c>
      <c r="F244" s="6">
        <v>410</v>
      </c>
      <c r="G244" s="7" t="s">
        <v>73</v>
      </c>
      <c r="H244" s="6">
        <v>5</v>
      </c>
      <c r="I244" s="6">
        <v>6</v>
      </c>
      <c r="J244" s="7" t="b">
        <v>0</v>
      </c>
      <c r="K244" s="6">
        <v>410</v>
      </c>
      <c r="L244" s="6">
        <v>125</v>
      </c>
      <c r="M244" s="7" t="s">
        <v>92</v>
      </c>
      <c r="N244" s="7" t="s">
        <v>28</v>
      </c>
      <c r="O244" s="7" t="s">
        <v>37</v>
      </c>
      <c r="P244" s="6">
        <v>68</v>
      </c>
      <c r="Q244" s="11">
        <v>4.7</v>
      </c>
      <c r="R244" s="7" t="b">
        <v>0</v>
      </c>
      <c r="S244" s="7" t="s">
        <v>30</v>
      </c>
      <c r="T244" s="6">
        <v>2542</v>
      </c>
      <c r="U244" s="7" t="s">
        <v>38</v>
      </c>
      <c r="V244" s="12" t="s">
        <v>39</v>
      </c>
      <c r="W244" s="7" t="s">
        <v>60</v>
      </c>
      <c r="X244" s="6">
        <f t="shared" si="15"/>
        <v>444</v>
      </c>
      <c r="Y244" t="str" cm="1">
        <f t="array" ref="Y244">_xlfn.IFS(E244=7.99,"BASIC",E244=11.99,"STANDARD",E244=15.99,"PREMIUM")</f>
        <v>STANDARD</v>
      </c>
      <c r="Z244" s="4">
        <f t="shared" si="13"/>
        <v>6.4639639639639634</v>
      </c>
      <c r="AA244" s="3" t="str" cm="1">
        <f t="array" ref="AA244">_xlfn.IFS(
(F244/(X244/7)) &lt; 5, "Casual",
AND((F244/(X244/7)) &gt;= 5, (F244/(X244/7)) &lt; 15), "Regular",
(F244/(X244/7)) &gt;= 15, "Power"
)</f>
        <v>Regular</v>
      </c>
      <c r="AB244" s="3">
        <f t="shared" si="16"/>
        <v>0.76635514018691586</v>
      </c>
      <c r="AC244" t="str">
        <f t="shared" si="14"/>
        <v>Viewers</v>
      </c>
    </row>
    <row r="245" spans="1:30" x14ac:dyDescent="0.3">
      <c r="A245" s="6">
        <v>8269</v>
      </c>
      <c r="B245" s="7" t="s">
        <v>88</v>
      </c>
      <c r="C245" s="10">
        <v>45348</v>
      </c>
      <c r="D245" s="10">
        <v>45643</v>
      </c>
      <c r="E245" s="13">
        <v>7.99</v>
      </c>
      <c r="F245" s="6">
        <v>88</v>
      </c>
      <c r="G245" s="7" t="s">
        <v>26</v>
      </c>
      <c r="H245" s="6">
        <v>3</v>
      </c>
      <c r="I245" s="6">
        <v>1</v>
      </c>
      <c r="J245" s="7" t="b">
        <v>0</v>
      </c>
      <c r="K245" s="6">
        <v>69</v>
      </c>
      <c r="L245" s="6">
        <v>75</v>
      </c>
      <c r="M245" s="7" t="s">
        <v>55</v>
      </c>
      <c r="N245" s="7" t="s">
        <v>56</v>
      </c>
      <c r="O245" s="7" t="s">
        <v>37</v>
      </c>
      <c r="P245" s="6">
        <v>80</v>
      </c>
      <c r="Q245" s="11">
        <v>4.0999999999999996</v>
      </c>
      <c r="R245" s="7" t="b">
        <v>0</v>
      </c>
      <c r="S245" s="7" t="s">
        <v>30</v>
      </c>
      <c r="T245" s="6">
        <v>4763</v>
      </c>
      <c r="U245" s="7" t="s">
        <v>58</v>
      </c>
      <c r="V245" s="12" t="s">
        <v>79</v>
      </c>
      <c r="W245" s="7" t="s">
        <v>40</v>
      </c>
      <c r="X245" s="6">
        <f t="shared" si="15"/>
        <v>295</v>
      </c>
      <c r="Y245" t="str" cm="1">
        <f t="array" ref="Y245">_xlfn.IFS(E245=7.99,"BASIC",E245=11.99,"STANDARD",E245=15.99,"PREMIUM")</f>
        <v>BASIC</v>
      </c>
      <c r="Z245" s="4">
        <f t="shared" si="13"/>
        <v>2.0881355932203389</v>
      </c>
      <c r="AA245" s="3" t="str" cm="1">
        <f t="array" ref="AA245">_xlfn.IFS(
(F245/(X245/7)) &lt; 5, "Casual",
AND((F245/(X245/7)) &gt;= 5, (F245/(X245/7)) &lt; 15), "Regular",
(F245/(X245/7)) &gt;= 15, "Power"
)</f>
        <v>Casual</v>
      </c>
      <c r="AB245" s="3">
        <f t="shared" si="16"/>
        <v>0.61111111111111116</v>
      </c>
      <c r="AC245" t="str">
        <f t="shared" si="14"/>
        <v>Viewers</v>
      </c>
    </row>
    <row r="246" spans="1:30" x14ac:dyDescent="0.3">
      <c r="A246" s="6">
        <v>9073</v>
      </c>
      <c r="B246" s="7" t="s">
        <v>104</v>
      </c>
      <c r="C246" s="10">
        <v>45118</v>
      </c>
      <c r="D246" s="10">
        <v>45635</v>
      </c>
      <c r="E246" s="13">
        <v>15.99</v>
      </c>
      <c r="F246" s="6">
        <v>322</v>
      </c>
      <c r="G246" s="7" t="s">
        <v>51</v>
      </c>
      <c r="H246" s="6">
        <v>3</v>
      </c>
      <c r="I246" s="6">
        <v>4</v>
      </c>
      <c r="J246" s="7" t="b">
        <v>1</v>
      </c>
      <c r="K246" s="6">
        <v>424</v>
      </c>
      <c r="L246" s="6">
        <v>74</v>
      </c>
      <c r="M246" s="7" t="s">
        <v>68</v>
      </c>
      <c r="N246" s="7" t="s">
        <v>56</v>
      </c>
      <c r="O246" s="7" t="s">
        <v>78</v>
      </c>
      <c r="P246" s="6">
        <v>3</v>
      </c>
      <c r="Q246" s="11">
        <v>3</v>
      </c>
      <c r="R246" s="7" t="b">
        <v>0</v>
      </c>
      <c r="S246" s="7" t="s">
        <v>30</v>
      </c>
      <c r="T246" s="6">
        <v>486</v>
      </c>
      <c r="U246" s="7" t="s">
        <v>76</v>
      </c>
      <c r="V246" s="12" t="s">
        <v>69</v>
      </c>
      <c r="W246" s="7" t="s">
        <v>40</v>
      </c>
      <c r="X246" s="6">
        <f t="shared" si="15"/>
        <v>517</v>
      </c>
      <c r="Y246" t="str" cm="1">
        <f t="array" ref="Y246">_xlfn.IFS(E246=7.99,"BASIC",E246=11.99,"STANDARD",E246=15.99,"PREMIUM")</f>
        <v>PREMIUM</v>
      </c>
      <c r="Z246" s="4">
        <f t="shared" si="13"/>
        <v>4.3597678916827851</v>
      </c>
      <c r="AA246" s="3" t="str" cm="1">
        <f t="array" ref="AA246">_xlfn.IFS(
(F246/(X246/7)) &lt; 5, "Casual",
AND((F246/(X246/7)) &gt;= 5, (F246/(X246/7)) &lt; 15), "Regular",
(F246/(X246/7)) &gt;= 15, "Power"
)</f>
        <v>Casual</v>
      </c>
      <c r="AB246" s="3">
        <f t="shared" si="16"/>
        <v>0.64658634538152615</v>
      </c>
      <c r="AC246" t="str">
        <f t="shared" si="14"/>
        <v>Viewers</v>
      </c>
    </row>
    <row r="247" spans="1:30" x14ac:dyDescent="0.3">
      <c r="A247" s="6">
        <v>9879</v>
      </c>
      <c r="B247" s="7" t="s">
        <v>143</v>
      </c>
      <c r="C247" s="10">
        <v>44959</v>
      </c>
      <c r="D247" s="10">
        <v>45630</v>
      </c>
      <c r="E247" s="13">
        <v>7.99</v>
      </c>
      <c r="F247" s="6">
        <v>217</v>
      </c>
      <c r="G247" s="7" t="s">
        <v>63</v>
      </c>
      <c r="H247" s="6">
        <v>3</v>
      </c>
      <c r="I247" s="6">
        <v>3</v>
      </c>
      <c r="J247" s="7" t="b">
        <v>0</v>
      </c>
      <c r="K247" s="6">
        <v>377</v>
      </c>
      <c r="L247" s="6">
        <v>136</v>
      </c>
      <c r="M247" s="7" t="s">
        <v>43</v>
      </c>
      <c r="N247" s="7" t="s">
        <v>28</v>
      </c>
      <c r="O247" s="7" t="s">
        <v>45</v>
      </c>
      <c r="P247" s="6">
        <v>8</v>
      </c>
      <c r="Q247" s="11">
        <v>4.2</v>
      </c>
      <c r="R247" s="7" t="b">
        <v>1</v>
      </c>
      <c r="S247" s="7" t="s">
        <v>30</v>
      </c>
      <c r="T247" s="6">
        <v>4327</v>
      </c>
      <c r="U247" s="7" t="s">
        <v>76</v>
      </c>
      <c r="V247" s="12" t="s">
        <v>39</v>
      </c>
      <c r="W247" s="7" t="s">
        <v>33</v>
      </c>
      <c r="X247" s="6">
        <f t="shared" si="15"/>
        <v>671</v>
      </c>
      <c r="Y247" t="str" cm="1">
        <f t="array" ref="Y247">_xlfn.IFS(E247=7.99,"BASIC",E247=11.99,"STANDARD",E247=15.99,"PREMIUM")</f>
        <v>BASIC</v>
      </c>
      <c r="Z247" s="4">
        <f t="shared" si="13"/>
        <v>2.2637853949329356</v>
      </c>
      <c r="AA247" s="3" t="str" cm="1">
        <f t="array" ref="AA247">_xlfn.IFS(
(F247/(X247/7)) &lt; 5, "Casual",
AND((F247/(X247/7)) &gt;= 5, (F247/(X247/7)) &lt; 15), "Regular",
(F247/(X247/7)) &gt;= 15, "Power"
)</f>
        <v>Casual</v>
      </c>
      <c r="AB247" s="3">
        <f t="shared" si="16"/>
        <v>0.42300194931773877</v>
      </c>
      <c r="AC247" t="str">
        <f t="shared" si="14"/>
        <v>Viewers</v>
      </c>
    </row>
    <row r="248" spans="1:30" x14ac:dyDescent="0.3">
      <c r="A248" s="6">
        <v>3822</v>
      </c>
      <c r="B248" s="7" t="s">
        <v>359</v>
      </c>
      <c r="C248" s="10">
        <v>45141</v>
      </c>
      <c r="D248" s="10">
        <v>45630</v>
      </c>
      <c r="E248" s="13">
        <v>15.99</v>
      </c>
      <c r="F248" s="6">
        <v>180</v>
      </c>
      <c r="G248" s="7" t="s">
        <v>26</v>
      </c>
      <c r="H248" s="6">
        <v>3</v>
      </c>
      <c r="I248" s="6">
        <v>4</v>
      </c>
      <c r="J248" s="7" t="b">
        <v>0</v>
      </c>
      <c r="K248" s="6">
        <v>132</v>
      </c>
      <c r="L248" s="6">
        <v>127</v>
      </c>
      <c r="M248" s="7" t="s">
        <v>27</v>
      </c>
      <c r="N248" s="7" t="s">
        <v>56</v>
      </c>
      <c r="O248" s="7" t="s">
        <v>64</v>
      </c>
      <c r="P248" s="6">
        <v>79</v>
      </c>
      <c r="Q248" s="11">
        <v>4.8</v>
      </c>
      <c r="R248" s="7" t="b">
        <v>1</v>
      </c>
      <c r="S248" s="7" t="s">
        <v>30</v>
      </c>
      <c r="T248" s="6">
        <v>2938</v>
      </c>
      <c r="U248" s="7" t="s">
        <v>31</v>
      </c>
      <c r="V248" s="12" t="s">
        <v>32</v>
      </c>
      <c r="W248" s="7" t="s">
        <v>93</v>
      </c>
      <c r="X248" s="6">
        <f t="shared" si="15"/>
        <v>489</v>
      </c>
      <c r="Y248" t="str" cm="1">
        <f t="array" ref="Y248">_xlfn.IFS(E248=7.99,"BASIC",E248=11.99,"STANDARD",E248=15.99,"PREMIUM")</f>
        <v>PREMIUM</v>
      </c>
      <c r="Z248" s="4">
        <f t="shared" si="13"/>
        <v>2.576687116564417</v>
      </c>
      <c r="AA248" s="3" t="str" cm="1">
        <f t="array" ref="AA248">_xlfn.IFS(
(F248/(X248/7)) &lt; 5, "Casual",
AND((F248/(X248/7)) &gt;= 5, (F248/(X248/7)) &lt; 15), "Regular",
(F248/(X248/7)) &gt;= 15, "Power"
)</f>
        <v>Casual</v>
      </c>
      <c r="AB248" s="3">
        <f t="shared" si="16"/>
        <v>0.69498069498069504</v>
      </c>
      <c r="AC248" t="str">
        <f t="shared" si="14"/>
        <v>Viewers</v>
      </c>
    </row>
    <row r="249" spans="1:30" x14ac:dyDescent="0.3">
      <c r="A249" s="6">
        <v>9183</v>
      </c>
      <c r="B249" s="7" t="s">
        <v>101</v>
      </c>
      <c r="C249" s="10">
        <v>45042</v>
      </c>
      <c r="D249" s="10">
        <v>45635</v>
      </c>
      <c r="E249" s="13">
        <v>15.99</v>
      </c>
      <c r="F249" s="6">
        <v>11</v>
      </c>
      <c r="G249" s="7" t="s">
        <v>48</v>
      </c>
      <c r="H249" s="6">
        <v>1</v>
      </c>
      <c r="I249" s="6">
        <v>1</v>
      </c>
      <c r="J249" s="7" t="b">
        <v>0</v>
      </c>
      <c r="K249" s="6">
        <v>818</v>
      </c>
      <c r="L249" s="6">
        <v>45</v>
      </c>
      <c r="M249" s="7" t="s">
        <v>74</v>
      </c>
      <c r="N249" s="7" t="s">
        <v>28</v>
      </c>
      <c r="O249" s="7" t="s">
        <v>57</v>
      </c>
      <c r="P249" s="6">
        <v>97</v>
      </c>
      <c r="Q249" s="11">
        <v>4.9000000000000004</v>
      </c>
      <c r="R249" s="7" t="b">
        <v>0</v>
      </c>
      <c r="S249" s="7" t="s">
        <v>30</v>
      </c>
      <c r="T249" s="6">
        <v>1429</v>
      </c>
      <c r="U249" s="7" t="s">
        <v>38</v>
      </c>
      <c r="V249" s="12" t="s">
        <v>59</v>
      </c>
      <c r="W249" s="7" t="s">
        <v>93</v>
      </c>
      <c r="X249" s="6">
        <f t="shared" si="15"/>
        <v>593</v>
      </c>
      <c r="Y249" t="str" cm="1">
        <f t="array" ref="Y249">_xlfn.IFS(E249=7.99,"BASIC",E249=11.99,"STANDARD",E249=15.99,"PREMIUM")</f>
        <v>PREMIUM</v>
      </c>
      <c r="Z249" s="4">
        <f t="shared" si="13"/>
        <v>0.12984822934232715</v>
      </c>
      <c r="AA249" s="3" t="str" cm="1">
        <f t="array" ref="AA249">_xlfn.IFS(
(F249/(X249/7)) &lt; 5, "Casual",
AND((F249/(X249/7)) &gt;= 5, (F249/(X249/7)) &lt; 15), "Regular",
(F249/(X249/7)) &gt;= 15, "Power"
)</f>
        <v>Casual</v>
      </c>
      <c r="AB249" s="3">
        <f t="shared" si="16"/>
        <v>1.2746234067207415E-2</v>
      </c>
      <c r="AC249" t="str">
        <f t="shared" si="14"/>
        <v xml:space="preserve"> Browsers</v>
      </c>
    </row>
    <row r="250" spans="1:30" x14ac:dyDescent="0.3">
      <c r="A250" s="6">
        <v>8674</v>
      </c>
      <c r="B250" s="7" t="s">
        <v>360</v>
      </c>
      <c r="C250" s="10">
        <v>44927</v>
      </c>
      <c r="D250" s="10">
        <v>45616</v>
      </c>
      <c r="E250" s="13">
        <v>15.99</v>
      </c>
      <c r="F250" s="6">
        <v>455</v>
      </c>
      <c r="G250" s="7" t="s">
        <v>73</v>
      </c>
      <c r="H250" s="6">
        <v>5</v>
      </c>
      <c r="I250" s="6">
        <v>6</v>
      </c>
      <c r="J250" s="7" t="b">
        <v>1</v>
      </c>
      <c r="K250" s="6">
        <v>813</v>
      </c>
      <c r="L250" s="6">
        <v>155</v>
      </c>
      <c r="M250" s="7" t="s">
        <v>43</v>
      </c>
      <c r="N250" s="7" t="s">
        <v>75</v>
      </c>
      <c r="O250" s="7" t="s">
        <v>78</v>
      </c>
      <c r="P250" s="6">
        <v>85</v>
      </c>
      <c r="Q250" s="11">
        <v>3.6</v>
      </c>
      <c r="R250" s="7" t="b">
        <v>1</v>
      </c>
      <c r="S250" s="7" t="s">
        <v>30</v>
      </c>
      <c r="T250" s="6">
        <v>2897</v>
      </c>
      <c r="U250" s="7" t="s">
        <v>58</v>
      </c>
      <c r="V250" s="12" t="s">
        <v>39</v>
      </c>
      <c r="W250" s="7" t="s">
        <v>60</v>
      </c>
      <c r="X250" s="6">
        <f t="shared" si="15"/>
        <v>689</v>
      </c>
      <c r="Y250" t="str" cm="1">
        <f t="array" ref="Y250">_xlfn.IFS(E250=7.99,"BASIC",E250=11.99,"STANDARD",E250=15.99,"PREMIUM")</f>
        <v>PREMIUM</v>
      </c>
      <c r="Z250" s="4">
        <f t="shared" si="13"/>
        <v>4.6226415094339623</v>
      </c>
      <c r="AA250" s="3" t="str" cm="1">
        <f t="array" ref="AA250">_xlfn.IFS(
(F250/(X250/7)) &lt; 5, "Casual",
AND((F250/(X250/7)) &gt;= 5, (F250/(X250/7)) &lt; 15), "Regular",
(F250/(X250/7)) &gt;= 15, "Power"
)</f>
        <v>Casual</v>
      </c>
      <c r="AB250" s="3">
        <f t="shared" si="16"/>
        <v>0.4700413223140496</v>
      </c>
      <c r="AC250" t="str">
        <f t="shared" si="14"/>
        <v>Viewers</v>
      </c>
    </row>
    <row r="251" spans="1:30" x14ac:dyDescent="0.3">
      <c r="A251" s="6">
        <v>2481</v>
      </c>
      <c r="B251" s="7" t="s">
        <v>361</v>
      </c>
      <c r="C251" s="10">
        <v>45374</v>
      </c>
      <c r="D251" s="10">
        <v>45616</v>
      </c>
      <c r="E251" s="13">
        <v>7.99</v>
      </c>
      <c r="F251" s="6">
        <v>487</v>
      </c>
      <c r="G251" s="7" t="s">
        <v>100</v>
      </c>
      <c r="H251" s="6">
        <v>2</v>
      </c>
      <c r="I251" s="6">
        <v>6</v>
      </c>
      <c r="J251" s="7" t="b">
        <v>0</v>
      </c>
      <c r="K251" s="6">
        <v>362</v>
      </c>
      <c r="L251" s="6">
        <v>130</v>
      </c>
      <c r="M251" s="7" t="s">
        <v>92</v>
      </c>
      <c r="N251" s="7" t="s">
        <v>75</v>
      </c>
      <c r="O251" s="7" t="s">
        <v>64</v>
      </c>
      <c r="P251" s="6">
        <v>36</v>
      </c>
      <c r="Q251" s="11">
        <v>3.3</v>
      </c>
      <c r="R251" s="7" t="b">
        <v>1</v>
      </c>
      <c r="S251" s="7" t="s">
        <v>30</v>
      </c>
      <c r="T251" s="6">
        <v>274</v>
      </c>
      <c r="U251" s="7" t="s">
        <v>58</v>
      </c>
      <c r="V251" s="12" t="s">
        <v>69</v>
      </c>
      <c r="W251" s="7" t="s">
        <v>60</v>
      </c>
      <c r="X251" s="6">
        <f t="shared" si="15"/>
        <v>242</v>
      </c>
      <c r="Y251" t="str" cm="1">
        <f t="array" ref="Y251">_xlfn.IFS(E251=7.99,"BASIC",E251=11.99,"STANDARD",E251=15.99,"PREMIUM")</f>
        <v>BASIC</v>
      </c>
      <c r="Z251" s="4">
        <f t="shared" si="13"/>
        <v>14.086776859504132</v>
      </c>
      <c r="AA251" s="3" t="str" cm="1">
        <f t="array" ref="AA251">_xlfn.IFS(
(F251/(X251/7)) &lt; 5, "Casual",
AND((F251/(X251/7)) &gt;= 5, (F251/(X251/7)) &lt; 15), "Regular",
(F251/(X251/7)) &gt;= 15, "Power"
)</f>
        <v>Regular</v>
      </c>
      <c r="AB251" s="3">
        <f t="shared" si="16"/>
        <v>0.98983739837398377</v>
      </c>
      <c r="AC251" t="str">
        <f t="shared" si="14"/>
        <v>Viewers</v>
      </c>
    </row>
    <row r="252" spans="1:30" x14ac:dyDescent="0.3">
      <c r="A252" s="6">
        <v>8729</v>
      </c>
      <c r="B252" s="7" t="s">
        <v>363</v>
      </c>
      <c r="C252" s="10">
        <v>45300</v>
      </c>
      <c r="D252" s="10">
        <v>45639</v>
      </c>
      <c r="E252" s="13">
        <v>7.99</v>
      </c>
      <c r="F252" s="6">
        <v>459</v>
      </c>
      <c r="G252" s="7" t="s">
        <v>51</v>
      </c>
      <c r="H252" s="6">
        <v>2</v>
      </c>
      <c r="I252" s="6">
        <v>4</v>
      </c>
      <c r="J252" s="7" t="b">
        <v>0</v>
      </c>
      <c r="K252" s="6">
        <v>573</v>
      </c>
      <c r="L252" s="6">
        <v>190</v>
      </c>
      <c r="M252" s="7" t="s">
        <v>68</v>
      </c>
      <c r="N252" s="7" t="s">
        <v>28</v>
      </c>
      <c r="O252" s="7" t="s">
        <v>57</v>
      </c>
      <c r="P252" s="6">
        <v>81</v>
      </c>
      <c r="Q252" s="11">
        <v>4.3</v>
      </c>
      <c r="R252" s="7" t="b">
        <v>0</v>
      </c>
      <c r="S252" s="7" t="s">
        <v>30</v>
      </c>
      <c r="T252" s="6">
        <v>3910</v>
      </c>
      <c r="U252" s="7" t="s">
        <v>65</v>
      </c>
      <c r="V252" s="12" t="s">
        <v>69</v>
      </c>
      <c r="W252" s="7" t="s">
        <v>60</v>
      </c>
      <c r="X252" s="6">
        <f t="shared" si="15"/>
        <v>339</v>
      </c>
      <c r="Y252" t="str" cm="1">
        <f t="array" ref="Y252">_xlfn.IFS(E252=7.99,"BASIC",E252=11.99,"STANDARD",E252=15.99,"PREMIUM")</f>
        <v>BASIC</v>
      </c>
      <c r="Z252" s="4">
        <f t="shared" si="13"/>
        <v>9.4778761061946906</v>
      </c>
      <c r="AA252" s="3" t="str" cm="1">
        <f t="array" ref="AA252">_xlfn.IFS(
(F252/(X252/7)) &lt; 5, "Casual",
AND((F252/(X252/7)) &gt;= 5, (F252/(X252/7)) &lt; 15), "Regular",
(F252/(X252/7)) &gt;= 15, "Power"
)</f>
        <v>Regular</v>
      </c>
      <c r="AB252" s="3">
        <f t="shared" si="16"/>
        <v>0.60157273918741805</v>
      </c>
      <c r="AC252" t="str">
        <f t="shared" si="14"/>
        <v>Viewers</v>
      </c>
    </row>
    <row r="253" spans="1:30" x14ac:dyDescent="0.3">
      <c r="A253" s="6">
        <v>5534</v>
      </c>
      <c r="B253" s="7" t="s">
        <v>364</v>
      </c>
      <c r="C253" s="10">
        <v>44989</v>
      </c>
      <c r="D253" s="10">
        <v>45639</v>
      </c>
      <c r="E253" s="13">
        <v>7.99</v>
      </c>
      <c r="F253" s="6">
        <v>74</v>
      </c>
      <c r="G253" s="7" t="s">
        <v>36</v>
      </c>
      <c r="H253" s="6">
        <v>2</v>
      </c>
      <c r="I253" s="6">
        <v>1</v>
      </c>
      <c r="J253" s="7" t="b">
        <v>0</v>
      </c>
      <c r="K253" s="6">
        <v>657</v>
      </c>
      <c r="L253" s="6">
        <v>88</v>
      </c>
      <c r="M253" s="7" t="s">
        <v>43</v>
      </c>
      <c r="N253" s="7" t="s">
        <v>44</v>
      </c>
      <c r="O253" s="7" t="s">
        <v>45</v>
      </c>
      <c r="P253" s="6">
        <v>40</v>
      </c>
      <c r="Q253" s="11">
        <v>3.8</v>
      </c>
      <c r="R253" s="7" t="b">
        <v>0</v>
      </c>
      <c r="S253" s="7" t="s">
        <v>30</v>
      </c>
      <c r="T253" s="6">
        <v>130</v>
      </c>
      <c r="U253" s="7" t="s">
        <v>38</v>
      </c>
      <c r="V253" s="12" t="s">
        <v>59</v>
      </c>
      <c r="W253" s="7" t="s">
        <v>60</v>
      </c>
      <c r="X253" s="6">
        <f t="shared" si="15"/>
        <v>650</v>
      </c>
      <c r="Y253" t="str" cm="1">
        <f t="array" ref="Y253">_xlfn.IFS(E253=7.99,"BASIC",E253=11.99,"STANDARD",E253=15.99,"PREMIUM")</f>
        <v>BASIC</v>
      </c>
      <c r="Z253" s="4">
        <f t="shared" si="13"/>
        <v>0.79692307692307685</v>
      </c>
      <c r="AA253" s="3" t="str" cm="1">
        <f t="array" ref="AA253">_xlfn.IFS(
(F253/(X253/7)) &lt; 5, "Casual",
AND((F253/(X253/7)) &gt;= 5, (F253/(X253/7)) &lt; 15), "Regular",
(F253/(X253/7)) &gt;= 15, "Power"
)</f>
        <v>Casual</v>
      </c>
      <c r="AB253" s="3">
        <f t="shared" si="16"/>
        <v>9.9328859060402688E-2</v>
      </c>
      <c r="AC253" t="str">
        <f t="shared" si="14"/>
        <v xml:space="preserve"> Browsers</v>
      </c>
    </row>
    <row r="254" spans="1:30" x14ac:dyDescent="0.3">
      <c r="A254" s="6">
        <v>9785</v>
      </c>
      <c r="B254" s="7" t="s">
        <v>259</v>
      </c>
      <c r="C254" s="10">
        <v>45295</v>
      </c>
      <c r="D254" s="10">
        <v>45644</v>
      </c>
      <c r="E254" s="13">
        <v>11.99</v>
      </c>
      <c r="F254" s="6">
        <v>54</v>
      </c>
      <c r="G254" s="7" t="s">
        <v>26</v>
      </c>
      <c r="H254" s="6">
        <v>5</v>
      </c>
      <c r="I254" s="6">
        <v>4</v>
      </c>
      <c r="J254" s="7" t="b">
        <v>0</v>
      </c>
      <c r="K254" s="6">
        <v>659</v>
      </c>
      <c r="L254" s="6">
        <v>2</v>
      </c>
      <c r="M254" s="7" t="s">
        <v>74</v>
      </c>
      <c r="N254" s="7" t="s">
        <v>28</v>
      </c>
      <c r="O254" s="7" t="s">
        <v>45</v>
      </c>
      <c r="P254" s="6">
        <v>82</v>
      </c>
      <c r="Q254" s="11">
        <v>4.3</v>
      </c>
      <c r="R254" s="7" t="b">
        <v>1</v>
      </c>
      <c r="S254" s="7" t="s">
        <v>30</v>
      </c>
      <c r="T254" s="6">
        <v>2557</v>
      </c>
      <c r="U254" s="7" t="s">
        <v>38</v>
      </c>
      <c r="V254" s="12" t="s">
        <v>32</v>
      </c>
      <c r="W254" s="7" t="s">
        <v>60</v>
      </c>
      <c r="X254" s="6">
        <f t="shared" si="15"/>
        <v>349</v>
      </c>
      <c r="Y254" t="str" cm="1">
        <f t="array" ref="Y254">_xlfn.IFS(E254=7.99,"BASIC",E254=11.99,"STANDARD",E254=15.99,"PREMIUM")</f>
        <v>STANDARD</v>
      </c>
      <c r="Z254" s="4">
        <f t="shared" si="13"/>
        <v>1.0830945558739256</v>
      </c>
      <c r="AA254" s="3" t="str" cm="1">
        <f t="array" ref="AA254">_xlfn.IFS(
(F254/(X254/7)) &lt; 5, "Casual",
AND((F254/(X254/7)) &gt;= 5, (F254/(X254/7)) &lt; 15), "Regular",
(F254/(X254/7)) &gt;= 15, "Power"
)</f>
        <v>Casual</v>
      </c>
      <c r="AB254" s="3">
        <f t="shared" si="16"/>
        <v>8.169440242057488E-2</v>
      </c>
      <c r="AC254" t="str">
        <f t="shared" si="14"/>
        <v xml:space="preserve"> Browsers</v>
      </c>
    </row>
    <row r="255" spans="1:30" x14ac:dyDescent="0.3">
      <c r="A255" s="6">
        <v>9609</v>
      </c>
      <c r="B255" s="7" t="s">
        <v>344</v>
      </c>
      <c r="C255" s="10">
        <v>45172</v>
      </c>
      <c r="D255" s="10">
        <v>45623</v>
      </c>
      <c r="E255" s="13">
        <v>11.99</v>
      </c>
      <c r="F255" s="6">
        <v>292</v>
      </c>
      <c r="G255" s="7" t="s">
        <v>100</v>
      </c>
      <c r="H255" s="6">
        <v>3</v>
      </c>
      <c r="I255" s="6">
        <v>4</v>
      </c>
      <c r="J255" s="7" t="b">
        <v>1</v>
      </c>
      <c r="K255" s="6">
        <v>653</v>
      </c>
      <c r="L255" s="6">
        <v>173</v>
      </c>
      <c r="M255" s="7" t="s">
        <v>68</v>
      </c>
      <c r="N255" s="7" t="s">
        <v>44</v>
      </c>
      <c r="O255" s="7" t="s">
        <v>29</v>
      </c>
      <c r="P255" s="6">
        <v>8</v>
      </c>
      <c r="Q255" s="11">
        <v>3.5</v>
      </c>
      <c r="R255" s="7" t="b">
        <v>0</v>
      </c>
      <c r="S255" s="7" t="s">
        <v>30</v>
      </c>
      <c r="T255" s="6">
        <v>3823</v>
      </c>
      <c r="U255" s="7" t="s">
        <v>38</v>
      </c>
      <c r="V255" s="12" t="s">
        <v>69</v>
      </c>
      <c r="W255" s="7" t="s">
        <v>40</v>
      </c>
      <c r="X255" s="6">
        <f t="shared" si="15"/>
        <v>451</v>
      </c>
      <c r="Y255" t="str" cm="1">
        <f t="array" ref="Y255">_xlfn.IFS(E255=7.99,"BASIC",E255=11.99,"STANDARD",E255=15.99,"PREMIUM")</f>
        <v>STANDARD</v>
      </c>
      <c r="Z255" s="4">
        <f t="shared" si="13"/>
        <v>4.5321507760532151</v>
      </c>
      <c r="AA255" s="3" t="str" cm="1">
        <f t="array" ref="AA255">_xlfn.IFS(
(F255/(X255/7)) &lt; 5, "Casual",
AND((F255/(X255/7)) &gt;= 5, (F255/(X255/7)) &lt; 15), "Regular",
(F255/(X255/7)) &gt;= 15, "Power"
)</f>
        <v>Casual</v>
      </c>
      <c r="AB255" s="3">
        <f t="shared" si="16"/>
        <v>0.35351089588377727</v>
      </c>
      <c r="AC255" t="str">
        <f t="shared" si="14"/>
        <v>Viewers</v>
      </c>
    </row>
    <row r="256" spans="1:30" x14ac:dyDescent="0.3">
      <c r="A256" s="6">
        <v>2829</v>
      </c>
      <c r="B256" s="7" t="s">
        <v>365</v>
      </c>
      <c r="C256" s="10">
        <v>45558</v>
      </c>
      <c r="D256" s="10">
        <v>45635</v>
      </c>
      <c r="E256" s="13">
        <v>15.99</v>
      </c>
      <c r="F256" s="6">
        <v>23</v>
      </c>
      <c r="G256" s="7" t="s">
        <v>26</v>
      </c>
      <c r="H256" s="6">
        <v>2</v>
      </c>
      <c r="I256" s="6">
        <v>2</v>
      </c>
      <c r="J256" s="7" t="b">
        <v>0</v>
      </c>
      <c r="K256" s="6">
        <v>577</v>
      </c>
      <c r="L256" s="6">
        <v>131</v>
      </c>
      <c r="M256" s="7" t="s">
        <v>92</v>
      </c>
      <c r="N256" s="7" t="s">
        <v>56</v>
      </c>
      <c r="O256" s="7" t="s">
        <v>37</v>
      </c>
      <c r="P256" s="6">
        <v>14</v>
      </c>
      <c r="Q256" s="11">
        <v>3.9</v>
      </c>
      <c r="R256" s="7" t="b">
        <v>0</v>
      </c>
      <c r="S256" s="7" t="s">
        <v>30</v>
      </c>
      <c r="T256" s="6">
        <v>4048</v>
      </c>
      <c r="U256" s="7" t="s">
        <v>65</v>
      </c>
      <c r="V256" s="12" t="s">
        <v>39</v>
      </c>
      <c r="W256" s="7" t="s">
        <v>93</v>
      </c>
      <c r="X256" s="6">
        <f t="shared" si="15"/>
        <v>77</v>
      </c>
      <c r="Y256" t="str" cm="1">
        <f t="array" ref="Y256">_xlfn.IFS(E256=7.99,"BASIC",E256=11.99,"STANDARD",E256=15.99,"PREMIUM")</f>
        <v>PREMIUM</v>
      </c>
      <c r="Z256" s="4">
        <f t="shared" si="13"/>
        <v>2.0909090909090908</v>
      </c>
      <c r="AA256" s="3" t="str" cm="1">
        <f t="array" ref="AA256">_xlfn.IFS(
(F256/(X256/7)) &lt; 5, "Casual",
AND((F256/(X256/7)) &gt;= 5, (F256/(X256/7)) &lt; 15), "Regular",
(F256/(X256/7)) &gt;= 15, "Power"
)</f>
        <v>Casual</v>
      </c>
      <c r="AB256" s="3">
        <f t="shared" si="16"/>
        <v>3.2485875706214688E-2</v>
      </c>
      <c r="AC256" t="str">
        <f t="shared" si="14"/>
        <v xml:space="preserve"> Browsers</v>
      </c>
    </row>
    <row r="257" spans="1:29" x14ac:dyDescent="0.3">
      <c r="A257" s="6">
        <v>1714</v>
      </c>
      <c r="B257" s="7" t="s">
        <v>367</v>
      </c>
      <c r="C257" s="10">
        <v>45167</v>
      </c>
      <c r="D257" s="10">
        <v>45622</v>
      </c>
      <c r="E257" s="13">
        <v>11.99</v>
      </c>
      <c r="F257" s="6">
        <v>147</v>
      </c>
      <c r="G257" s="7" t="s">
        <v>63</v>
      </c>
      <c r="H257" s="6">
        <v>3</v>
      </c>
      <c r="I257" s="6">
        <v>1</v>
      </c>
      <c r="J257" s="7" t="b">
        <v>1</v>
      </c>
      <c r="K257" s="6">
        <v>802</v>
      </c>
      <c r="L257" s="6">
        <v>177</v>
      </c>
      <c r="M257" s="7" t="s">
        <v>92</v>
      </c>
      <c r="N257" s="7" t="s">
        <v>56</v>
      </c>
      <c r="O257" s="7" t="s">
        <v>37</v>
      </c>
      <c r="P257" s="6">
        <v>21</v>
      </c>
      <c r="Q257" s="11">
        <v>3.5</v>
      </c>
      <c r="R257" s="7" t="b">
        <v>1</v>
      </c>
      <c r="S257" s="7" t="s">
        <v>30</v>
      </c>
      <c r="T257" s="6">
        <v>3173</v>
      </c>
      <c r="U257" s="7" t="s">
        <v>58</v>
      </c>
      <c r="V257" s="12" t="s">
        <v>32</v>
      </c>
      <c r="W257" s="7" t="s">
        <v>60</v>
      </c>
      <c r="X257" s="6">
        <f t="shared" si="15"/>
        <v>455</v>
      </c>
      <c r="Y257" t="str" cm="1">
        <f t="array" ref="Y257">_xlfn.IFS(E257=7.99,"BASIC",E257=11.99,"STANDARD",E257=15.99,"PREMIUM")</f>
        <v>STANDARD</v>
      </c>
      <c r="Z257" s="4">
        <f t="shared" si="13"/>
        <v>2.2615384615384615</v>
      </c>
      <c r="AA257" s="3" t="str" cm="1">
        <f t="array" ref="AA257">_xlfn.IFS(
(F257/(X257/7)) &lt; 5, "Casual",
AND((F257/(X257/7)) &gt;= 5, (F257/(X257/7)) &lt; 15), "Regular",
(F257/(X257/7)) &gt;= 15, "Power"
)</f>
        <v>Casual</v>
      </c>
      <c r="AB257" s="3">
        <f t="shared" si="16"/>
        <v>0.15015321756894789</v>
      </c>
      <c r="AC257" t="str">
        <f t="shared" si="14"/>
        <v>Viewers</v>
      </c>
    </row>
    <row r="258" spans="1:29" x14ac:dyDescent="0.3">
      <c r="A258" s="6">
        <v>4475</v>
      </c>
      <c r="B258" s="7" t="s">
        <v>369</v>
      </c>
      <c r="C258" s="10">
        <v>45286</v>
      </c>
      <c r="D258" s="10">
        <v>45638</v>
      </c>
      <c r="E258" s="13">
        <v>7.99</v>
      </c>
      <c r="F258" s="6">
        <v>221</v>
      </c>
      <c r="G258" s="7" t="s">
        <v>26</v>
      </c>
      <c r="H258" s="6">
        <v>2</v>
      </c>
      <c r="I258" s="6">
        <v>4</v>
      </c>
      <c r="J258" s="7" t="b">
        <v>0</v>
      </c>
      <c r="K258" s="6">
        <v>702</v>
      </c>
      <c r="L258" s="6">
        <v>130</v>
      </c>
      <c r="M258" s="7" t="s">
        <v>43</v>
      </c>
      <c r="N258" s="7" t="s">
        <v>28</v>
      </c>
      <c r="O258" s="7" t="s">
        <v>78</v>
      </c>
      <c r="P258" s="6">
        <v>36</v>
      </c>
      <c r="Q258" s="11">
        <v>4.3</v>
      </c>
      <c r="R258" s="7" t="b">
        <v>0</v>
      </c>
      <c r="S258" s="7" t="s">
        <v>30</v>
      </c>
      <c r="T258" s="6">
        <v>3289</v>
      </c>
      <c r="U258" s="7" t="s">
        <v>65</v>
      </c>
      <c r="V258" s="12" t="s">
        <v>39</v>
      </c>
      <c r="W258" s="7" t="s">
        <v>40</v>
      </c>
      <c r="X258" s="6">
        <f t="shared" si="15"/>
        <v>352</v>
      </c>
      <c r="Y258" t="str" cm="1">
        <f t="array" ref="Y258">_xlfn.IFS(E258=7.99,"BASIC",E258=11.99,"STANDARD",E258=15.99,"PREMIUM")</f>
        <v>BASIC</v>
      </c>
      <c r="Z258" s="4">
        <f t="shared" ref="Z258:Z321" si="17">F258/(X258/7)</f>
        <v>4.3948863636363633</v>
      </c>
      <c r="AA258" s="3" t="str" cm="1">
        <f t="array" ref="AA258">_xlfn.IFS(
(F258/(X258/7)) &lt; 5, "Casual",
AND((F258/(X258/7)) &gt;= 5, (F258/(X258/7)) &lt; 15), "Regular",
(F258/(X258/7)) &gt;= 15, "Power"
)</f>
        <v>Casual</v>
      </c>
      <c r="AB258" s="3">
        <f t="shared" si="16"/>
        <v>0.265625</v>
      </c>
      <c r="AC258" t="str">
        <f t="shared" ref="AC258:AC321" si="18">IF(F258/(K258+L258) &lt; 0.15," Browsers","Viewers")</f>
        <v>Viewers</v>
      </c>
    </row>
    <row r="259" spans="1:29" x14ac:dyDescent="0.3">
      <c r="A259" s="6">
        <v>9820</v>
      </c>
      <c r="B259" s="7" t="s">
        <v>153</v>
      </c>
      <c r="C259" s="10">
        <v>45586</v>
      </c>
      <c r="D259" s="10">
        <v>45623</v>
      </c>
      <c r="E259" s="13">
        <v>7.99</v>
      </c>
      <c r="F259" s="6">
        <v>40</v>
      </c>
      <c r="G259" s="7" t="s">
        <v>51</v>
      </c>
      <c r="H259" s="6">
        <v>2</v>
      </c>
      <c r="I259" s="6">
        <v>1</v>
      </c>
      <c r="J259" s="7" t="b">
        <v>1</v>
      </c>
      <c r="K259" s="6">
        <v>92</v>
      </c>
      <c r="L259" s="6">
        <v>184</v>
      </c>
      <c r="M259" s="7" t="s">
        <v>49</v>
      </c>
      <c r="N259" s="7" t="s">
        <v>56</v>
      </c>
      <c r="O259" s="7" t="s">
        <v>45</v>
      </c>
      <c r="P259" s="6">
        <v>66</v>
      </c>
      <c r="Q259" s="11">
        <v>4.0999999999999996</v>
      </c>
      <c r="R259" s="7" t="b">
        <v>1</v>
      </c>
      <c r="S259" s="7" t="s">
        <v>30</v>
      </c>
      <c r="T259" s="6">
        <v>4377</v>
      </c>
      <c r="U259" s="7" t="s">
        <v>58</v>
      </c>
      <c r="V259" s="12" t="s">
        <v>39</v>
      </c>
      <c r="W259" s="7" t="s">
        <v>93</v>
      </c>
      <c r="X259" s="6">
        <f t="shared" ref="X259:X322" si="19">D259-C259</f>
        <v>37</v>
      </c>
      <c r="Y259" t="str" cm="1">
        <f t="array" ref="Y259">_xlfn.IFS(E259=7.99,"BASIC",E259=11.99,"STANDARD",E259=15.99,"PREMIUM")</f>
        <v>BASIC</v>
      </c>
      <c r="Z259" s="4">
        <f t="shared" si="17"/>
        <v>7.5675675675675675</v>
      </c>
      <c r="AA259" s="3" t="str" cm="1">
        <f t="array" ref="AA259">_xlfn.IFS(
(F259/(X259/7)) &lt; 5, "Casual",
AND((F259/(X259/7)) &gt;= 5, (F259/(X259/7)) &lt; 15), "Regular",
(F259/(X259/7)) &gt;= 15, "Power"
)</f>
        <v>Regular</v>
      </c>
      <c r="AB259" s="3">
        <f t="shared" si="16"/>
        <v>0.14492753623188406</v>
      </c>
      <c r="AC259" t="str">
        <f t="shared" si="18"/>
        <v xml:space="preserve"> Browsers</v>
      </c>
    </row>
    <row r="260" spans="1:29" x14ac:dyDescent="0.3">
      <c r="A260" s="6">
        <v>3261</v>
      </c>
      <c r="B260" s="7" t="s">
        <v>179</v>
      </c>
      <c r="C260" s="10">
        <v>44926</v>
      </c>
      <c r="D260" s="10">
        <v>45639</v>
      </c>
      <c r="E260" s="13">
        <v>11.99</v>
      </c>
      <c r="F260" s="6">
        <v>365</v>
      </c>
      <c r="G260" s="7" t="s">
        <v>48</v>
      </c>
      <c r="H260" s="6">
        <v>1</v>
      </c>
      <c r="I260" s="6">
        <v>5</v>
      </c>
      <c r="J260" s="7" t="b">
        <v>1</v>
      </c>
      <c r="K260" s="6">
        <v>582</v>
      </c>
      <c r="L260" s="6">
        <v>162</v>
      </c>
      <c r="M260" s="7" t="s">
        <v>68</v>
      </c>
      <c r="N260" s="7" t="s">
        <v>75</v>
      </c>
      <c r="O260" s="7" t="s">
        <v>29</v>
      </c>
      <c r="P260" s="6">
        <v>8</v>
      </c>
      <c r="Q260" s="11">
        <v>3.3</v>
      </c>
      <c r="R260" s="7" t="b">
        <v>0</v>
      </c>
      <c r="S260" s="7" t="s">
        <v>30</v>
      </c>
      <c r="T260" s="6">
        <v>995</v>
      </c>
      <c r="U260" s="7" t="s">
        <v>65</v>
      </c>
      <c r="V260" s="12" t="s">
        <v>39</v>
      </c>
      <c r="W260" s="7" t="s">
        <v>40</v>
      </c>
      <c r="X260" s="6">
        <f t="shared" si="19"/>
        <v>713</v>
      </c>
      <c r="Y260" t="str" cm="1">
        <f t="array" ref="Y260">_xlfn.IFS(E260=7.99,"BASIC",E260=11.99,"STANDARD",E260=15.99,"PREMIUM")</f>
        <v>STANDARD</v>
      </c>
      <c r="Z260" s="4">
        <f t="shared" si="17"/>
        <v>3.5834502103786816</v>
      </c>
      <c r="AA260" s="3" t="str" cm="1">
        <f t="array" ref="AA260">_xlfn.IFS(
(F260/(X260/7)) &lt; 5, "Casual",
AND((F260/(X260/7)) &gt;= 5, (F260/(X260/7)) &lt; 15), "Regular",
(F260/(X260/7)) &gt;= 15, "Power"
)</f>
        <v>Casual</v>
      </c>
      <c r="AB260" s="3">
        <f t="shared" si="16"/>
        <v>0.49059139784946237</v>
      </c>
      <c r="AC260" t="str">
        <f t="shared" si="18"/>
        <v>Viewers</v>
      </c>
    </row>
    <row r="261" spans="1:29" x14ac:dyDescent="0.3">
      <c r="A261" s="6">
        <v>6130</v>
      </c>
      <c r="B261" s="7" t="s">
        <v>157</v>
      </c>
      <c r="C261" s="10">
        <v>45407</v>
      </c>
      <c r="D261" s="10">
        <v>45642</v>
      </c>
      <c r="E261" s="13">
        <v>11.99</v>
      </c>
      <c r="F261" s="6">
        <v>360</v>
      </c>
      <c r="G261" s="7" t="s">
        <v>100</v>
      </c>
      <c r="H261" s="6">
        <v>1</v>
      </c>
      <c r="I261" s="6">
        <v>2</v>
      </c>
      <c r="J261" s="7" t="b">
        <v>1</v>
      </c>
      <c r="K261" s="6">
        <v>161</v>
      </c>
      <c r="L261" s="6">
        <v>93</v>
      </c>
      <c r="M261" s="7" t="s">
        <v>55</v>
      </c>
      <c r="N261" s="7" t="s">
        <v>44</v>
      </c>
      <c r="O261" s="7" t="s">
        <v>57</v>
      </c>
      <c r="P261" s="6">
        <v>30</v>
      </c>
      <c r="Q261" s="11">
        <v>3.3</v>
      </c>
      <c r="R261" s="7" t="b">
        <v>1</v>
      </c>
      <c r="S261" s="7" t="s">
        <v>30</v>
      </c>
      <c r="T261" s="6">
        <v>2299</v>
      </c>
      <c r="U261" s="7" t="s">
        <v>38</v>
      </c>
      <c r="V261" s="12" t="s">
        <v>79</v>
      </c>
      <c r="W261" s="7" t="s">
        <v>93</v>
      </c>
      <c r="X261" s="6">
        <f t="shared" si="19"/>
        <v>235</v>
      </c>
      <c r="Y261" t="str" cm="1">
        <f t="array" ref="Y261">_xlfn.IFS(E261=7.99,"BASIC",E261=11.99,"STANDARD",E261=15.99,"PREMIUM")</f>
        <v>STANDARD</v>
      </c>
      <c r="Z261" s="4">
        <f t="shared" si="17"/>
        <v>10.723404255319149</v>
      </c>
      <c r="AA261" s="3" t="str" cm="1">
        <f t="array" ref="AA261">_xlfn.IFS(
(F261/(X261/7)) &lt; 5, "Casual",
AND((F261/(X261/7)) &gt;= 5, (F261/(X261/7)) &lt; 15), "Regular",
(F261/(X261/7)) &gt;= 15, "Power"
)</f>
        <v>Regular</v>
      </c>
      <c r="AB261" s="3">
        <f t="shared" si="16"/>
        <v>1.4173228346456692</v>
      </c>
      <c r="AC261" t="str">
        <f t="shared" si="18"/>
        <v>Viewers</v>
      </c>
    </row>
    <row r="262" spans="1:29" x14ac:dyDescent="0.3">
      <c r="A262" s="6">
        <v>9399</v>
      </c>
      <c r="B262" s="7" t="s">
        <v>183</v>
      </c>
      <c r="C262" s="10">
        <v>45040</v>
      </c>
      <c r="D262" s="10">
        <v>45624</v>
      </c>
      <c r="E262" s="13">
        <v>7.99</v>
      </c>
      <c r="F262" s="6">
        <v>127</v>
      </c>
      <c r="G262" s="7" t="s">
        <v>26</v>
      </c>
      <c r="H262" s="6">
        <v>2</v>
      </c>
      <c r="I262" s="6">
        <v>2</v>
      </c>
      <c r="J262" s="7" t="b">
        <v>0</v>
      </c>
      <c r="K262" s="6">
        <v>842</v>
      </c>
      <c r="L262" s="6">
        <v>24</v>
      </c>
      <c r="M262" s="7" t="s">
        <v>43</v>
      </c>
      <c r="N262" s="7" t="s">
        <v>75</v>
      </c>
      <c r="O262" s="7" t="s">
        <v>57</v>
      </c>
      <c r="P262" s="6">
        <v>72</v>
      </c>
      <c r="Q262" s="11">
        <v>3.2</v>
      </c>
      <c r="R262" s="7" t="b">
        <v>1</v>
      </c>
      <c r="S262" s="7" t="s">
        <v>30</v>
      </c>
      <c r="T262" s="6">
        <v>4644</v>
      </c>
      <c r="U262" s="7" t="s">
        <v>31</v>
      </c>
      <c r="V262" s="12" t="s">
        <v>39</v>
      </c>
      <c r="W262" s="7" t="s">
        <v>33</v>
      </c>
      <c r="X262" s="6">
        <f t="shared" si="19"/>
        <v>584</v>
      </c>
      <c r="Y262" t="str" cm="1">
        <f t="array" ref="Y262">_xlfn.IFS(E262=7.99,"BASIC",E262=11.99,"STANDARD",E262=15.99,"PREMIUM")</f>
        <v>BASIC</v>
      </c>
      <c r="Z262" s="4">
        <f t="shared" si="17"/>
        <v>1.5222602739726028</v>
      </c>
      <c r="AA262" s="3" t="str" cm="1">
        <f t="array" ref="AA262">_xlfn.IFS(
(F262/(X262/7)) &lt; 5, "Casual",
AND((F262/(X262/7)) &gt;= 5, (F262/(X262/7)) &lt; 15), "Regular",
(F262/(X262/7)) &gt;= 15, "Power"
)</f>
        <v>Casual</v>
      </c>
      <c r="AB262" s="3">
        <f t="shared" si="16"/>
        <v>0.14665127020785218</v>
      </c>
      <c r="AC262" t="str">
        <f t="shared" si="18"/>
        <v xml:space="preserve"> Browsers</v>
      </c>
    </row>
    <row r="263" spans="1:29" x14ac:dyDescent="0.3">
      <c r="A263" s="6">
        <v>6047</v>
      </c>
      <c r="B263" s="7" t="s">
        <v>284</v>
      </c>
      <c r="C263" s="10">
        <v>45619</v>
      </c>
      <c r="D263" s="10">
        <v>45628</v>
      </c>
      <c r="E263" s="13">
        <v>15.99</v>
      </c>
      <c r="F263" s="6">
        <v>30</v>
      </c>
      <c r="G263" s="7" t="s">
        <v>63</v>
      </c>
      <c r="H263" s="6">
        <v>3</v>
      </c>
      <c r="I263" s="6">
        <v>2</v>
      </c>
      <c r="J263" s="7" t="b">
        <v>1</v>
      </c>
      <c r="K263" s="6">
        <v>609</v>
      </c>
      <c r="L263" s="6">
        <v>6</v>
      </c>
      <c r="M263" s="7" t="s">
        <v>43</v>
      </c>
      <c r="N263" s="7" t="s">
        <v>28</v>
      </c>
      <c r="O263" s="7" t="s">
        <v>45</v>
      </c>
      <c r="P263" s="6">
        <v>57</v>
      </c>
      <c r="Q263" s="11">
        <v>3</v>
      </c>
      <c r="R263" s="7" t="b">
        <v>1</v>
      </c>
      <c r="S263" s="7" t="s">
        <v>30</v>
      </c>
      <c r="T263" s="6">
        <v>746</v>
      </c>
      <c r="U263" s="7" t="s">
        <v>76</v>
      </c>
      <c r="V263" s="12" t="s">
        <v>79</v>
      </c>
      <c r="W263" s="7" t="s">
        <v>33</v>
      </c>
      <c r="X263" s="6">
        <f t="shared" si="19"/>
        <v>9</v>
      </c>
      <c r="Y263" t="str" cm="1">
        <f t="array" ref="Y263">_xlfn.IFS(E263=7.99,"BASIC",E263=11.99,"STANDARD",E263=15.99,"PREMIUM")</f>
        <v>PREMIUM</v>
      </c>
      <c r="Z263" s="4">
        <f t="shared" si="17"/>
        <v>23.333333333333332</v>
      </c>
      <c r="AA263" s="3" t="str" cm="1">
        <f t="array" ref="AA263">_xlfn.IFS(
(F263/(X263/7)) &lt; 5, "Casual",
AND((F263/(X263/7)) &gt;= 5, (F263/(X263/7)) &lt; 15), "Regular",
(F263/(X263/7)) &gt;= 15, "Power"
)</f>
        <v>Power</v>
      </c>
      <c r="AB263" s="3">
        <f t="shared" si="16"/>
        <v>4.878048780487805E-2</v>
      </c>
      <c r="AC263" t="str">
        <f t="shared" si="18"/>
        <v xml:space="preserve"> Browsers</v>
      </c>
    </row>
    <row r="264" spans="1:29" x14ac:dyDescent="0.3">
      <c r="A264" s="6">
        <v>7789</v>
      </c>
      <c r="B264" s="7" t="s">
        <v>120</v>
      </c>
      <c r="C264" s="10">
        <v>45134</v>
      </c>
      <c r="D264" s="10">
        <v>45620</v>
      </c>
      <c r="E264" s="13">
        <v>7.99</v>
      </c>
      <c r="F264" s="6">
        <v>222</v>
      </c>
      <c r="G264" s="7" t="s">
        <v>36</v>
      </c>
      <c r="H264" s="6">
        <v>1</v>
      </c>
      <c r="I264" s="6">
        <v>6</v>
      </c>
      <c r="J264" s="7" t="b">
        <v>0</v>
      </c>
      <c r="K264" s="6">
        <v>391</v>
      </c>
      <c r="L264" s="6">
        <v>17</v>
      </c>
      <c r="M264" s="7" t="s">
        <v>27</v>
      </c>
      <c r="N264" s="7" t="s">
        <v>75</v>
      </c>
      <c r="O264" s="7" t="s">
        <v>29</v>
      </c>
      <c r="P264" s="6">
        <v>21</v>
      </c>
      <c r="Q264" s="11">
        <v>3.4</v>
      </c>
      <c r="R264" s="7" t="b">
        <v>1</v>
      </c>
      <c r="S264" s="7" t="s">
        <v>30</v>
      </c>
      <c r="T264" s="6">
        <v>2835</v>
      </c>
      <c r="U264" s="7" t="s">
        <v>76</v>
      </c>
      <c r="V264" s="12" t="s">
        <v>69</v>
      </c>
      <c r="W264" s="7" t="s">
        <v>40</v>
      </c>
      <c r="X264" s="6">
        <f t="shared" si="19"/>
        <v>486</v>
      </c>
      <c r="Y264" t="str" cm="1">
        <f t="array" ref="Y264">_xlfn.IFS(E264=7.99,"BASIC",E264=11.99,"STANDARD",E264=15.99,"PREMIUM")</f>
        <v>BASIC</v>
      </c>
      <c r="Z264" s="4">
        <f t="shared" si="17"/>
        <v>3.1975308641975309</v>
      </c>
      <c r="AA264" s="3" t="str" cm="1">
        <f t="array" ref="AA264">_xlfn.IFS(
(F264/(X264/7)) &lt; 5, "Casual",
AND((F264/(X264/7)) &gt;= 5, (F264/(X264/7)) &lt; 15), "Regular",
(F264/(X264/7)) &gt;= 15, "Power"
)</f>
        <v>Casual</v>
      </c>
      <c r="AB264" s="3">
        <f t="shared" si="16"/>
        <v>0.54411764705882348</v>
      </c>
      <c r="AC264" t="str">
        <f t="shared" si="18"/>
        <v>Viewers</v>
      </c>
    </row>
    <row r="265" spans="1:29" x14ac:dyDescent="0.3">
      <c r="A265" s="6">
        <v>6111</v>
      </c>
      <c r="B265" s="7" t="s">
        <v>176</v>
      </c>
      <c r="C265" s="10">
        <v>45241</v>
      </c>
      <c r="D265" s="10">
        <v>45639</v>
      </c>
      <c r="E265" s="13">
        <v>11.99</v>
      </c>
      <c r="F265" s="6">
        <v>168</v>
      </c>
      <c r="G265" s="7" t="s">
        <v>100</v>
      </c>
      <c r="H265" s="6">
        <v>1</v>
      </c>
      <c r="I265" s="6">
        <v>2</v>
      </c>
      <c r="J265" s="7" t="b">
        <v>0</v>
      </c>
      <c r="K265" s="6">
        <v>247</v>
      </c>
      <c r="L265" s="6">
        <v>172</v>
      </c>
      <c r="M265" s="7" t="s">
        <v>92</v>
      </c>
      <c r="N265" s="7" t="s">
        <v>75</v>
      </c>
      <c r="O265" s="7" t="s">
        <v>78</v>
      </c>
      <c r="P265" s="6">
        <v>98</v>
      </c>
      <c r="Q265" s="11">
        <v>3.5</v>
      </c>
      <c r="R265" s="7" t="b">
        <v>0</v>
      </c>
      <c r="S265" s="7" t="s">
        <v>30</v>
      </c>
      <c r="T265" s="6">
        <v>3626</v>
      </c>
      <c r="U265" s="7" t="s">
        <v>58</v>
      </c>
      <c r="V265" s="12" t="s">
        <v>32</v>
      </c>
      <c r="W265" s="7" t="s">
        <v>40</v>
      </c>
      <c r="X265" s="6">
        <f t="shared" si="19"/>
        <v>398</v>
      </c>
      <c r="Y265" t="str" cm="1">
        <f t="array" ref="Y265">_xlfn.IFS(E265=7.99,"BASIC",E265=11.99,"STANDARD",E265=15.99,"PREMIUM")</f>
        <v>STANDARD</v>
      </c>
      <c r="Z265" s="4">
        <f t="shared" si="17"/>
        <v>2.954773869346734</v>
      </c>
      <c r="AA265" s="3" t="str" cm="1">
        <f t="array" ref="AA265">_xlfn.IFS(
(F265/(X265/7)) &lt; 5, "Casual",
AND((F265/(X265/7)) &gt;= 5, (F265/(X265/7)) &lt; 15), "Regular",
(F265/(X265/7)) &gt;= 15, "Power"
)</f>
        <v>Casual</v>
      </c>
      <c r="AB265" s="3">
        <f t="shared" ref="AB265:AB328" si="20">(F265/(K265+L265))</f>
        <v>0.40095465393794749</v>
      </c>
      <c r="AC265" t="str">
        <f t="shared" si="18"/>
        <v>Viewers</v>
      </c>
    </row>
    <row r="266" spans="1:29" x14ac:dyDescent="0.3">
      <c r="A266" s="6">
        <v>4968</v>
      </c>
      <c r="B266" s="7" t="s">
        <v>373</v>
      </c>
      <c r="C266" s="10">
        <v>45393</v>
      </c>
      <c r="D266" s="10">
        <v>45622</v>
      </c>
      <c r="E266" s="13">
        <v>7.99</v>
      </c>
      <c r="F266" s="6">
        <v>317</v>
      </c>
      <c r="G266" s="7" t="s">
        <v>73</v>
      </c>
      <c r="H266" s="6">
        <v>5</v>
      </c>
      <c r="I266" s="6">
        <v>1</v>
      </c>
      <c r="J266" s="7" t="b">
        <v>0</v>
      </c>
      <c r="K266" s="6">
        <v>559</v>
      </c>
      <c r="L266" s="6">
        <v>113</v>
      </c>
      <c r="M266" s="7" t="s">
        <v>55</v>
      </c>
      <c r="N266" s="7" t="s">
        <v>56</v>
      </c>
      <c r="O266" s="7" t="s">
        <v>64</v>
      </c>
      <c r="P266" s="6">
        <v>92</v>
      </c>
      <c r="Q266" s="11">
        <v>4.5999999999999996</v>
      </c>
      <c r="R266" s="7" t="b">
        <v>0</v>
      </c>
      <c r="S266" s="7" t="s">
        <v>30</v>
      </c>
      <c r="T266" s="6">
        <v>1000</v>
      </c>
      <c r="U266" s="7" t="s">
        <v>65</v>
      </c>
      <c r="V266" s="12" t="s">
        <v>79</v>
      </c>
      <c r="W266" s="7" t="s">
        <v>40</v>
      </c>
      <c r="X266" s="6">
        <f t="shared" si="19"/>
        <v>229</v>
      </c>
      <c r="Y266" t="str" cm="1">
        <f t="array" ref="Y266">_xlfn.IFS(E266=7.99,"BASIC",E266=11.99,"STANDARD",E266=15.99,"PREMIUM")</f>
        <v>BASIC</v>
      </c>
      <c r="Z266" s="4">
        <f t="shared" si="17"/>
        <v>9.6899563318777293</v>
      </c>
      <c r="AA266" s="3" t="str" cm="1">
        <f t="array" ref="AA266">_xlfn.IFS(
(F266/(X266/7)) &lt; 5, "Casual",
AND((F266/(X266/7)) &gt;= 5, (F266/(X266/7)) &lt; 15), "Regular",
(F266/(X266/7)) &gt;= 15, "Power"
)</f>
        <v>Regular</v>
      </c>
      <c r="AB266" s="3">
        <f t="shared" si="20"/>
        <v>0.47172619047619047</v>
      </c>
      <c r="AC266" t="str">
        <f t="shared" si="18"/>
        <v>Viewers</v>
      </c>
    </row>
    <row r="267" spans="1:29" x14ac:dyDescent="0.3">
      <c r="A267" s="6">
        <v>2739</v>
      </c>
      <c r="B267" s="7" t="s">
        <v>374</v>
      </c>
      <c r="C267" s="10">
        <v>45040</v>
      </c>
      <c r="D267" s="10">
        <v>45616</v>
      </c>
      <c r="E267" s="13">
        <v>15.99</v>
      </c>
      <c r="F267" s="6">
        <v>285</v>
      </c>
      <c r="G267" s="7" t="s">
        <v>51</v>
      </c>
      <c r="H267" s="6">
        <v>1</v>
      </c>
      <c r="I267" s="6">
        <v>3</v>
      </c>
      <c r="J267" s="7" t="b">
        <v>0</v>
      </c>
      <c r="K267" s="6">
        <v>706</v>
      </c>
      <c r="L267" s="6">
        <v>22</v>
      </c>
      <c r="M267" s="7" t="s">
        <v>49</v>
      </c>
      <c r="N267" s="7" t="s">
        <v>28</v>
      </c>
      <c r="O267" s="7" t="s">
        <v>45</v>
      </c>
      <c r="P267" s="6">
        <v>4</v>
      </c>
      <c r="Q267" s="11">
        <v>3.4</v>
      </c>
      <c r="R267" s="7" t="b">
        <v>1</v>
      </c>
      <c r="S267" s="7" t="s">
        <v>30</v>
      </c>
      <c r="T267" s="6">
        <v>368</v>
      </c>
      <c r="U267" s="7" t="s">
        <v>38</v>
      </c>
      <c r="V267" s="12" t="s">
        <v>39</v>
      </c>
      <c r="W267" s="7" t="s">
        <v>33</v>
      </c>
      <c r="X267" s="6">
        <f t="shared" si="19"/>
        <v>576</v>
      </c>
      <c r="Y267" t="str" cm="1">
        <f t="array" ref="Y267">_xlfn.IFS(E267=7.99,"BASIC",E267=11.99,"STANDARD",E267=15.99,"PREMIUM")</f>
        <v>PREMIUM</v>
      </c>
      <c r="Z267" s="4">
        <f t="shared" si="17"/>
        <v>3.4635416666666665</v>
      </c>
      <c r="AA267" s="3" t="str" cm="1">
        <f t="array" ref="AA267">_xlfn.IFS(
(F267/(X267/7)) &lt; 5, "Casual",
AND((F267/(X267/7)) &gt;= 5, (F267/(X267/7)) &lt; 15), "Regular",
(F267/(X267/7)) &gt;= 15, "Power"
)</f>
        <v>Casual</v>
      </c>
      <c r="AB267" s="3">
        <f t="shared" si="20"/>
        <v>0.39148351648351648</v>
      </c>
      <c r="AC267" t="str">
        <f t="shared" si="18"/>
        <v>Viewers</v>
      </c>
    </row>
    <row r="268" spans="1:29" x14ac:dyDescent="0.3">
      <c r="A268" s="6">
        <v>6974</v>
      </c>
      <c r="B268" s="7" t="s">
        <v>77</v>
      </c>
      <c r="C268" s="10">
        <v>45168</v>
      </c>
      <c r="D268" s="10">
        <v>45624</v>
      </c>
      <c r="E268" s="13">
        <v>11.99</v>
      </c>
      <c r="F268" s="6">
        <v>420</v>
      </c>
      <c r="G268" s="7" t="s">
        <v>73</v>
      </c>
      <c r="H268" s="6">
        <v>1</v>
      </c>
      <c r="I268" s="6">
        <v>2</v>
      </c>
      <c r="J268" s="7" t="b">
        <v>0</v>
      </c>
      <c r="K268" s="6">
        <v>1000</v>
      </c>
      <c r="L268" s="6">
        <v>159</v>
      </c>
      <c r="M268" s="7" t="s">
        <v>55</v>
      </c>
      <c r="N268" s="7" t="s">
        <v>75</v>
      </c>
      <c r="O268" s="7" t="s">
        <v>37</v>
      </c>
      <c r="P268" s="6">
        <v>22</v>
      </c>
      <c r="Q268" s="11">
        <v>4.8</v>
      </c>
      <c r="R268" s="7" t="b">
        <v>0</v>
      </c>
      <c r="S268" s="7" t="s">
        <v>30</v>
      </c>
      <c r="T268" s="6">
        <v>2229</v>
      </c>
      <c r="U268" s="7" t="s">
        <v>58</v>
      </c>
      <c r="V268" s="12" t="s">
        <v>39</v>
      </c>
      <c r="W268" s="7" t="s">
        <v>60</v>
      </c>
      <c r="X268" s="6">
        <f t="shared" si="19"/>
        <v>456</v>
      </c>
      <c r="Y268" t="str" cm="1">
        <f t="array" ref="Y268">_xlfn.IFS(E268=7.99,"BASIC",E268=11.99,"STANDARD",E268=15.99,"PREMIUM")</f>
        <v>STANDARD</v>
      </c>
      <c r="Z268" s="4">
        <f t="shared" si="17"/>
        <v>6.4473684210526319</v>
      </c>
      <c r="AA268" s="3" t="str" cm="1">
        <f t="array" ref="AA268">_xlfn.IFS(
(F268/(X268/7)) &lt; 5, "Casual",
AND((F268/(X268/7)) &gt;= 5, (F268/(X268/7)) &lt; 15), "Regular",
(F268/(X268/7)) &gt;= 15, "Power"
)</f>
        <v>Regular</v>
      </c>
      <c r="AB268" s="3">
        <f t="shared" si="20"/>
        <v>0.36238136324417602</v>
      </c>
      <c r="AC268" t="str">
        <f t="shared" si="18"/>
        <v>Viewers</v>
      </c>
    </row>
    <row r="269" spans="1:29" x14ac:dyDescent="0.3">
      <c r="A269" s="6">
        <v>1784</v>
      </c>
      <c r="B269" s="7" t="s">
        <v>244</v>
      </c>
      <c r="C269" s="10">
        <v>45088</v>
      </c>
      <c r="D269" s="10">
        <v>45642</v>
      </c>
      <c r="E269" s="13">
        <v>15.99</v>
      </c>
      <c r="F269" s="6">
        <v>100</v>
      </c>
      <c r="G269" s="7" t="s">
        <v>36</v>
      </c>
      <c r="H269" s="6">
        <v>5</v>
      </c>
      <c r="I269" s="6">
        <v>1</v>
      </c>
      <c r="J269" s="7" t="b">
        <v>1</v>
      </c>
      <c r="K269" s="6">
        <v>586</v>
      </c>
      <c r="L269" s="6">
        <v>32</v>
      </c>
      <c r="M269" s="7" t="s">
        <v>92</v>
      </c>
      <c r="N269" s="7" t="s">
        <v>56</v>
      </c>
      <c r="O269" s="7" t="s">
        <v>29</v>
      </c>
      <c r="P269" s="6">
        <v>100</v>
      </c>
      <c r="Q269" s="11">
        <v>3.6</v>
      </c>
      <c r="R269" s="7" t="b">
        <v>1</v>
      </c>
      <c r="S269" s="7" t="s">
        <v>30</v>
      </c>
      <c r="T269" s="6">
        <v>2643</v>
      </c>
      <c r="U269" s="7" t="s">
        <v>38</v>
      </c>
      <c r="V269" s="12" t="s">
        <v>39</v>
      </c>
      <c r="W269" s="7" t="s">
        <v>93</v>
      </c>
      <c r="X269" s="6">
        <f t="shared" si="19"/>
        <v>554</v>
      </c>
      <c r="Y269" t="str" cm="1">
        <f t="array" ref="Y269">_xlfn.IFS(E269=7.99,"BASIC",E269=11.99,"STANDARD",E269=15.99,"PREMIUM")</f>
        <v>PREMIUM</v>
      </c>
      <c r="Z269" s="4">
        <f t="shared" si="17"/>
        <v>1.2635379061371841</v>
      </c>
      <c r="AA269" s="3" t="str" cm="1">
        <f t="array" ref="AA269">_xlfn.IFS(
(F269/(X269/7)) &lt; 5, "Casual",
AND((F269/(X269/7)) &gt;= 5, (F269/(X269/7)) &lt; 15), "Regular",
(F269/(X269/7)) &gt;= 15, "Power"
)</f>
        <v>Casual</v>
      </c>
      <c r="AB269" s="3">
        <f t="shared" si="20"/>
        <v>0.16181229773462782</v>
      </c>
      <c r="AC269" t="str">
        <f t="shared" si="18"/>
        <v>Viewers</v>
      </c>
    </row>
    <row r="270" spans="1:29" x14ac:dyDescent="0.3">
      <c r="A270" s="6">
        <v>8077</v>
      </c>
      <c r="B270" s="7" t="s">
        <v>128</v>
      </c>
      <c r="C270" s="10">
        <v>45446</v>
      </c>
      <c r="D270" s="10">
        <v>45644</v>
      </c>
      <c r="E270" s="13">
        <v>11.99</v>
      </c>
      <c r="F270" s="6">
        <v>426</v>
      </c>
      <c r="G270" s="7" t="s">
        <v>51</v>
      </c>
      <c r="H270" s="6">
        <v>4</v>
      </c>
      <c r="I270" s="6">
        <v>6</v>
      </c>
      <c r="J270" s="7" t="b">
        <v>0</v>
      </c>
      <c r="K270" s="6">
        <v>450</v>
      </c>
      <c r="L270" s="6">
        <v>92</v>
      </c>
      <c r="M270" s="7" t="s">
        <v>74</v>
      </c>
      <c r="N270" s="7" t="s">
        <v>44</v>
      </c>
      <c r="O270" s="7" t="s">
        <v>29</v>
      </c>
      <c r="P270" s="6">
        <v>71</v>
      </c>
      <c r="Q270" s="11">
        <v>4.0999999999999996</v>
      </c>
      <c r="R270" s="7" t="b">
        <v>0</v>
      </c>
      <c r="S270" s="7" t="s">
        <v>30</v>
      </c>
      <c r="T270" s="6">
        <v>2647</v>
      </c>
      <c r="U270" s="7" t="s">
        <v>31</v>
      </c>
      <c r="V270" s="12" t="s">
        <v>39</v>
      </c>
      <c r="W270" s="7" t="s">
        <v>60</v>
      </c>
      <c r="X270" s="6">
        <f t="shared" si="19"/>
        <v>198</v>
      </c>
      <c r="Y270" t="str" cm="1">
        <f t="array" ref="Y270">_xlfn.IFS(E270=7.99,"BASIC",E270=11.99,"STANDARD",E270=15.99,"PREMIUM")</f>
        <v>STANDARD</v>
      </c>
      <c r="Z270" s="4">
        <f t="shared" si="17"/>
        <v>15.060606060606061</v>
      </c>
      <c r="AA270" s="3" t="str" cm="1">
        <f t="array" ref="AA270">_xlfn.IFS(
(F270/(X270/7)) &lt; 5, "Casual",
AND((F270/(X270/7)) &gt;= 5, (F270/(X270/7)) &lt; 15), "Regular",
(F270/(X270/7)) &gt;= 15, "Power"
)</f>
        <v>Power</v>
      </c>
      <c r="AB270" s="3">
        <f t="shared" si="20"/>
        <v>0.7859778597785978</v>
      </c>
      <c r="AC270" t="str">
        <f t="shared" si="18"/>
        <v>Viewers</v>
      </c>
    </row>
    <row r="271" spans="1:29" x14ac:dyDescent="0.3">
      <c r="A271" s="6">
        <v>2727</v>
      </c>
      <c r="B271" s="7" t="s">
        <v>376</v>
      </c>
      <c r="C271" s="10">
        <v>45320</v>
      </c>
      <c r="D271" s="10">
        <v>45634</v>
      </c>
      <c r="E271" s="13">
        <v>7.99</v>
      </c>
      <c r="F271" s="6">
        <v>263</v>
      </c>
      <c r="G271" s="7" t="s">
        <v>100</v>
      </c>
      <c r="H271" s="6">
        <v>1</v>
      </c>
      <c r="I271" s="6">
        <v>4</v>
      </c>
      <c r="J271" s="7" t="b">
        <v>1</v>
      </c>
      <c r="K271" s="6">
        <v>468</v>
      </c>
      <c r="L271" s="6">
        <v>95</v>
      </c>
      <c r="M271" s="7" t="s">
        <v>55</v>
      </c>
      <c r="N271" s="7" t="s">
        <v>44</v>
      </c>
      <c r="O271" s="7" t="s">
        <v>64</v>
      </c>
      <c r="P271" s="6">
        <v>87</v>
      </c>
      <c r="Q271" s="11">
        <v>3.5</v>
      </c>
      <c r="R271" s="7" t="b">
        <v>0</v>
      </c>
      <c r="S271" s="7" t="s">
        <v>30</v>
      </c>
      <c r="T271" s="6">
        <v>4497</v>
      </c>
      <c r="U271" s="7" t="s">
        <v>76</v>
      </c>
      <c r="V271" s="12" t="s">
        <v>39</v>
      </c>
      <c r="W271" s="7" t="s">
        <v>40</v>
      </c>
      <c r="X271" s="6">
        <f t="shared" si="19"/>
        <v>314</v>
      </c>
      <c r="Y271" t="str" cm="1">
        <f t="array" ref="Y271">_xlfn.IFS(E271=7.99,"BASIC",E271=11.99,"STANDARD",E271=15.99,"PREMIUM")</f>
        <v>BASIC</v>
      </c>
      <c r="Z271" s="4">
        <f t="shared" si="17"/>
        <v>5.8630573248407645</v>
      </c>
      <c r="AA271" s="3" t="str" cm="1">
        <f t="array" ref="AA271">_xlfn.IFS(
(F271/(X271/7)) &lt; 5, "Casual",
AND((F271/(X271/7)) &gt;= 5, (F271/(X271/7)) &lt; 15), "Regular",
(F271/(X271/7)) &gt;= 15, "Power"
)</f>
        <v>Regular</v>
      </c>
      <c r="AB271" s="3">
        <f t="shared" si="20"/>
        <v>0.46714031971580816</v>
      </c>
      <c r="AC271" t="str">
        <f t="shared" si="18"/>
        <v>Viewers</v>
      </c>
    </row>
    <row r="272" spans="1:29" x14ac:dyDescent="0.3">
      <c r="A272" s="6">
        <v>7661</v>
      </c>
      <c r="B272" s="7" t="s">
        <v>378</v>
      </c>
      <c r="C272" s="10">
        <v>45158</v>
      </c>
      <c r="D272" s="10">
        <v>45640</v>
      </c>
      <c r="E272" s="13">
        <v>11.99</v>
      </c>
      <c r="F272" s="6">
        <v>162</v>
      </c>
      <c r="G272" s="7" t="s">
        <v>26</v>
      </c>
      <c r="H272" s="6">
        <v>1</v>
      </c>
      <c r="I272" s="6">
        <v>1</v>
      </c>
      <c r="J272" s="7" t="b">
        <v>0</v>
      </c>
      <c r="K272" s="6">
        <v>370</v>
      </c>
      <c r="L272" s="6">
        <v>130</v>
      </c>
      <c r="M272" s="7" t="s">
        <v>27</v>
      </c>
      <c r="N272" s="7" t="s">
        <v>44</v>
      </c>
      <c r="O272" s="7" t="s">
        <v>29</v>
      </c>
      <c r="P272" s="6">
        <v>49</v>
      </c>
      <c r="Q272" s="11">
        <v>4.0999999999999996</v>
      </c>
      <c r="R272" s="7" t="b">
        <v>1</v>
      </c>
      <c r="S272" s="7" t="s">
        <v>30</v>
      </c>
      <c r="T272" s="6">
        <v>1121</v>
      </c>
      <c r="U272" s="7" t="s">
        <v>58</v>
      </c>
      <c r="V272" s="12" t="s">
        <v>69</v>
      </c>
      <c r="W272" s="7" t="s">
        <v>93</v>
      </c>
      <c r="X272" s="6">
        <f t="shared" si="19"/>
        <v>482</v>
      </c>
      <c r="Y272" t="str" cm="1">
        <f t="array" ref="Y272">_xlfn.IFS(E272=7.99,"BASIC",E272=11.99,"STANDARD",E272=15.99,"PREMIUM")</f>
        <v>STANDARD</v>
      </c>
      <c r="Z272" s="4">
        <f t="shared" si="17"/>
        <v>2.3526970954356847</v>
      </c>
      <c r="AA272" s="3" t="str" cm="1">
        <f t="array" ref="AA272">_xlfn.IFS(
(F272/(X272/7)) &lt; 5, "Casual",
AND((F272/(X272/7)) &gt;= 5, (F272/(X272/7)) &lt; 15), "Regular",
(F272/(X272/7)) &gt;= 15, "Power"
)</f>
        <v>Casual</v>
      </c>
      <c r="AB272" s="3">
        <f t="shared" si="20"/>
        <v>0.32400000000000001</v>
      </c>
      <c r="AC272" t="str">
        <f t="shared" si="18"/>
        <v>Viewers</v>
      </c>
    </row>
    <row r="273" spans="1:30" x14ac:dyDescent="0.3">
      <c r="A273" s="6">
        <v>5083</v>
      </c>
      <c r="B273" s="7" t="s">
        <v>148</v>
      </c>
      <c r="C273" s="10">
        <f>_xlfn.XLOOKUP(A273,'Data Anomalies -Pls Read It'!A:A,'Data Anomalies -Pls Read It'!D:D,1,0)</f>
        <v>45619</v>
      </c>
      <c r="D273" s="10">
        <f>_xlfn.XLOOKUP(A273,'Data Anomalies -Pls Read It'!A:A,'Data Anomalies -Pls Read It'!C:C,1,0)</f>
        <v>45620</v>
      </c>
      <c r="E273" s="13">
        <v>15.99</v>
      </c>
      <c r="F273" s="6">
        <v>19</v>
      </c>
      <c r="G273" s="7" t="s">
        <v>100</v>
      </c>
      <c r="H273" s="6">
        <v>3</v>
      </c>
      <c r="I273" s="6">
        <v>2</v>
      </c>
      <c r="J273" s="7" t="b">
        <v>1</v>
      </c>
      <c r="K273" s="6">
        <v>781</v>
      </c>
      <c r="L273" s="6">
        <v>179</v>
      </c>
      <c r="M273" s="7" t="s">
        <v>43</v>
      </c>
      <c r="N273" s="7" t="s">
        <v>44</v>
      </c>
      <c r="O273" s="7" t="s">
        <v>37</v>
      </c>
      <c r="P273" s="6">
        <v>8</v>
      </c>
      <c r="Q273" s="11">
        <v>4.3</v>
      </c>
      <c r="R273" s="7" t="b">
        <v>0</v>
      </c>
      <c r="S273" s="7" t="s">
        <v>30</v>
      </c>
      <c r="T273" s="6">
        <v>1525</v>
      </c>
      <c r="U273" s="7" t="s">
        <v>65</v>
      </c>
      <c r="V273" s="12" t="s">
        <v>69</v>
      </c>
      <c r="W273" s="7" t="s">
        <v>40</v>
      </c>
      <c r="X273" s="6">
        <f t="shared" si="19"/>
        <v>1</v>
      </c>
      <c r="Y273" t="str" cm="1">
        <f t="array" ref="Y273">_xlfn.IFS(E273=7.99,"BASIC",E273=11.99,"STANDARD",E273=15.99,"PREMIUM")</f>
        <v>PREMIUM</v>
      </c>
      <c r="Z273" s="4">
        <f t="shared" si="17"/>
        <v>133</v>
      </c>
      <c r="AA273" s="3" t="str" cm="1">
        <f t="array" ref="AA273">_xlfn.IFS(
(F273/(X273/7)) &lt; 5, "Casual",
AND((F273/(X273/7)) &gt;= 5, (F273/(X273/7)) &lt; 15), "Regular",
(F273/(X273/7)) &gt;= 15, "Power"
)</f>
        <v>Power</v>
      </c>
      <c r="AB273" s="3">
        <f t="shared" si="20"/>
        <v>1.9791666666666666E-2</v>
      </c>
      <c r="AC273" t="str">
        <f t="shared" si="18"/>
        <v xml:space="preserve"> Browsers</v>
      </c>
      <c r="AD273" t="s">
        <v>779</v>
      </c>
    </row>
    <row r="274" spans="1:30" x14ac:dyDescent="0.3">
      <c r="A274" s="6">
        <v>7275</v>
      </c>
      <c r="B274" s="7" t="s">
        <v>379</v>
      </c>
      <c r="C274" s="10">
        <v>45540</v>
      </c>
      <c r="D274" s="10">
        <v>45633</v>
      </c>
      <c r="E274" s="13">
        <v>11.99</v>
      </c>
      <c r="F274" s="6">
        <v>358</v>
      </c>
      <c r="G274" s="7" t="s">
        <v>100</v>
      </c>
      <c r="H274" s="6">
        <v>5</v>
      </c>
      <c r="I274" s="6">
        <v>4</v>
      </c>
      <c r="J274" s="7" t="b">
        <v>1</v>
      </c>
      <c r="K274" s="6">
        <v>829</v>
      </c>
      <c r="L274" s="6">
        <v>62</v>
      </c>
      <c r="M274" s="7" t="s">
        <v>74</v>
      </c>
      <c r="N274" s="7" t="s">
        <v>28</v>
      </c>
      <c r="O274" s="7" t="s">
        <v>37</v>
      </c>
      <c r="P274" s="6">
        <v>65</v>
      </c>
      <c r="Q274" s="11">
        <v>3.4</v>
      </c>
      <c r="R274" s="7" t="b">
        <v>0</v>
      </c>
      <c r="S274" s="7" t="s">
        <v>30</v>
      </c>
      <c r="T274" s="6">
        <v>3488</v>
      </c>
      <c r="U274" s="7" t="s">
        <v>58</v>
      </c>
      <c r="V274" s="12" t="s">
        <v>79</v>
      </c>
      <c r="W274" s="7" t="s">
        <v>33</v>
      </c>
      <c r="X274" s="6">
        <f t="shared" si="19"/>
        <v>93</v>
      </c>
      <c r="Y274" t="str" cm="1">
        <f t="array" ref="Y274">_xlfn.IFS(E274=7.99,"BASIC",E274=11.99,"STANDARD",E274=15.99,"PREMIUM")</f>
        <v>STANDARD</v>
      </c>
      <c r="Z274" s="4">
        <f t="shared" si="17"/>
        <v>26.946236559139784</v>
      </c>
      <c r="AA274" s="3" t="str" cm="1">
        <f t="array" ref="AA274">_xlfn.IFS(
(F274/(X274/7)) &lt; 5, "Casual",
AND((F274/(X274/7)) &gt;= 5, (F274/(X274/7)) &lt; 15), "Regular",
(F274/(X274/7)) &gt;= 15, "Power"
)</f>
        <v>Power</v>
      </c>
      <c r="AB274" s="3">
        <f t="shared" si="20"/>
        <v>0.40179573512906847</v>
      </c>
      <c r="AC274" t="str">
        <f t="shared" si="18"/>
        <v>Viewers</v>
      </c>
    </row>
    <row r="275" spans="1:30" x14ac:dyDescent="0.3">
      <c r="A275" s="6">
        <v>7316</v>
      </c>
      <c r="B275" s="7" t="s">
        <v>380</v>
      </c>
      <c r="C275" s="10">
        <v>44981</v>
      </c>
      <c r="D275" s="10">
        <v>45641</v>
      </c>
      <c r="E275" s="13">
        <v>11.99</v>
      </c>
      <c r="F275" s="6">
        <v>183</v>
      </c>
      <c r="G275" s="7" t="s">
        <v>36</v>
      </c>
      <c r="H275" s="6">
        <v>3</v>
      </c>
      <c r="I275" s="6">
        <v>5</v>
      </c>
      <c r="J275" s="7" t="b">
        <v>0</v>
      </c>
      <c r="K275" s="6">
        <v>944</v>
      </c>
      <c r="L275" s="6">
        <v>94</v>
      </c>
      <c r="M275" s="7" t="s">
        <v>43</v>
      </c>
      <c r="N275" s="7" t="s">
        <v>28</v>
      </c>
      <c r="O275" s="7" t="s">
        <v>64</v>
      </c>
      <c r="P275" s="6">
        <v>72</v>
      </c>
      <c r="Q275" s="11">
        <v>4.7</v>
      </c>
      <c r="R275" s="7" t="b">
        <v>0</v>
      </c>
      <c r="S275" s="7" t="s">
        <v>30</v>
      </c>
      <c r="T275" s="6">
        <v>3009</v>
      </c>
      <c r="U275" s="7" t="s">
        <v>58</v>
      </c>
      <c r="V275" s="12" t="s">
        <v>69</v>
      </c>
      <c r="W275" s="7" t="s">
        <v>33</v>
      </c>
      <c r="X275" s="6">
        <f t="shared" si="19"/>
        <v>660</v>
      </c>
      <c r="Y275" t="str" cm="1">
        <f t="array" ref="Y275">_xlfn.IFS(E275=7.99,"BASIC",E275=11.99,"STANDARD",E275=15.99,"PREMIUM")</f>
        <v>STANDARD</v>
      </c>
      <c r="Z275" s="4">
        <f t="shared" si="17"/>
        <v>1.9409090909090907</v>
      </c>
      <c r="AA275" s="3" t="str" cm="1">
        <f t="array" ref="AA275">_xlfn.IFS(
(F275/(X275/7)) &lt; 5, "Casual",
AND((F275/(X275/7)) &gt;= 5, (F275/(X275/7)) &lt; 15), "Regular",
(F275/(X275/7)) &gt;= 15, "Power"
)</f>
        <v>Casual</v>
      </c>
      <c r="AB275" s="3">
        <f t="shared" si="20"/>
        <v>0.17630057803468208</v>
      </c>
      <c r="AC275" t="str">
        <f t="shared" si="18"/>
        <v>Viewers</v>
      </c>
    </row>
    <row r="276" spans="1:30" x14ac:dyDescent="0.3">
      <c r="A276" s="6">
        <v>4497</v>
      </c>
      <c r="B276" s="7" t="s">
        <v>382</v>
      </c>
      <c r="C276" s="10">
        <v>44929</v>
      </c>
      <c r="D276" s="10">
        <v>45641</v>
      </c>
      <c r="E276" s="13">
        <v>15.99</v>
      </c>
      <c r="F276" s="6">
        <v>63</v>
      </c>
      <c r="G276" s="7" t="s">
        <v>26</v>
      </c>
      <c r="H276" s="6">
        <v>4</v>
      </c>
      <c r="I276" s="6">
        <v>4</v>
      </c>
      <c r="J276" s="7" t="b">
        <v>0</v>
      </c>
      <c r="K276" s="6">
        <v>670</v>
      </c>
      <c r="L276" s="6">
        <v>72</v>
      </c>
      <c r="M276" s="7" t="s">
        <v>27</v>
      </c>
      <c r="N276" s="7" t="s">
        <v>28</v>
      </c>
      <c r="O276" s="7" t="s">
        <v>57</v>
      </c>
      <c r="P276" s="6">
        <v>27</v>
      </c>
      <c r="Q276" s="11">
        <v>4.8</v>
      </c>
      <c r="R276" s="7" t="b">
        <v>0</v>
      </c>
      <c r="S276" s="7" t="s">
        <v>30</v>
      </c>
      <c r="T276" s="6">
        <v>15</v>
      </c>
      <c r="U276" s="7" t="s">
        <v>31</v>
      </c>
      <c r="V276" s="12" t="s">
        <v>32</v>
      </c>
      <c r="W276" s="7" t="s">
        <v>40</v>
      </c>
      <c r="X276" s="6">
        <f t="shared" si="19"/>
        <v>712</v>
      </c>
      <c r="Y276" t="str" cm="1">
        <f t="array" ref="Y276">_xlfn.IFS(E276=7.99,"BASIC",E276=11.99,"STANDARD",E276=15.99,"PREMIUM")</f>
        <v>PREMIUM</v>
      </c>
      <c r="Z276" s="4">
        <f t="shared" si="17"/>
        <v>0.6193820224719101</v>
      </c>
      <c r="AA276" s="3" t="str" cm="1">
        <f t="array" ref="AA276">_xlfn.IFS(
(F276/(X276/7)) &lt; 5, "Casual",
AND((F276/(X276/7)) &gt;= 5, (F276/(X276/7)) &lt; 15), "Regular",
(F276/(X276/7)) &gt;= 15, "Power"
)</f>
        <v>Casual</v>
      </c>
      <c r="AB276" s="3">
        <f t="shared" si="20"/>
        <v>8.4905660377358486E-2</v>
      </c>
      <c r="AC276" t="str">
        <f t="shared" si="18"/>
        <v xml:space="preserve"> Browsers</v>
      </c>
    </row>
    <row r="277" spans="1:30" x14ac:dyDescent="0.3">
      <c r="A277" s="6">
        <v>8685</v>
      </c>
      <c r="B277" s="7" t="s">
        <v>138</v>
      </c>
      <c r="C277" s="10">
        <v>45360</v>
      </c>
      <c r="D277" s="10">
        <v>45616</v>
      </c>
      <c r="E277" s="13">
        <v>11.99</v>
      </c>
      <c r="F277" s="6">
        <v>446</v>
      </c>
      <c r="G277" s="7" t="s">
        <v>51</v>
      </c>
      <c r="H277" s="6">
        <v>5</v>
      </c>
      <c r="I277" s="6">
        <v>3</v>
      </c>
      <c r="J277" s="7" t="b">
        <v>1</v>
      </c>
      <c r="K277" s="6">
        <v>831</v>
      </c>
      <c r="L277" s="6">
        <v>37</v>
      </c>
      <c r="M277" s="7" t="s">
        <v>92</v>
      </c>
      <c r="N277" s="7" t="s">
        <v>28</v>
      </c>
      <c r="O277" s="7" t="s">
        <v>64</v>
      </c>
      <c r="P277" s="6">
        <v>54</v>
      </c>
      <c r="Q277" s="11">
        <v>3.3</v>
      </c>
      <c r="R277" s="7" t="b">
        <v>1</v>
      </c>
      <c r="S277" s="7" t="s">
        <v>30</v>
      </c>
      <c r="T277" s="6">
        <v>3007</v>
      </c>
      <c r="U277" s="7" t="s">
        <v>58</v>
      </c>
      <c r="V277" s="12" t="s">
        <v>69</v>
      </c>
      <c r="W277" s="7" t="s">
        <v>40</v>
      </c>
      <c r="X277" s="6">
        <f t="shared" si="19"/>
        <v>256</v>
      </c>
      <c r="Y277" t="str" cm="1">
        <f t="array" ref="Y277">_xlfn.IFS(E277=7.99,"BASIC",E277=11.99,"STANDARD",E277=15.99,"PREMIUM")</f>
        <v>STANDARD</v>
      </c>
      <c r="Z277" s="4">
        <f t="shared" si="17"/>
        <v>12.1953125</v>
      </c>
      <c r="AA277" s="3" t="str" cm="1">
        <f t="array" ref="AA277">_xlfn.IFS(
(F277/(X277/7)) &lt; 5, "Casual",
AND((F277/(X277/7)) &gt;= 5, (F277/(X277/7)) &lt; 15), "Regular",
(F277/(X277/7)) &gt;= 15, "Power"
)</f>
        <v>Regular</v>
      </c>
      <c r="AB277" s="3">
        <f t="shared" si="20"/>
        <v>0.51382488479262678</v>
      </c>
      <c r="AC277" t="str">
        <f t="shared" si="18"/>
        <v>Viewers</v>
      </c>
    </row>
    <row r="278" spans="1:30" x14ac:dyDescent="0.3">
      <c r="A278" s="6">
        <v>8583</v>
      </c>
      <c r="B278" s="7" t="s">
        <v>118</v>
      </c>
      <c r="C278" s="10">
        <v>45612</v>
      </c>
      <c r="D278" s="10">
        <v>45623</v>
      </c>
      <c r="E278" s="13">
        <v>15.99</v>
      </c>
      <c r="F278" s="6">
        <v>352</v>
      </c>
      <c r="G278" s="7" t="s">
        <v>48</v>
      </c>
      <c r="H278" s="6">
        <v>3</v>
      </c>
      <c r="I278" s="6">
        <v>3</v>
      </c>
      <c r="J278" s="7" t="b">
        <v>0</v>
      </c>
      <c r="K278" s="6">
        <v>154</v>
      </c>
      <c r="L278" s="6">
        <v>148</v>
      </c>
      <c r="M278" s="7" t="s">
        <v>92</v>
      </c>
      <c r="N278" s="7" t="s">
        <v>44</v>
      </c>
      <c r="O278" s="7" t="s">
        <v>64</v>
      </c>
      <c r="P278" s="6">
        <v>39</v>
      </c>
      <c r="Q278" s="11">
        <v>4.7</v>
      </c>
      <c r="R278" s="7" t="b">
        <v>1</v>
      </c>
      <c r="S278" s="7" t="s">
        <v>30</v>
      </c>
      <c r="T278" s="6">
        <v>4588</v>
      </c>
      <c r="U278" s="7" t="s">
        <v>65</v>
      </c>
      <c r="V278" s="12" t="s">
        <v>32</v>
      </c>
      <c r="W278" s="7" t="s">
        <v>60</v>
      </c>
      <c r="X278" s="6">
        <f t="shared" si="19"/>
        <v>11</v>
      </c>
      <c r="Y278" t="str" cm="1">
        <f t="array" ref="Y278">_xlfn.IFS(E278=7.99,"BASIC",E278=11.99,"STANDARD",E278=15.99,"PREMIUM")</f>
        <v>PREMIUM</v>
      </c>
      <c r="Z278" s="4">
        <f t="shared" si="17"/>
        <v>224</v>
      </c>
      <c r="AA278" s="3" t="str" cm="1">
        <f t="array" ref="AA278">_xlfn.IFS(
(F278/(X278/7)) &lt; 5, "Casual",
AND((F278/(X278/7)) &gt;= 5, (F278/(X278/7)) &lt; 15), "Regular",
(F278/(X278/7)) &gt;= 15, "Power"
)</f>
        <v>Power</v>
      </c>
      <c r="AB278" s="3">
        <f t="shared" si="20"/>
        <v>1.1655629139072847</v>
      </c>
      <c r="AC278" t="str">
        <f t="shared" si="18"/>
        <v>Viewers</v>
      </c>
    </row>
    <row r="279" spans="1:30" x14ac:dyDescent="0.3">
      <c r="A279" s="6">
        <v>1062</v>
      </c>
      <c r="B279" s="7" t="s">
        <v>179</v>
      </c>
      <c r="C279" s="10">
        <v>45568</v>
      </c>
      <c r="D279" s="10">
        <v>45639</v>
      </c>
      <c r="E279" s="13">
        <v>7.99</v>
      </c>
      <c r="F279" s="6">
        <v>209</v>
      </c>
      <c r="G279" s="7" t="s">
        <v>48</v>
      </c>
      <c r="H279" s="6">
        <v>2</v>
      </c>
      <c r="I279" s="6">
        <v>6</v>
      </c>
      <c r="J279" s="7" t="b">
        <v>0</v>
      </c>
      <c r="K279" s="6">
        <v>707</v>
      </c>
      <c r="L279" s="6">
        <v>162</v>
      </c>
      <c r="M279" s="7" t="s">
        <v>27</v>
      </c>
      <c r="N279" s="7" t="s">
        <v>44</v>
      </c>
      <c r="O279" s="7" t="s">
        <v>37</v>
      </c>
      <c r="P279" s="6">
        <v>95</v>
      </c>
      <c r="Q279" s="11">
        <v>3.5</v>
      </c>
      <c r="R279" s="7" t="b">
        <v>1</v>
      </c>
      <c r="S279" s="7" t="s">
        <v>30</v>
      </c>
      <c r="T279" s="6">
        <v>73</v>
      </c>
      <c r="U279" s="7" t="s">
        <v>31</v>
      </c>
      <c r="V279" s="12" t="s">
        <v>79</v>
      </c>
      <c r="W279" s="7" t="s">
        <v>33</v>
      </c>
      <c r="X279" s="6">
        <f t="shared" si="19"/>
        <v>71</v>
      </c>
      <c r="Y279" t="str" cm="1">
        <f t="array" ref="Y279">_xlfn.IFS(E279=7.99,"BASIC",E279=11.99,"STANDARD",E279=15.99,"PREMIUM")</f>
        <v>BASIC</v>
      </c>
      <c r="Z279" s="4">
        <f t="shared" si="17"/>
        <v>20.605633802816904</v>
      </c>
      <c r="AA279" s="3" t="str" cm="1">
        <f t="array" ref="AA279">_xlfn.IFS(
(F279/(X279/7)) &lt; 5, "Casual",
AND((F279/(X279/7)) &gt;= 5, (F279/(X279/7)) &lt; 15), "Regular",
(F279/(X279/7)) &gt;= 15, "Power"
)</f>
        <v>Power</v>
      </c>
      <c r="AB279" s="3">
        <f t="shared" si="20"/>
        <v>0.24050632911392406</v>
      </c>
      <c r="AC279" t="str">
        <f t="shared" si="18"/>
        <v>Viewers</v>
      </c>
    </row>
    <row r="280" spans="1:30" x14ac:dyDescent="0.3">
      <c r="A280" s="6">
        <v>2593</v>
      </c>
      <c r="B280" s="7" t="s">
        <v>130</v>
      </c>
      <c r="C280" s="10">
        <v>44916</v>
      </c>
      <c r="D280" s="10">
        <v>45637</v>
      </c>
      <c r="E280" s="13">
        <v>7.99</v>
      </c>
      <c r="F280" s="6">
        <v>311</v>
      </c>
      <c r="G280" s="7" t="s">
        <v>63</v>
      </c>
      <c r="H280" s="6">
        <v>5</v>
      </c>
      <c r="I280" s="6">
        <v>6</v>
      </c>
      <c r="J280" s="7" t="b">
        <v>0</v>
      </c>
      <c r="K280" s="6">
        <v>587</v>
      </c>
      <c r="L280" s="6">
        <v>140</v>
      </c>
      <c r="M280" s="7" t="s">
        <v>55</v>
      </c>
      <c r="N280" s="7" t="s">
        <v>28</v>
      </c>
      <c r="O280" s="7" t="s">
        <v>45</v>
      </c>
      <c r="P280" s="6">
        <v>43</v>
      </c>
      <c r="Q280" s="11">
        <v>3.6</v>
      </c>
      <c r="R280" s="7" t="b">
        <v>1</v>
      </c>
      <c r="S280" s="7" t="s">
        <v>30</v>
      </c>
      <c r="T280" s="6">
        <v>4635</v>
      </c>
      <c r="U280" s="7" t="s">
        <v>31</v>
      </c>
      <c r="V280" s="12" t="s">
        <v>59</v>
      </c>
      <c r="W280" s="7" t="s">
        <v>93</v>
      </c>
      <c r="X280" s="6">
        <f t="shared" si="19"/>
        <v>721</v>
      </c>
      <c r="Y280" t="str" cm="1">
        <f t="array" ref="Y280">_xlfn.IFS(E280=7.99,"BASIC",E280=11.99,"STANDARD",E280=15.99,"PREMIUM")</f>
        <v>BASIC</v>
      </c>
      <c r="Z280" s="4">
        <f t="shared" si="17"/>
        <v>3.0194174757281553</v>
      </c>
      <c r="AA280" s="3" t="str" cm="1">
        <f t="array" ref="AA280">_xlfn.IFS(
(F280/(X280/7)) &lt; 5, "Casual",
AND((F280/(X280/7)) &gt;= 5, (F280/(X280/7)) &lt; 15), "Regular",
(F280/(X280/7)) &gt;= 15, "Power"
)</f>
        <v>Casual</v>
      </c>
      <c r="AB280" s="3">
        <f t="shared" si="20"/>
        <v>0.42778541953232463</v>
      </c>
      <c r="AC280" t="str">
        <f t="shared" si="18"/>
        <v>Viewers</v>
      </c>
    </row>
    <row r="281" spans="1:30" x14ac:dyDescent="0.3">
      <c r="A281" s="6">
        <v>3951</v>
      </c>
      <c r="B281" s="7" t="s">
        <v>383</v>
      </c>
      <c r="C281" s="10">
        <v>45103</v>
      </c>
      <c r="D281" s="10">
        <v>45632</v>
      </c>
      <c r="E281" s="13">
        <v>11.99</v>
      </c>
      <c r="F281" s="6">
        <v>293</v>
      </c>
      <c r="G281" s="7" t="s">
        <v>48</v>
      </c>
      <c r="H281" s="6">
        <v>3</v>
      </c>
      <c r="I281" s="6">
        <v>6</v>
      </c>
      <c r="J281" s="7" t="b">
        <v>1</v>
      </c>
      <c r="K281" s="6">
        <v>158</v>
      </c>
      <c r="L281" s="6">
        <v>119</v>
      </c>
      <c r="M281" s="7" t="s">
        <v>55</v>
      </c>
      <c r="N281" s="7" t="s">
        <v>56</v>
      </c>
      <c r="O281" s="7" t="s">
        <v>57</v>
      </c>
      <c r="P281" s="6">
        <v>60</v>
      </c>
      <c r="Q281" s="11">
        <v>3.7</v>
      </c>
      <c r="R281" s="7" t="b">
        <v>0</v>
      </c>
      <c r="S281" s="7" t="s">
        <v>30</v>
      </c>
      <c r="T281" s="6">
        <v>1882</v>
      </c>
      <c r="U281" s="7" t="s">
        <v>76</v>
      </c>
      <c r="V281" s="12" t="s">
        <v>69</v>
      </c>
      <c r="W281" s="7" t="s">
        <v>33</v>
      </c>
      <c r="X281" s="6">
        <f t="shared" si="19"/>
        <v>529</v>
      </c>
      <c r="Y281" t="str" cm="1">
        <f t="array" ref="Y281">_xlfn.IFS(E281=7.99,"BASIC",E281=11.99,"STANDARD",E281=15.99,"PREMIUM")</f>
        <v>STANDARD</v>
      </c>
      <c r="Z281" s="4">
        <f t="shared" si="17"/>
        <v>3.8771266540642721</v>
      </c>
      <c r="AA281" s="3" t="str" cm="1">
        <f t="array" ref="AA281">_xlfn.IFS(
(F281/(X281/7)) &lt; 5, "Casual",
AND((F281/(X281/7)) &gt;= 5, (F281/(X281/7)) &lt; 15), "Regular",
(F281/(X281/7)) &gt;= 15, "Power"
)</f>
        <v>Casual</v>
      </c>
      <c r="AB281" s="3">
        <f t="shared" si="20"/>
        <v>1.0577617328519855</v>
      </c>
      <c r="AC281" t="str">
        <f t="shared" si="18"/>
        <v>Viewers</v>
      </c>
    </row>
    <row r="282" spans="1:30" x14ac:dyDescent="0.3">
      <c r="A282" s="6">
        <v>8580</v>
      </c>
      <c r="B282" s="7" t="s">
        <v>385</v>
      </c>
      <c r="C282" s="10">
        <v>45445</v>
      </c>
      <c r="D282" s="10">
        <v>45636</v>
      </c>
      <c r="E282" s="13">
        <v>15.99</v>
      </c>
      <c r="F282" s="6">
        <v>119</v>
      </c>
      <c r="G282" s="7" t="s">
        <v>100</v>
      </c>
      <c r="H282" s="6">
        <v>4</v>
      </c>
      <c r="I282" s="6">
        <v>2</v>
      </c>
      <c r="J282" s="7" t="b">
        <v>0</v>
      </c>
      <c r="K282" s="6">
        <v>936</v>
      </c>
      <c r="L282" s="6">
        <v>188</v>
      </c>
      <c r="M282" s="7" t="s">
        <v>27</v>
      </c>
      <c r="N282" s="7" t="s">
        <v>75</v>
      </c>
      <c r="O282" s="7" t="s">
        <v>45</v>
      </c>
      <c r="P282" s="6">
        <v>59</v>
      </c>
      <c r="Q282" s="11">
        <v>4.0999999999999996</v>
      </c>
      <c r="R282" s="7" t="b">
        <v>1</v>
      </c>
      <c r="S282" s="7" t="s">
        <v>30</v>
      </c>
      <c r="T282" s="6">
        <v>1690</v>
      </c>
      <c r="U282" s="7" t="s">
        <v>38</v>
      </c>
      <c r="V282" s="12" t="s">
        <v>39</v>
      </c>
      <c r="W282" s="7" t="s">
        <v>93</v>
      </c>
      <c r="X282" s="6">
        <f t="shared" si="19"/>
        <v>191</v>
      </c>
      <c r="Y282" t="str" cm="1">
        <f t="array" ref="Y282">_xlfn.IFS(E282=7.99,"BASIC",E282=11.99,"STANDARD",E282=15.99,"PREMIUM")</f>
        <v>PREMIUM</v>
      </c>
      <c r="Z282" s="4">
        <f t="shared" si="17"/>
        <v>4.3612565445026181</v>
      </c>
      <c r="AA282" s="3" t="str" cm="1">
        <f t="array" ref="AA282">_xlfn.IFS(
(F282/(X282/7)) &lt; 5, "Casual",
AND((F282/(X282/7)) &gt;= 5, (F282/(X282/7)) &lt; 15), "Regular",
(F282/(X282/7)) &gt;= 15, "Power"
)</f>
        <v>Casual</v>
      </c>
      <c r="AB282" s="3">
        <f t="shared" si="20"/>
        <v>0.10587188612099645</v>
      </c>
      <c r="AC282" t="str">
        <f t="shared" si="18"/>
        <v xml:space="preserve"> Browsers</v>
      </c>
    </row>
    <row r="283" spans="1:30" x14ac:dyDescent="0.3">
      <c r="A283" s="6">
        <v>4372</v>
      </c>
      <c r="B283" s="7" t="s">
        <v>157</v>
      </c>
      <c r="C283" s="10">
        <v>44944</v>
      </c>
      <c r="D283" s="10">
        <v>45631</v>
      </c>
      <c r="E283" s="13">
        <v>15.99</v>
      </c>
      <c r="F283" s="6">
        <v>329</v>
      </c>
      <c r="G283" s="7" t="s">
        <v>48</v>
      </c>
      <c r="H283" s="6">
        <v>2</v>
      </c>
      <c r="I283" s="6">
        <v>1</v>
      </c>
      <c r="J283" s="7" t="b">
        <v>0</v>
      </c>
      <c r="K283" s="6">
        <v>670</v>
      </c>
      <c r="L283" s="6">
        <v>94</v>
      </c>
      <c r="M283" s="7" t="s">
        <v>49</v>
      </c>
      <c r="N283" s="7" t="s">
        <v>28</v>
      </c>
      <c r="O283" s="7" t="s">
        <v>29</v>
      </c>
      <c r="P283" s="6">
        <v>61</v>
      </c>
      <c r="Q283" s="11">
        <v>3</v>
      </c>
      <c r="R283" s="7" t="b">
        <v>0</v>
      </c>
      <c r="S283" s="7" t="s">
        <v>30</v>
      </c>
      <c r="T283" s="6">
        <v>2572</v>
      </c>
      <c r="U283" s="7" t="s">
        <v>65</v>
      </c>
      <c r="V283" s="12" t="s">
        <v>32</v>
      </c>
      <c r="W283" s="7" t="s">
        <v>60</v>
      </c>
      <c r="X283" s="6">
        <f t="shared" si="19"/>
        <v>687</v>
      </c>
      <c r="Y283" t="str" cm="1">
        <f t="array" ref="Y283">_xlfn.IFS(E283=7.99,"BASIC",E283=11.99,"STANDARD",E283=15.99,"PREMIUM")</f>
        <v>PREMIUM</v>
      </c>
      <c r="Z283" s="4">
        <f t="shared" si="17"/>
        <v>3.3522561863173217</v>
      </c>
      <c r="AA283" s="3" t="str" cm="1">
        <f t="array" ref="AA283">_xlfn.IFS(
(F283/(X283/7)) &lt; 5, "Casual",
AND((F283/(X283/7)) &gt;= 5, (F283/(X283/7)) &lt; 15), "Regular",
(F283/(X283/7)) &gt;= 15, "Power"
)</f>
        <v>Casual</v>
      </c>
      <c r="AB283" s="3">
        <f t="shared" si="20"/>
        <v>0.4306282722513089</v>
      </c>
      <c r="AC283" t="str">
        <f t="shared" si="18"/>
        <v>Viewers</v>
      </c>
    </row>
    <row r="284" spans="1:30" x14ac:dyDescent="0.3">
      <c r="A284" s="6">
        <v>4463</v>
      </c>
      <c r="B284" s="7" t="s">
        <v>387</v>
      </c>
      <c r="C284" s="10">
        <v>45214</v>
      </c>
      <c r="D284" s="10">
        <v>45620</v>
      </c>
      <c r="E284" s="13">
        <v>15.99</v>
      </c>
      <c r="F284" s="6">
        <v>141</v>
      </c>
      <c r="G284" s="7" t="s">
        <v>63</v>
      </c>
      <c r="H284" s="6">
        <v>5</v>
      </c>
      <c r="I284" s="6">
        <v>5</v>
      </c>
      <c r="J284" s="7" t="b">
        <v>1</v>
      </c>
      <c r="K284" s="6">
        <v>636</v>
      </c>
      <c r="L284" s="6">
        <v>186</v>
      </c>
      <c r="M284" s="7" t="s">
        <v>49</v>
      </c>
      <c r="N284" s="7" t="s">
        <v>56</v>
      </c>
      <c r="O284" s="7" t="s">
        <v>45</v>
      </c>
      <c r="P284" s="6">
        <v>95</v>
      </c>
      <c r="Q284" s="11">
        <v>3.6</v>
      </c>
      <c r="R284" s="7" t="b">
        <v>0</v>
      </c>
      <c r="S284" s="7" t="s">
        <v>30</v>
      </c>
      <c r="T284" s="6">
        <v>3865</v>
      </c>
      <c r="U284" s="7" t="s">
        <v>65</v>
      </c>
      <c r="V284" s="12" t="s">
        <v>59</v>
      </c>
      <c r="W284" s="7" t="s">
        <v>33</v>
      </c>
      <c r="X284" s="6">
        <f t="shared" si="19"/>
        <v>406</v>
      </c>
      <c r="Y284" t="str" cm="1">
        <f t="array" ref="Y284">_xlfn.IFS(E284=7.99,"BASIC",E284=11.99,"STANDARD",E284=15.99,"PREMIUM")</f>
        <v>PREMIUM</v>
      </c>
      <c r="Z284" s="4">
        <f t="shared" si="17"/>
        <v>2.4310344827586206</v>
      </c>
      <c r="AA284" s="3" t="str" cm="1">
        <f t="array" ref="AA284">_xlfn.IFS(
(F284/(X284/7)) &lt; 5, "Casual",
AND((F284/(X284/7)) &gt;= 5, (F284/(X284/7)) &lt; 15), "Regular",
(F284/(X284/7)) &gt;= 15, "Power"
)</f>
        <v>Casual</v>
      </c>
      <c r="AB284" s="3">
        <f t="shared" si="20"/>
        <v>0.17153284671532848</v>
      </c>
      <c r="AC284" t="str">
        <f t="shared" si="18"/>
        <v>Viewers</v>
      </c>
    </row>
    <row r="285" spans="1:30" x14ac:dyDescent="0.3">
      <c r="A285" s="6">
        <v>7498</v>
      </c>
      <c r="B285" s="7" t="s">
        <v>389</v>
      </c>
      <c r="C285" s="10">
        <v>44966</v>
      </c>
      <c r="D285" s="10">
        <v>45620</v>
      </c>
      <c r="E285" s="13">
        <v>11.99</v>
      </c>
      <c r="F285" s="6">
        <v>15</v>
      </c>
      <c r="G285" s="7" t="s">
        <v>51</v>
      </c>
      <c r="H285" s="6">
        <v>1</v>
      </c>
      <c r="I285" s="6">
        <v>3</v>
      </c>
      <c r="J285" s="7" t="b">
        <v>1</v>
      </c>
      <c r="K285" s="6">
        <v>700</v>
      </c>
      <c r="L285" s="6">
        <v>64</v>
      </c>
      <c r="M285" s="7" t="s">
        <v>68</v>
      </c>
      <c r="N285" s="7" t="s">
        <v>75</v>
      </c>
      <c r="O285" s="7" t="s">
        <v>57</v>
      </c>
      <c r="P285" s="6">
        <v>35</v>
      </c>
      <c r="Q285" s="11">
        <v>4.7</v>
      </c>
      <c r="R285" s="7" t="b">
        <v>0</v>
      </c>
      <c r="S285" s="7" t="s">
        <v>30</v>
      </c>
      <c r="T285" s="6">
        <v>380</v>
      </c>
      <c r="U285" s="7" t="s">
        <v>65</v>
      </c>
      <c r="V285" s="12" t="s">
        <v>39</v>
      </c>
      <c r="W285" s="7" t="s">
        <v>33</v>
      </c>
      <c r="X285" s="6">
        <f t="shared" si="19"/>
        <v>654</v>
      </c>
      <c r="Y285" t="str" cm="1">
        <f t="array" ref="Y285">_xlfn.IFS(E285=7.99,"BASIC",E285=11.99,"STANDARD",E285=15.99,"PREMIUM")</f>
        <v>STANDARD</v>
      </c>
      <c r="Z285" s="4">
        <f t="shared" si="17"/>
        <v>0.16055045871559634</v>
      </c>
      <c r="AA285" s="3" t="str" cm="1">
        <f t="array" ref="AA285">_xlfn.IFS(
(F285/(X285/7)) &lt; 5, "Casual",
AND((F285/(X285/7)) &gt;= 5, (F285/(X285/7)) &lt; 15), "Regular",
(F285/(X285/7)) &gt;= 15, "Power"
)</f>
        <v>Casual</v>
      </c>
      <c r="AB285" s="3">
        <f t="shared" si="20"/>
        <v>1.9633507853403141E-2</v>
      </c>
      <c r="AC285" t="str">
        <f t="shared" si="18"/>
        <v xml:space="preserve"> Browsers</v>
      </c>
    </row>
    <row r="286" spans="1:30" x14ac:dyDescent="0.3">
      <c r="A286" s="6">
        <v>9618</v>
      </c>
      <c r="B286" s="7" t="s">
        <v>234</v>
      </c>
      <c r="C286" s="10">
        <v>45613</v>
      </c>
      <c r="D286" s="10">
        <v>45626</v>
      </c>
      <c r="E286" s="13">
        <v>11.99</v>
      </c>
      <c r="F286" s="6">
        <v>30</v>
      </c>
      <c r="G286" s="7" t="s">
        <v>73</v>
      </c>
      <c r="H286" s="6">
        <v>5</v>
      </c>
      <c r="I286" s="6">
        <v>4</v>
      </c>
      <c r="J286" s="7" t="b">
        <v>1</v>
      </c>
      <c r="K286" s="6">
        <v>310</v>
      </c>
      <c r="L286" s="6">
        <v>162</v>
      </c>
      <c r="M286" s="7" t="s">
        <v>68</v>
      </c>
      <c r="N286" s="7" t="s">
        <v>44</v>
      </c>
      <c r="O286" s="7" t="s">
        <v>37</v>
      </c>
      <c r="P286" s="6">
        <v>30</v>
      </c>
      <c r="Q286" s="11">
        <v>3.1</v>
      </c>
      <c r="R286" s="7" t="b">
        <v>1</v>
      </c>
      <c r="S286" s="7" t="s">
        <v>30</v>
      </c>
      <c r="T286" s="6">
        <v>3566</v>
      </c>
      <c r="U286" s="7" t="s">
        <v>58</v>
      </c>
      <c r="V286" s="12" t="s">
        <v>39</v>
      </c>
      <c r="W286" s="7" t="s">
        <v>40</v>
      </c>
      <c r="X286" s="6">
        <f t="shared" si="19"/>
        <v>13</v>
      </c>
      <c r="Y286" t="str" cm="1">
        <f t="array" ref="Y286">_xlfn.IFS(E286=7.99,"BASIC",E286=11.99,"STANDARD",E286=15.99,"PREMIUM")</f>
        <v>STANDARD</v>
      </c>
      <c r="Z286" s="4">
        <f t="shared" si="17"/>
        <v>16.153846153846153</v>
      </c>
      <c r="AA286" s="3" t="str" cm="1">
        <f t="array" ref="AA286">_xlfn.IFS(
(F286/(X286/7)) &lt; 5, "Casual",
AND((F286/(X286/7)) &gt;= 5, (F286/(X286/7)) &lt; 15), "Regular",
(F286/(X286/7)) &gt;= 15, "Power"
)</f>
        <v>Power</v>
      </c>
      <c r="AB286" s="3">
        <f t="shared" si="20"/>
        <v>6.3559322033898302E-2</v>
      </c>
      <c r="AC286" t="str">
        <f t="shared" si="18"/>
        <v xml:space="preserve"> Browsers</v>
      </c>
    </row>
    <row r="287" spans="1:30" x14ac:dyDescent="0.3">
      <c r="A287" s="6">
        <v>1813</v>
      </c>
      <c r="B287" s="7" t="s">
        <v>391</v>
      </c>
      <c r="C287" s="10">
        <v>45464</v>
      </c>
      <c r="D287" s="10">
        <v>45625</v>
      </c>
      <c r="E287" s="13">
        <v>11.99</v>
      </c>
      <c r="F287" s="6">
        <v>145</v>
      </c>
      <c r="G287" s="7" t="s">
        <v>63</v>
      </c>
      <c r="H287" s="6">
        <v>2</v>
      </c>
      <c r="I287" s="6">
        <v>4</v>
      </c>
      <c r="J287" s="7" t="b">
        <v>0</v>
      </c>
      <c r="K287" s="6">
        <v>237</v>
      </c>
      <c r="L287" s="6">
        <v>32</v>
      </c>
      <c r="M287" s="7" t="s">
        <v>68</v>
      </c>
      <c r="N287" s="7" t="s">
        <v>75</v>
      </c>
      <c r="O287" s="7" t="s">
        <v>78</v>
      </c>
      <c r="P287" s="6">
        <v>39</v>
      </c>
      <c r="Q287" s="11">
        <v>4.8</v>
      </c>
      <c r="R287" s="7" t="b">
        <v>0</v>
      </c>
      <c r="S287" s="7" t="s">
        <v>30</v>
      </c>
      <c r="T287" s="6">
        <v>1835</v>
      </c>
      <c r="U287" s="7" t="s">
        <v>38</v>
      </c>
      <c r="V287" s="12" t="s">
        <v>69</v>
      </c>
      <c r="W287" s="7" t="s">
        <v>60</v>
      </c>
      <c r="X287" s="6">
        <f t="shared" si="19"/>
        <v>161</v>
      </c>
      <c r="Y287" t="str" cm="1">
        <f t="array" ref="Y287">_xlfn.IFS(E287=7.99,"BASIC",E287=11.99,"STANDARD",E287=15.99,"PREMIUM")</f>
        <v>STANDARD</v>
      </c>
      <c r="Z287" s="4">
        <f t="shared" si="17"/>
        <v>6.3043478260869561</v>
      </c>
      <c r="AA287" s="3" t="str" cm="1">
        <f t="array" ref="AA287">_xlfn.IFS(
(F287/(X287/7)) &lt; 5, "Casual",
AND((F287/(X287/7)) &gt;= 5, (F287/(X287/7)) &lt; 15), "Regular",
(F287/(X287/7)) &gt;= 15, "Power"
)</f>
        <v>Regular</v>
      </c>
      <c r="AB287" s="3">
        <f t="shared" si="20"/>
        <v>0.53903345724907059</v>
      </c>
      <c r="AC287" t="str">
        <f t="shared" si="18"/>
        <v>Viewers</v>
      </c>
    </row>
    <row r="288" spans="1:30" x14ac:dyDescent="0.3">
      <c r="A288" s="6">
        <v>3009</v>
      </c>
      <c r="B288" s="7" t="s">
        <v>393</v>
      </c>
      <c r="C288" s="10">
        <v>45559</v>
      </c>
      <c r="D288" s="10">
        <v>45639</v>
      </c>
      <c r="E288" s="13">
        <v>15.99</v>
      </c>
      <c r="F288" s="6">
        <v>250</v>
      </c>
      <c r="G288" s="7" t="s">
        <v>51</v>
      </c>
      <c r="H288" s="6">
        <v>4</v>
      </c>
      <c r="I288" s="6">
        <v>3</v>
      </c>
      <c r="J288" s="7" t="b">
        <v>0</v>
      </c>
      <c r="K288" s="6">
        <v>774</v>
      </c>
      <c r="L288" s="6">
        <v>88</v>
      </c>
      <c r="M288" s="7" t="s">
        <v>68</v>
      </c>
      <c r="N288" s="7" t="s">
        <v>44</v>
      </c>
      <c r="O288" s="7" t="s">
        <v>45</v>
      </c>
      <c r="P288" s="6">
        <v>64</v>
      </c>
      <c r="Q288" s="11">
        <v>3.3</v>
      </c>
      <c r="R288" s="7" t="b">
        <v>0</v>
      </c>
      <c r="S288" s="7" t="s">
        <v>30</v>
      </c>
      <c r="T288" s="6">
        <v>1882</v>
      </c>
      <c r="U288" s="7" t="s">
        <v>38</v>
      </c>
      <c r="V288" s="12" t="s">
        <v>59</v>
      </c>
      <c r="W288" s="7" t="s">
        <v>60</v>
      </c>
      <c r="X288" s="6">
        <f t="shared" si="19"/>
        <v>80</v>
      </c>
      <c r="Y288" t="str" cm="1">
        <f t="array" ref="Y288">_xlfn.IFS(E288=7.99,"BASIC",E288=11.99,"STANDARD",E288=15.99,"PREMIUM")</f>
        <v>PREMIUM</v>
      </c>
      <c r="Z288" s="4">
        <f t="shared" si="17"/>
        <v>21.875</v>
      </c>
      <c r="AA288" s="3" t="str" cm="1">
        <f t="array" ref="AA288">_xlfn.IFS(
(F288/(X288/7)) &lt; 5, "Casual",
AND((F288/(X288/7)) &gt;= 5, (F288/(X288/7)) &lt; 15), "Regular",
(F288/(X288/7)) &gt;= 15, "Power"
)</f>
        <v>Power</v>
      </c>
      <c r="AB288" s="3">
        <f t="shared" si="20"/>
        <v>0.29002320185614849</v>
      </c>
      <c r="AC288" t="str">
        <f t="shared" si="18"/>
        <v>Viewers</v>
      </c>
    </row>
    <row r="289" spans="1:29" x14ac:dyDescent="0.3">
      <c r="A289" s="6">
        <v>8210</v>
      </c>
      <c r="B289" s="7" t="s">
        <v>114</v>
      </c>
      <c r="C289" s="10">
        <v>44931</v>
      </c>
      <c r="D289" s="10">
        <v>45618</v>
      </c>
      <c r="E289" s="13">
        <v>15.99</v>
      </c>
      <c r="F289" s="6">
        <v>243</v>
      </c>
      <c r="G289" s="7" t="s">
        <v>63</v>
      </c>
      <c r="H289" s="6">
        <v>2</v>
      </c>
      <c r="I289" s="6">
        <v>6</v>
      </c>
      <c r="J289" s="7" t="b">
        <v>1</v>
      </c>
      <c r="K289" s="6">
        <v>532</v>
      </c>
      <c r="L289" s="6">
        <v>110</v>
      </c>
      <c r="M289" s="7" t="s">
        <v>74</v>
      </c>
      <c r="N289" s="7" t="s">
        <v>28</v>
      </c>
      <c r="O289" s="7" t="s">
        <v>57</v>
      </c>
      <c r="P289" s="6">
        <v>73</v>
      </c>
      <c r="Q289" s="11">
        <v>4.7</v>
      </c>
      <c r="R289" s="7" t="b">
        <v>0</v>
      </c>
      <c r="S289" s="7" t="s">
        <v>30</v>
      </c>
      <c r="T289" s="6">
        <v>525</v>
      </c>
      <c r="U289" s="7" t="s">
        <v>31</v>
      </c>
      <c r="V289" s="12" t="s">
        <v>69</v>
      </c>
      <c r="W289" s="7" t="s">
        <v>93</v>
      </c>
      <c r="X289" s="6">
        <f t="shared" si="19"/>
        <v>687</v>
      </c>
      <c r="Y289" t="str" cm="1">
        <f t="array" ref="Y289">_xlfn.IFS(E289=7.99,"BASIC",E289=11.99,"STANDARD",E289=15.99,"PREMIUM")</f>
        <v>PREMIUM</v>
      </c>
      <c r="Z289" s="4">
        <f t="shared" si="17"/>
        <v>2.4759825327510918</v>
      </c>
      <c r="AA289" s="3" t="str" cm="1">
        <f t="array" ref="AA289">_xlfn.IFS(
(F289/(X289/7)) &lt; 5, "Casual",
AND((F289/(X289/7)) &gt;= 5, (F289/(X289/7)) &lt; 15), "Regular",
(F289/(X289/7)) &gt;= 15, "Power"
)</f>
        <v>Casual</v>
      </c>
      <c r="AB289" s="3">
        <f t="shared" si="20"/>
        <v>0.37850467289719625</v>
      </c>
      <c r="AC289" t="str">
        <f t="shared" si="18"/>
        <v>Viewers</v>
      </c>
    </row>
    <row r="290" spans="1:29" x14ac:dyDescent="0.3">
      <c r="A290" s="6">
        <v>8439</v>
      </c>
      <c r="B290" s="7" t="s">
        <v>395</v>
      </c>
      <c r="C290" s="10">
        <v>45133</v>
      </c>
      <c r="D290" s="10">
        <v>45617</v>
      </c>
      <c r="E290" s="13">
        <v>11.99</v>
      </c>
      <c r="F290" s="6">
        <v>392</v>
      </c>
      <c r="G290" s="7" t="s">
        <v>63</v>
      </c>
      <c r="H290" s="6">
        <v>4</v>
      </c>
      <c r="I290" s="6">
        <v>1</v>
      </c>
      <c r="J290" s="7" t="b">
        <v>1</v>
      </c>
      <c r="K290" s="6">
        <v>813</v>
      </c>
      <c r="L290" s="6">
        <v>2</v>
      </c>
      <c r="M290" s="7" t="s">
        <v>49</v>
      </c>
      <c r="N290" s="7" t="s">
        <v>75</v>
      </c>
      <c r="O290" s="7" t="s">
        <v>64</v>
      </c>
      <c r="P290" s="6">
        <v>57</v>
      </c>
      <c r="Q290" s="11">
        <v>3</v>
      </c>
      <c r="R290" s="7" t="b">
        <v>1</v>
      </c>
      <c r="S290" s="7" t="s">
        <v>30</v>
      </c>
      <c r="T290" s="6">
        <v>1025</v>
      </c>
      <c r="U290" s="7" t="s">
        <v>38</v>
      </c>
      <c r="V290" s="12" t="s">
        <v>59</v>
      </c>
      <c r="W290" s="7" t="s">
        <v>93</v>
      </c>
      <c r="X290" s="6">
        <f t="shared" si="19"/>
        <v>484</v>
      </c>
      <c r="Y290" t="str" cm="1">
        <f t="array" ref="Y290">_xlfn.IFS(E290=7.99,"BASIC",E290=11.99,"STANDARD",E290=15.99,"PREMIUM")</f>
        <v>STANDARD</v>
      </c>
      <c r="Z290" s="4">
        <f t="shared" si="17"/>
        <v>5.669421487603306</v>
      </c>
      <c r="AA290" s="3" t="str" cm="1">
        <f t="array" ref="AA290">_xlfn.IFS(
(F290/(X290/7)) &lt; 5, "Casual",
AND((F290/(X290/7)) &gt;= 5, (F290/(X290/7)) &lt; 15), "Regular",
(F290/(X290/7)) &gt;= 15, "Power"
)</f>
        <v>Regular</v>
      </c>
      <c r="AB290" s="3">
        <f t="shared" si="20"/>
        <v>0.48098159509202454</v>
      </c>
      <c r="AC290" t="str">
        <f t="shared" si="18"/>
        <v>Viewers</v>
      </c>
    </row>
    <row r="291" spans="1:29" x14ac:dyDescent="0.3">
      <c r="A291" s="6">
        <v>8310</v>
      </c>
      <c r="B291" s="7" t="s">
        <v>344</v>
      </c>
      <c r="C291" s="10">
        <v>45075</v>
      </c>
      <c r="D291" s="10">
        <v>45637</v>
      </c>
      <c r="E291" s="13">
        <v>11.99</v>
      </c>
      <c r="F291" s="6">
        <v>389</v>
      </c>
      <c r="G291" s="7" t="s">
        <v>36</v>
      </c>
      <c r="H291" s="6">
        <v>5</v>
      </c>
      <c r="I291" s="6">
        <v>4</v>
      </c>
      <c r="J291" s="7" t="b">
        <v>0</v>
      </c>
      <c r="K291" s="6">
        <v>727</v>
      </c>
      <c r="L291" s="6">
        <v>26</v>
      </c>
      <c r="M291" s="7" t="s">
        <v>74</v>
      </c>
      <c r="N291" s="7" t="s">
        <v>28</v>
      </c>
      <c r="O291" s="7" t="s">
        <v>64</v>
      </c>
      <c r="P291" s="6">
        <v>67</v>
      </c>
      <c r="Q291" s="11">
        <v>3.4</v>
      </c>
      <c r="R291" s="7" t="b">
        <v>0</v>
      </c>
      <c r="S291" s="7" t="s">
        <v>30</v>
      </c>
      <c r="T291" s="6">
        <v>2508</v>
      </c>
      <c r="U291" s="7" t="s">
        <v>31</v>
      </c>
      <c r="V291" s="12" t="s">
        <v>69</v>
      </c>
      <c r="W291" s="7" t="s">
        <v>93</v>
      </c>
      <c r="X291" s="6">
        <f t="shared" si="19"/>
        <v>562</v>
      </c>
      <c r="Y291" t="str" cm="1">
        <f t="array" ref="Y291">_xlfn.IFS(E291=7.99,"BASIC",E291=11.99,"STANDARD",E291=15.99,"PREMIUM")</f>
        <v>STANDARD</v>
      </c>
      <c r="Z291" s="4">
        <f t="shared" si="17"/>
        <v>4.845195729537366</v>
      </c>
      <c r="AA291" s="3" t="str" cm="1">
        <f t="array" ref="AA291">_xlfn.IFS(
(F291/(X291/7)) &lt; 5, "Casual",
AND((F291/(X291/7)) &gt;= 5, (F291/(X291/7)) &lt; 15), "Regular",
(F291/(X291/7)) &gt;= 15, "Power"
)</f>
        <v>Casual</v>
      </c>
      <c r="AB291" s="3">
        <f t="shared" si="20"/>
        <v>0.51660026560424965</v>
      </c>
      <c r="AC291" t="str">
        <f t="shared" si="18"/>
        <v>Viewers</v>
      </c>
    </row>
    <row r="292" spans="1:29" x14ac:dyDescent="0.3">
      <c r="A292" s="6">
        <v>6369</v>
      </c>
      <c r="B292" s="7" t="s">
        <v>143</v>
      </c>
      <c r="C292" s="10">
        <v>45222</v>
      </c>
      <c r="D292" s="10">
        <v>45623</v>
      </c>
      <c r="E292" s="13">
        <v>7.99</v>
      </c>
      <c r="F292" s="6">
        <v>414</v>
      </c>
      <c r="G292" s="7" t="s">
        <v>63</v>
      </c>
      <c r="H292" s="6">
        <v>4</v>
      </c>
      <c r="I292" s="6">
        <v>6</v>
      </c>
      <c r="J292" s="7" t="b">
        <v>1</v>
      </c>
      <c r="K292" s="6">
        <v>271</v>
      </c>
      <c r="L292" s="6">
        <v>51</v>
      </c>
      <c r="M292" s="7" t="s">
        <v>55</v>
      </c>
      <c r="N292" s="7" t="s">
        <v>28</v>
      </c>
      <c r="O292" s="7" t="s">
        <v>37</v>
      </c>
      <c r="P292" s="6">
        <v>8</v>
      </c>
      <c r="Q292" s="11">
        <v>4.3</v>
      </c>
      <c r="R292" s="7" t="b">
        <v>0</v>
      </c>
      <c r="S292" s="7" t="s">
        <v>30</v>
      </c>
      <c r="T292" s="6">
        <v>1546</v>
      </c>
      <c r="U292" s="7" t="s">
        <v>38</v>
      </c>
      <c r="V292" s="12" t="s">
        <v>39</v>
      </c>
      <c r="W292" s="7" t="s">
        <v>40</v>
      </c>
      <c r="X292" s="6">
        <f t="shared" si="19"/>
        <v>401</v>
      </c>
      <c r="Y292" t="str" cm="1">
        <f t="array" ref="Y292">_xlfn.IFS(E292=7.99,"BASIC",E292=11.99,"STANDARD",E292=15.99,"PREMIUM")</f>
        <v>BASIC</v>
      </c>
      <c r="Z292" s="4">
        <f t="shared" si="17"/>
        <v>7.2269326683291775</v>
      </c>
      <c r="AA292" s="3" t="str" cm="1">
        <f t="array" ref="AA292">_xlfn.IFS(
(F292/(X292/7)) &lt; 5, "Casual",
AND((F292/(X292/7)) &gt;= 5, (F292/(X292/7)) &lt; 15), "Regular",
(F292/(X292/7)) &gt;= 15, "Power"
)</f>
        <v>Regular</v>
      </c>
      <c r="AB292" s="3">
        <f t="shared" si="20"/>
        <v>1.2857142857142858</v>
      </c>
      <c r="AC292" t="str">
        <f t="shared" si="18"/>
        <v>Viewers</v>
      </c>
    </row>
    <row r="293" spans="1:29" x14ac:dyDescent="0.3">
      <c r="A293" s="6">
        <v>5721</v>
      </c>
      <c r="B293" s="7" t="s">
        <v>399</v>
      </c>
      <c r="C293" s="10">
        <v>45088</v>
      </c>
      <c r="D293" s="10">
        <v>45638</v>
      </c>
      <c r="E293" s="13">
        <v>15.99</v>
      </c>
      <c r="F293" s="6">
        <v>415</v>
      </c>
      <c r="G293" s="7" t="s">
        <v>51</v>
      </c>
      <c r="H293" s="6">
        <v>2</v>
      </c>
      <c r="I293" s="6">
        <v>1</v>
      </c>
      <c r="J293" s="7" t="b">
        <v>0</v>
      </c>
      <c r="K293" s="6">
        <v>958</v>
      </c>
      <c r="L293" s="6">
        <v>192</v>
      </c>
      <c r="M293" s="7" t="s">
        <v>27</v>
      </c>
      <c r="N293" s="7" t="s">
        <v>56</v>
      </c>
      <c r="O293" s="7" t="s">
        <v>37</v>
      </c>
      <c r="P293" s="6">
        <v>22</v>
      </c>
      <c r="Q293" s="11">
        <v>4.8</v>
      </c>
      <c r="R293" s="7" t="b">
        <v>1</v>
      </c>
      <c r="S293" s="7" t="s">
        <v>30</v>
      </c>
      <c r="T293" s="6">
        <v>1955</v>
      </c>
      <c r="U293" s="7" t="s">
        <v>76</v>
      </c>
      <c r="V293" s="12" t="s">
        <v>32</v>
      </c>
      <c r="W293" s="7" t="s">
        <v>93</v>
      </c>
      <c r="X293" s="6">
        <f t="shared" si="19"/>
        <v>550</v>
      </c>
      <c r="Y293" t="str" cm="1">
        <f t="array" ref="Y293">_xlfn.IFS(E293=7.99,"BASIC",E293=11.99,"STANDARD",E293=15.99,"PREMIUM")</f>
        <v>PREMIUM</v>
      </c>
      <c r="Z293" s="4">
        <f t="shared" si="17"/>
        <v>5.2818181818181822</v>
      </c>
      <c r="AA293" s="3" t="str" cm="1">
        <f t="array" ref="AA293">_xlfn.IFS(
(F293/(X293/7)) &lt; 5, "Casual",
AND((F293/(X293/7)) &gt;= 5, (F293/(X293/7)) &lt; 15), "Regular",
(F293/(X293/7)) &gt;= 15, "Power"
)</f>
        <v>Regular</v>
      </c>
      <c r="AB293" s="3">
        <f t="shared" si="20"/>
        <v>0.36086956521739133</v>
      </c>
      <c r="AC293" t="str">
        <f t="shared" si="18"/>
        <v>Viewers</v>
      </c>
    </row>
    <row r="294" spans="1:29" x14ac:dyDescent="0.3">
      <c r="A294" s="6">
        <v>4204</v>
      </c>
      <c r="B294" s="7" t="s">
        <v>169</v>
      </c>
      <c r="C294" s="10">
        <v>45242</v>
      </c>
      <c r="D294" s="10">
        <v>45640</v>
      </c>
      <c r="E294" s="13">
        <v>11.99</v>
      </c>
      <c r="F294" s="6">
        <v>494</v>
      </c>
      <c r="G294" s="7" t="s">
        <v>63</v>
      </c>
      <c r="H294" s="6">
        <v>5</v>
      </c>
      <c r="I294" s="6">
        <v>6</v>
      </c>
      <c r="J294" s="7" t="b">
        <v>1</v>
      </c>
      <c r="K294" s="6">
        <v>202</v>
      </c>
      <c r="L294" s="6">
        <v>163</v>
      </c>
      <c r="M294" s="7" t="s">
        <v>49</v>
      </c>
      <c r="N294" s="7" t="s">
        <v>44</v>
      </c>
      <c r="O294" s="7" t="s">
        <v>57</v>
      </c>
      <c r="P294" s="6">
        <v>61</v>
      </c>
      <c r="Q294" s="11">
        <v>4</v>
      </c>
      <c r="R294" s="7" t="b">
        <v>1</v>
      </c>
      <c r="S294" s="7" t="s">
        <v>30</v>
      </c>
      <c r="T294" s="6">
        <v>4889</v>
      </c>
      <c r="U294" s="7" t="s">
        <v>76</v>
      </c>
      <c r="V294" s="12" t="s">
        <v>32</v>
      </c>
      <c r="W294" s="7" t="s">
        <v>60</v>
      </c>
      <c r="X294" s="6">
        <f t="shared" si="19"/>
        <v>398</v>
      </c>
      <c r="Y294" t="str" cm="1">
        <f t="array" ref="Y294">_xlfn.IFS(E294=7.99,"BASIC",E294=11.99,"STANDARD",E294=15.99,"PREMIUM")</f>
        <v>STANDARD</v>
      </c>
      <c r="Z294" s="4">
        <f t="shared" si="17"/>
        <v>8.6884422110552766</v>
      </c>
      <c r="AA294" s="3" t="str" cm="1">
        <f t="array" ref="AA294">_xlfn.IFS(
(F294/(X294/7)) &lt; 5, "Casual",
AND((F294/(X294/7)) &gt;= 5, (F294/(X294/7)) &lt; 15), "Regular",
(F294/(X294/7)) &gt;= 15, "Power"
)</f>
        <v>Regular</v>
      </c>
      <c r="AB294" s="3">
        <f t="shared" si="20"/>
        <v>1.3534246575342466</v>
      </c>
      <c r="AC294" t="str">
        <f t="shared" si="18"/>
        <v>Viewers</v>
      </c>
    </row>
    <row r="295" spans="1:29" x14ac:dyDescent="0.3">
      <c r="A295" s="6">
        <v>5666</v>
      </c>
      <c r="B295" s="7" t="s">
        <v>272</v>
      </c>
      <c r="C295" s="10">
        <v>45038</v>
      </c>
      <c r="D295" s="10">
        <v>45616</v>
      </c>
      <c r="E295" s="13">
        <v>7.99</v>
      </c>
      <c r="F295" s="6">
        <v>109</v>
      </c>
      <c r="G295" s="7" t="s">
        <v>36</v>
      </c>
      <c r="H295" s="6">
        <v>4</v>
      </c>
      <c r="I295" s="6">
        <v>4</v>
      </c>
      <c r="J295" s="7" t="b">
        <v>1</v>
      </c>
      <c r="K295" s="6">
        <v>899</v>
      </c>
      <c r="L295" s="6">
        <v>11</v>
      </c>
      <c r="M295" s="7" t="s">
        <v>49</v>
      </c>
      <c r="N295" s="7" t="s">
        <v>56</v>
      </c>
      <c r="O295" s="7" t="s">
        <v>37</v>
      </c>
      <c r="P295" s="6">
        <v>63</v>
      </c>
      <c r="Q295" s="11">
        <v>4.3</v>
      </c>
      <c r="R295" s="7" t="b">
        <v>0</v>
      </c>
      <c r="S295" s="7" t="s">
        <v>30</v>
      </c>
      <c r="T295" s="6">
        <v>1185</v>
      </c>
      <c r="U295" s="7" t="s">
        <v>65</v>
      </c>
      <c r="V295" s="12" t="s">
        <v>59</v>
      </c>
      <c r="W295" s="7" t="s">
        <v>33</v>
      </c>
      <c r="X295" s="6">
        <f t="shared" si="19"/>
        <v>578</v>
      </c>
      <c r="Y295" t="str" cm="1">
        <f t="array" ref="Y295">_xlfn.IFS(E295=7.99,"BASIC",E295=11.99,"STANDARD",E295=15.99,"PREMIUM")</f>
        <v>BASIC</v>
      </c>
      <c r="Z295" s="4">
        <f t="shared" si="17"/>
        <v>1.3200692041522493</v>
      </c>
      <c r="AA295" s="3" t="str" cm="1">
        <f t="array" ref="AA295">_xlfn.IFS(
(F295/(X295/7)) &lt; 5, "Casual",
AND((F295/(X295/7)) &gt;= 5, (F295/(X295/7)) &lt; 15), "Regular",
(F295/(X295/7)) &gt;= 15, "Power"
)</f>
        <v>Casual</v>
      </c>
      <c r="AB295" s="3">
        <f t="shared" si="20"/>
        <v>0.11978021978021978</v>
      </c>
      <c r="AC295" t="str">
        <f t="shared" si="18"/>
        <v xml:space="preserve"> Browsers</v>
      </c>
    </row>
    <row r="296" spans="1:29" x14ac:dyDescent="0.3">
      <c r="A296" s="6">
        <v>5943</v>
      </c>
      <c r="B296" s="7" t="s">
        <v>401</v>
      </c>
      <c r="C296" s="10">
        <v>45278</v>
      </c>
      <c r="D296" s="10">
        <v>45633</v>
      </c>
      <c r="E296" s="13">
        <v>7.99</v>
      </c>
      <c r="F296" s="6">
        <v>200</v>
      </c>
      <c r="G296" s="7" t="s">
        <v>100</v>
      </c>
      <c r="H296" s="6">
        <v>1</v>
      </c>
      <c r="I296" s="6">
        <v>2</v>
      </c>
      <c r="J296" s="7" t="b">
        <v>0</v>
      </c>
      <c r="K296" s="6">
        <v>465</v>
      </c>
      <c r="L296" s="6">
        <v>35</v>
      </c>
      <c r="M296" s="7" t="s">
        <v>55</v>
      </c>
      <c r="N296" s="7" t="s">
        <v>75</v>
      </c>
      <c r="O296" s="7" t="s">
        <v>45</v>
      </c>
      <c r="P296" s="6">
        <v>29</v>
      </c>
      <c r="Q296" s="11">
        <v>4.7</v>
      </c>
      <c r="R296" s="7" t="b">
        <v>1</v>
      </c>
      <c r="S296" s="7" t="s">
        <v>30</v>
      </c>
      <c r="T296" s="6">
        <v>3040</v>
      </c>
      <c r="U296" s="7" t="s">
        <v>38</v>
      </c>
      <c r="V296" s="12" t="s">
        <v>79</v>
      </c>
      <c r="W296" s="7" t="s">
        <v>40</v>
      </c>
      <c r="X296" s="6">
        <f t="shared" si="19"/>
        <v>355</v>
      </c>
      <c r="Y296" t="str" cm="1">
        <f t="array" ref="Y296">_xlfn.IFS(E296=7.99,"BASIC",E296=11.99,"STANDARD",E296=15.99,"PREMIUM")</f>
        <v>BASIC</v>
      </c>
      <c r="Z296" s="4">
        <f t="shared" si="17"/>
        <v>3.943661971830986</v>
      </c>
      <c r="AA296" s="3" t="str" cm="1">
        <f t="array" ref="AA296">_xlfn.IFS(
(F296/(X296/7)) &lt; 5, "Casual",
AND((F296/(X296/7)) &gt;= 5, (F296/(X296/7)) &lt; 15), "Regular",
(F296/(X296/7)) &gt;= 15, "Power"
)</f>
        <v>Casual</v>
      </c>
      <c r="AB296" s="3">
        <f t="shared" si="20"/>
        <v>0.4</v>
      </c>
      <c r="AC296" t="str">
        <f t="shared" si="18"/>
        <v>Viewers</v>
      </c>
    </row>
    <row r="297" spans="1:29" x14ac:dyDescent="0.3">
      <c r="A297" s="6">
        <v>3202</v>
      </c>
      <c r="B297" s="7" t="s">
        <v>52</v>
      </c>
      <c r="C297" s="10">
        <v>45345</v>
      </c>
      <c r="D297" s="10">
        <v>45630</v>
      </c>
      <c r="E297" s="13">
        <v>11.99</v>
      </c>
      <c r="F297" s="6">
        <v>134</v>
      </c>
      <c r="G297" s="7" t="s">
        <v>48</v>
      </c>
      <c r="H297" s="6">
        <v>4</v>
      </c>
      <c r="I297" s="6">
        <v>1</v>
      </c>
      <c r="J297" s="7" t="b">
        <v>1</v>
      </c>
      <c r="K297" s="6">
        <v>459</v>
      </c>
      <c r="L297" s="6">
        <v>105</v>
      </c>
      <c r="M297" s="7" t="s">
        <v>49</v>
      </c>
      <c r="N297" s="7" t="s">
        <v>75</v>
      </c>
      <c r="O297" s="7" t="s">
        <v>37</v>
      </c>
      <c r="P297" s="6">
        <v>3</v>
      </c>
      <c r="Q297" s="11">
        <v>3.7</v>
      </c>
      <c r="R297" s="7" t="b">
        <v>1</v>
      </c>
      <c r="S297" s="7" t="s">
        <v>30</v>
      </c>
      <c r="T297" s="6">
        <v>4729</v>
      </c>
      <c r="U297" s="7" t="s">
        <v>31</v>
      </c>
      <c r="V297" s="12" t="s">
        <v>69</v>
      </c>
      <c r="W297" s="7" t="s">
        <v>93</v>
      </c>
      <c r="X297" s="6">
        <f t="shared" si="19"/>
        <v>285</v>
      </c>
      <c r="Y297" t="str" cm="1">
        <f t="array" ref="Y297">_xlfn.IFS(E297=7.99,"BASIC",E297=11.99,"STANDARD",E297=15.99,"PREMIUM")</f>
        <v>STANDARD</v>
      </c>
      <c r="Z297" s="4">
        <f t="shared" si="17"/>
        <v>3.2912280701754386</v>
      </c>
      <c r="AA297" s="3" t="str" cm="1">
        <f t="array" ref="AA297">_xlfn.IFS(
(F297/(X297/7)) &lt; 5, "Casual",
AND((F297/(X297/7)) &gt;= 5, (F297/(X297/7)) &lt; 15), "Regular",
(F297/(X297/7)) &gt;= 15, "Power"
)</f>
        <v>Casual</v>
      </c>
      <c r="AB297" s="3">
        <f t="shared" si="20"/>
        <v>0.23758865248226951</v>
      </c>
      <c r="AC297" t="str">
        <f t="shared" si="18"/>
        <v>Viewers</v>
      </c>
    </row>
    <row r="298" spans="1:29" x14ac:dyDescent="0.3">
      <c r="A298" s="6">
        <v>4512</v>
      </c>
      <c r="B298" s="7" t="s">
        <v>259</v>
      </c>
      <c r="C298" s="10">
        <v>44978</v>
      </c>
      <c r="D298" s="10">
        <v>45626</v>
      </c>
      <c r="E298" s="13">
        <v>11.99</v>
      </c>
      <c r="F298" s="6">
        <v>250</v>
      </c>
      <c r="G298" s="7" t="s">
        <v>51</v>
      </c>
      <c r="H298" s="6">
        <v>5</v>
      </c>
      <c r="I298" s="6">
        <v>2</v>
      </c>
      <c r="J298" s="7" t="b">
        <v>0</v>
      </c>
      <c r="K298" s="6">
        <v>611</v>
      </c>
      <c r="L298" s="6">
        <v>170</v>
      </c>
      <c r="M298" s="7" t="s">
        <v>49</v>
      </c>
      <c r="N298" s="7" t="s">
        <v>56</v>
      </c>
      <c r="O298" s="7" t="s">
        <v>64</v>
      </c>
      <c r="P298" s="6">
        <v>71</v>
      </c>
      <c r="Q298" s="11">
        <v>3.9</v>
      </c>
      <c r="R298" s="7" t="b">
        <v>0</v>
      </c>
      <c r="S298" s="7" t="s">
        <v>30</v>
      </c>
      <c r="T298" s="6">
        <v>4193</v>
      </c>
      <c r="U298" s="7" t="s">
        <v>31</v>
      </c>
      <c r="V298" s="12" t="s">
        <v>39</v>
      </c>
      <c r="W298" s="7" t="s">
        <v>40</v>
      </c>
      <c r="X298" s="6">
        <f t="shared" si="19"/>
        <v>648</v>
      </c>
      <c r="Y298" t="str" cm="1">
        <f t="array" ref="Y298">_xlfn.IFS(E298=7.99,"BASIC",E298=11.99,"STANDARD",E298=15.99,"PREMIUM")</f>
        <v>STANDARD</v>
      </c>
      <c r="Z298" s="4">
        <f t="shared" si="17"/>
        <v>2.7006172839506175</v>
      </c>
      <c r="AA298" s="3" t="str" cm="1">
        <f t="array" ref="AA298">_xlfn.IFS(
(F298/(X298/7)) &lt; 5, "Casual",
AND((F298/(X298/7)) &gt;= 5, (F298/(X298/7)) &lt; 15), "Regular",
(F298/(X298/7)) &gt;= 15, "Power"
)</f>
        <v>Casual</v>
      </c>
      <c r="AB298" s="3">
        <f t="shared" si="20"/>
        <v>0.3201024327784891</v>
      </c>
      <c r="AC298" t="str">
        <f t="shared" si="18"/>
        <v>Viewers</v>
      </c>
    </row>
    <row r="299" spans="1:29" x14ac:dyDescent="0.3">
      <c r="A299" s="6">
        <v>2075</v>
      </c>
      <c r="B299" s="7" t="s">
        <v>347</v>
      </c>
      <c r="C299" s="10">
        <v>45593</v>
      </c>
      <c r="D299" s="10">
        <v>45635</v>
      </c>
      <c r="E299" s="13">
        <v>7.99</v>
      </c>
      <c r="F299" s="6">
        <v>305</v>
      </c>
      <c r="G299" s="7" t="s">
        <v>36</v>
      </c>
      <c r="H299" s="6">
        <v>2</v>
      </c>
      <c r="I299" s="6">
        <v>3</v>
      </c>
      <c r="J299" s="7" t="b">
        <v>1</v>
      </c>
      <c r="K299" s="6">
        <v>49</v>
      </c>
      <c r="L299" s="6">
        <v>146</v>
      </c>
      <c r="M299" s="7" t="s">
        <v>27</v>
      </c>
      <c r="N299" s="7" t="s">
        <v>44</v>
      </c>
      <c r="O299" s="7" t="s">
        <v>45</v>
      </c>
      <c r="P299" s="6">
        <v>48</v>
      </c>
      <c r="Q299" s="11">
        <v>4.5999999999999996</v>
      </c>
      <c r="R299" s="7" t="b">
        <v>0</v>
      </c>
      <c r="S299" s="7" t="s">
        <v>30</v>
      </c>
      <c r="T299" s="6">
        <v>4626</v>
      </c>
      <c r="U299" s="7" t="s">
        <v>58</v>
      </c>
      <c r="V299" s="12" t="s">
        <v>79</v>
      </c>
      <c r="W299" s="7" t="s">
        <v>60</v>
      </c>
      <c r="X299" s="6">
        <f t="shared" si="19"/>
        <v>42</v>
      </c>
      <c r="Y299" t="str" cm="1">
        <f t="array" ref="Y299">_xlfn.IFS(E299=7.99,"BASIC",E299=11.99,"STANDARD",E299=15.99,"PREMIUM")</f>
        <v>BASIC</v>
      </c>
      <c r="Z299" s="4">
        <f t="shared" si="17"/>
        <v>50.833333333333336</v>
      </c>
      <c r="AA299" s="3" t="str" cm="1">
        <f t="array" ref="AA299">_xlfn.IFS(
(F299/(X299/7)) &lt; 5, "Casual",
AND((F299/(X299/7)) &gt;= 5, (F299/(X299/7)) &lt; 15), "Regular",
(F299/(X299/7)) &gt;= 15, "Power"
)</f>
        <v>Power</v>
      </c>
      <c r="AB299" s="3">
        <f t="shared" si="20"/>
        <v>1.5641025641025641</v>
      </c>
      <c r="AC299" t="str">
        <f t="shared" si="18"/>
        <v>Viewers</v>
      </c>
    </row>
    <row r="300" spans="1:29" x14ac:dyDescent="0.3">
      <c r="A300" s="6">
        <v>4057</v>
      </c>
      <c r="B300" s="7" t="s">
        <v>404</v>
      </c>
      <c r="C300" s="10">
        <v>45422</v>
      </c>
      <c r="D300" s="10">
        <v>45624</v>
      </c>
      <c r="E300" s="13">
        <v>15.99</v>
      </c>
      <c r="F300" s="6">
        <v>256</v>
      </c>
      <c r="G300" s="7" t="s">
        <v>73</v>
      </c>
      <c r="H300" s="6">
        <v>5</v>
      </c>
      <c r="I300" s="6">
        <v>3</v>
      </c>
      <c r="J300" s="7" t="b">
        <v>0</v>
      </c>
      <c r="K300" s="6">
        <v>929</v>
      </c>
      <c r="L300" s="6">
        <v>89</v>
      </c>
      <c r="M300" s="7" t="s">
        <v>43</v>
      </c>
      <c r="N300" s="7" t="s">
        <v>28</v>
      </c>
      <c r="O300" s="7" t="s">
        <v>57</v>
      </c>
      <c r="P300" s="6">
        <v>89</v>
      </c>
      <c r="Q300" s="11">
        <v>3.3</v>
      </c>
      <c r="R300" s="7" t="b">
        <v>0</v>
      </c>
      <c r="S300" s="7" t="s">
        <v>30</v>
      </c>
      <c r="T300" s="6">
        <v>60</v>
      </c>
      <c r="U300" s="7" t="s">
        <v>31</v>
      </c>
      <c r="V300" s="12" t="s">
        <v>79</v>
      </c>
      <c r="W300" s="7" t="s">
        <v>60</v>
      </c>
      <c r="X300" s="6">
        <f t="shared" si="19"/>
        <v>202</v>
      </c>
      <c r="Y300" t="str" cm="1">
        <f t="array" ref="Y300">_xlfn.IFS(E300=7.99,"BASIC",E300=11.99,"STANDARD",E300=15.99,"PREMIUM")</f>
        <v>PREMIUM</v>
      </c>
      <c r="Z300" s="4">
        <f t="shared" si="17"/>
        <v>8.8712871287128703</v>
      </c>
      <c r="AA300" s="3" t="str" cm="1">
        <f t="array" ref="AA300">_xlfn.IFS(
(F300/(X300/7)) &lt; 5, "Casual",
AND((F300/(X300/7)) &gt;= 5, (F300/(X300/7)) &lt; 15), "Regular",
(F300/(X300/7)) &gt;= 15, "Power"
)</f>
        <v>Regular</v>
      </c>
      <c r="AB300" s="3">
        <f t="shared" si="20"/>
        <v>0.25147347740667975</v>
      </c>
      <c r="AC300" t="str">
        <f t="shared" si="18"/>
        <v>Viewers</v>
      </c>
    </row>
    <row r="301" spans="1:29" x14ac:dyDescent="0.3">
      <c r="A301" s="6">
        <v>5537</v>
      </c>
      <c r="B301" s="7" t="s">
        <v>212</v>
      </c>
      <c r="C301" s="10">
        <v>45547</v>
      </c>
      <c r="D301" s="10">
        <v>45615</v>
      </c>
      <c r="E301" s="13">
        <v>11.99</v>
      </c>
      <c r="F301" s="6">
        <v>214</v>
      </c>
      <c r="G301" s="7" t="s">
        <v>51</v>
      </c>
      <c r="H301" s="6">
        <v>1</v>
      </c>
      <c r="I301" s="6">
        <v>3</v>
      </c>
      <c r="J301" s="7" t="b">
        <v>0</v>
      </c>
      <c r="K301" s="6">
        <v>39</v>
      </c>
      <c r="L301" s="6">
        <v>89</v>
      </c>
      <c r="M301" s="7" t="s">
        <v>43</v>
      </c>
      <c r="N301" s="7" t="s">
        <v>44</v>
      </c>
      <c r="O301" s="7" t="s">
        <v>29</v>
      </c>
      <c r="P301" s="6">
        <v>37</v>
      </c>
      <c r="Q301" s="11">
        <v>3.5</v>
      </c>
      <c r="R301" s="7" t="b">
        <v>1</v>
      </c>
      <c r="S301" s="7" t="s">
        <v>30</v>
      </c>
      <c r="T301" s="6">
        <v>2597</v>
      </c>
      <c r="U301" s="7" t="s">
        <v>76</v>
      </c>
      <c r="V301" s="12" t="s">
        <v>69</v>
      </c>
      <c r="W301" s="7" t="s">
        <v>60</v>
      </c>
      <c r="X301" s="6">
        <f t="shared" si="19"/>
        <v>68</v>
      </c>
      <c r="Y301" t="str" cm="1">
        <f t="array" ref="Y301">_xlfn.IFS(E301=7.99,"BASIC",E301=11.99,"STANDARD",E301=15.99,"PREMIUM")</f>
        <v>STANDARD</v>
      </c>
      <c r="Z301" s="4">
        <f t="shared" si="17"/>
        <v>22.029411764705884</v>
      </c>
      <c r="AA301" s="3" t="str" cm="1">
        <f t="array" ref="AA301">_xlfn.IFS(
(F301/(X301/7)) &lt; 5, "Casual",
AND((F301/(X301/7)) &gt;= 5, (F301/(X301/7)) &lt; 15), "Regular",
(F301/(X301/7)) &gt;= 15, "Power"
)</f>
        <v>Power</v>
      </c>
      <c r="AB301" s="3">
        <f t="shared" si="20"/>
        <v>1.671875</v>
      </c>
      <c r="AC301" t="str">
        <f t="shared" si="18"/>
        <v>Viewers</v>
      </c>
    </row>
    <row r="302" spans="1:29" x14ac:dyDescent="0.3">
      <c r="A302" s="6">
        <v>9520</v>
      </c>
      <c r="B302" s="7" t="s">
        <v>405</v>
      </c>
      <c r="C302" s="10">
        <v>45143</v>
      </c>
      <c r="D302" s="10">
        <v>45627</v>
      </c>
      <c r="E302" s="13">
        <v>11.99</v>
      </c>
      <c r="F302" s="6">
        <v>272</v>
      </c>
      <c r="G302" s="7" t="s">
        <v>100</v>
      </c>
      <c r="H302" s="6">
        <v>1</v>
      </c>
      <c r="I302" s="6">
        <v>2</v>
      </c>
      <c r="J302" s="7" t="b">
        <v>0</v>
      </c>
      <c r="K302" s="6">
        <v>520</v>
      </c>
      <c r="L302" s="6">
        <v>170</v>
      </c>
      <c r="M302" s="7" t="s">
        <v>74</v>
      </c>
      <c r="N302" s="7" t="s">
        <v>28</v>
      </c>
      <c r="O302" s="7" t="s">
        <v>37</v>
      </c>
      <c r="P302" s="6">
        <v>100</v>
      </c>
      <c r="Q302" s="11">
        <v>5</v>
      </c>
      <c r="R302" s="7" t="b">
        <v>0</v>
      </c>
      <c r="S302" s="7" t="s">
        <v>30</v>
      </c>
      <c r="T302" s="6">
        <v>260</v>
      </c>
      <c r="U302" s="7" t="s">
        <v>76</v>
      </c>
      <c r="V302" s="12" t="s">
        <v>79</v>
      </c>
      <c r="W302" s="7" t="s">
        <v>60</v>
      </c>
      <c r="X302" s="6">
        <f t="shared" si="19"/>
        <v>484</v>
      </c>
      <c r="Y302" t="str" cm="1">
        <f t="array" ref="Y302">_xlfn.IFS(E302=7.99,"BASIC",E302=11.99,"STANDARD",E302=15.99,"PREMIUM")</f>
        <v>STANDARD</v>
      </c>
      <c r="Z302" s="4">
        <f t="shared" si="17"/>
        <v>3.9338842975206614</v>
      </c>
      <c r="AA302" s="3" t="str" cm="1">
        <f t="array" ref="AA302">_xlfn.IFS(
(F302/(X302/7)) &lt; 5, "Casual",
AND((F302/(X302/7)) &gt;= 5, (F302/(X302/7)) &lt; 15), "Regular",
(F302/(X302/7)) &gt;= 15, "Power"
)</f>
        <v>Casual</v>
      </c>
      <c r="AB302" s="3">
        <f t="shared" si="20"/>
        <v>0.39420289855072466</v>
      </c>
      <c r="AC302" t="str">
        <f t="shared" si="18"/>
        <v>Viewers</v>
      </c>
    </row>
    <row r="303" spans="1:29" x14ac:dyDescent="0.3">
      <c r="A303" s="6">
        <v>1081</v>
      </c>
      <c r="B303" s="7" t="s">
        <v>406</v>
      </c>
      <c r="C303" s="10">
        <v>45501</v>
      </c>
      <c r="D303" s="10">
        <v>45625</v>
      </c>
      <c r="E303" s="13">
        <v>15.99</v>
      </c>
      <c r="F303" s="6">
        <v>144</v>
      </c>
      <c r="G303" s="7" t="s">
        <v>36</v>
      </c>
      <c r="H303" s="6">
        <v>3</v>
      </c>
      <c r="I303" s="6">
        <v>4</v>
      </c>
      <c r="J303" s="7" t="b">
        <v>0</v>
      </c>
      <c r="K303" s="6">
        <v>501</v>
      </c>
      <c r="L303" s="6">
        <v>64</v>
      </c>
      <c r="M303" s="7" t="s">
        <v>43</v>
      </c>
      <c r="N303" s="7" t="s">
        <v>44</v>
      </c>
      <c r="O303" s="7" t="s">
        <v>64</v>
      </c>
      <c r="P303" s="6">
        <v>98</v>
      </c>
      <c r="Q303" s="11">
        <v>3.3</v>
      </c>
      <c r="R303" s="7" t="b">
        <v>0</v>
      </c>
      <c r="S303" s="7" t="s">
        <v>30</v>
      </c>
      <c r="T303" s="6">
        <v>1544</v>
      </c>
      <c r="U303" s="7" t="s">
        <v>76</v>
      </c>
      <c r="V303" s="12" t="s">
        <v>32</v>
      </c>
      <c r="W303" s="7" t="s">
        <v>33</v>
      </c>
      <c r="X303" s="6">
        <f t="shared" si="19"/>
        <v>124</v>
      </c>
      <c r="Y303" t="str" cm="1">
        <f t="array" ref="Y303">_xlfn.IFS(E303=7.99,"BASIC",E303=11.99,"STANDARD",E303=15.99,"PREMIUM")</f>
        <v>PREMIUM</v>
      </c>
      <c r="Z303" s="4">
        <f t="shared" si="17"/>
        <v>8.129032258064516</v>
      </c>
      <c r="AA303" s="3" t="str" cm="1">
        <f t="array" ref="AA303">_xlfn.IFS(
(F303/(X303/7)) &lt; 5, "Casual",
AND((F303/(X303/7)) &gt;= 5, (F303/(X303/7)) &lt; 15), "Regular",
(F303/(X303/7)) &gt;= 15, "Power"
)</f>
        <v>Regular</v>
      </c>
      <c r="AB303" s="3">
        <f t="shared" si="20"/>
        <v>0.25486725663716814</v>
      </c>
      <c r="AC303" t="str">
        <f t="shared" si="18"/>
        <v>Viewers</v>
      </c>
    </row>
    <row r="304" spans="1:29" x14ac:dyDescent="0.3">
      <c r="A304" s="6">
        <v>7621</v>
      </c>
      <c r="B304" s="7" t="s">
        <v>405</v>
      </c>
      <c r="C304" s="10">
        <v>45175</v>
      </c>
      <c r="D304" s="10">
        <v>45632</v>
      </c>
      <c r="E304" s="13">
        <v>7.99</v>
      </c>
      <c r="F304" s="6">
        <v>381</v>
      </c>
      <c r="G304" s="7" t="s">
        <v>36</v>
      </c>
      <c r="H304" s="6">
        <v>5</v>
      </c>
      <c r="I304" s="6">
        <v>6</v>
      </c>
      <c r="J304" s="7" t="b">
        <v>0</v>
      </c>
      <c r="K304" s="6">
        <v>593</v>
      </c>
      <c r="L304" s="6">
        <v>46</v>
      </c>
      <c r="M304" s="7" t="s">
        <v>68</v>
      </c>
      <c r="N304" s="7" t="s">
        <v>44</v>
      </c>
      <c r="O304" s="7" t="s">
        <v>64</v>
      </c>
      <c r="P304" s="6">
        <v>10</v>
      </c>
      <c r="Q304" s="11">
        <v>4.5999999999999996</v>
      </c>
      <c r="R304" s="7" t="b">
        <v>1</v>
      </c>
      <c r="S304" s="7" t="s">
        <v>30</v>
      </c>
      <c r="T304" s="6">
        <v>4528</v>
      </c>
      <c r="U304" s="7" t="s">
        <v>76</v>
      </c>
      <c r="V304" s="12" t="s">
        <v>79</v>
      </c>
      <c r="W304" s="7" t="s">
        <v>40</v>
      </c>
      <c r="X304" s="6">
        <f t="shared" si="19"/>
        <v>457</v>
      </c>
      <c r="Y304" t="str" cm="1">
        <f t="array" ref="Y304">_xlfn.IFS(E304=7.99,"BASIC",E304=11.99,"STANDARD",E304=15.99,"PREMIUM")</f>
        <v>BASIC</v>
      </c>
      <c r="Z304" s="4">
        <f t="shared" si="17"/>
        <v>5.8358862144420129</v>
      </c>
      <c r="AA304" s="3" t="str" cm="1">
        <f t="array" ref="AA304">_xlfn.IFS(
(F304/(X304/7)) &lt; 5, "Casual",
AND((F304/(X304/7)) &gt;= 5, (F304/(X304/7)) &lt; 15), "Regular",
(F304/(X304/7)) &gt;= 15, "Power"
)</f>
        <v>Regular</v>
      </c>
      <c r="AB304" s="3">
        <f t="shared" si="20"/>
        <v>0.59624413145539901</v>
      </c>
      <c r="AC304" t="str">
        <f t="shared" si="18"/>
        <v>Viewers</v>
      </c>
    </row>
    <row r="305" spans="1:29" x14ac:dyDescent="0.3">
      <c r="A305" s="6">
        <v>4558</v>
      </c>
      <c r="B305" s="7" t="s">
        <v>204</v>
      </c>
      <c r="C305" s="10">
        <v>44944</v>
      </c>
      <c r="D305" s="10">
        <v>45616</v>
      </c>
      <c r="E305" s="13">
        <v>11.99</v>
      </c>
      <c r="F305" s="6">
        <v>292</v>
      </c>
      <c r="G305" s="7" t="s">
        <v>36</v>
      </c>
      <c r="H305" s="6">
        <v>4</v>
      </c>
      <c r="I305" s="6">
        <v>2</v>
      </c>
      <c r="J305" s="7" t="b">
        <v>1</v>
      </c>
      <c r="K305" s="6">
        <v>109</v>
      </c>
      <c r="L305" s="6">
        <v>68</v>
      </c>
      <c r="M305" s="7" t="s">
        <v>74</v>
      </c>
      <c r="N305" s="7" t="s">
        <v>56</v>
      </c>
      <c r="O305" s="7" t="s">
        <v>64</v>
      </c>
      <c r="P305" s="6">
        <v>95</v>
      </c>
      <c r="Q305" s="11">
        <v>4.3</v>
      </c>
      <c r="R305" s="7" t="b">
        <v>0</v>
      </c>
      <c r="S305" s="7" t="s">
        <v>30</v>
      </c>
      <c r="T305" s="6">
        <v>1127</v>
      </c>
      <c r="U305" s="7" t="s">
        <v>65</v>
      </c>
      <c r="V305" s="12" t="s">
        <v>79</v>
      </c>
      <c r="W305" s="7" t="s">
        <v>40</v>
      </c>
      <c r="X305" s="6">
        <f t="shared" si="19"/>
        <v>672</v>
      </c>
      <c r="Y305" t="str" cm="1">
        <f t="array" ref="Y305">_xlfn.IFS(E305=7.99,"BASIC",E305=11.99,"STANDARD",E305=15.99,"PREMIUM")</f>
        <v>STANDARD</v>
      </c>
      <c r="Z305" s="4">
        <f t="shared" si="17"/>
        <v>3.0416666666666665</v>
      </c>
      <c r="AA305" s="3" t="str" cm="1">
        <f t="array" ref="AA305">_xlfn.IFS(
(F305/(X305/7)) &lt; 5, "Casual",
AND((F305/(X305/7)) &gt;= 5, (F305/(X305/7)) &lt; 15), "Regular",
(F305/(X305/7)) &gt;= 15, "Power"
)</f>
        <v>Casual</v>
      </c>
      <c r="AB305" s="3">
        <f t="shared" si="20"/>
        <v>1.6497175141242937</v>
      </c>
      <c r="AC305" t="str">
        <f t="shared" si="18"/>
        <v>Viewers</v>
      </c>
    </row>
    <row r="306" spans="1:29" x14ac:dyDescent="0.3">
      <c r="A306" s="6">
        <v>6628</v>
      </c>
      <c r="B306" s="7" t="s">
        <v>357</v>
      </c>
      <c r="C306" s="10">
        <v>45013</v>
      </c>
      <c r="D306" s="10">
        <v>45641</v>
      </c>
      <c r="E306" s="13">
        <v>11.99</v>
      </c>
      <c r="F306" s="6">
        <v>358</v>
      </c>
      <c r="G306" s="7" t="s">
        <v>100</v>
      </c>
      <c r="H306" s="6">
        <v>4</v>
      </c>
      <c r="I306" s="6">
        <v>3</v>
      </c>
      <c r="J306" s="7" t="b">
        <v>0</v>
      </c>
      <c r="K306" s="6">
        <v>472</v>
      </c>
      <c r="L306" s="6">
        <v>65</v>
      </c>
      <c r="M306" s="7" t="s">
        <v>55</v>
      </c>
      <c r="N306" s="7" t="s">
        <v>44</v>
      </c>
      <c r="O306" s="7" t="s">
        <v>57</v>
      </c>
      <c r="P306" s="6">
        <v>92</v>
      </c>
      <c r="Q306" s="11">
        <v>4</v>
      </c>
      <c r="R306" s="7" t="b">
        <v>0</v>
      </c>
      <c r="S306" s="7" t="s">
        <v>30</v>
      </c>
      <c r="T306" s="6">
        <v>4542</v>
      </c>
      <c r="U306" s="7" t="s">
        <v>31</v>
      </c>
      <c r="V306" s="12" t="s">
        <v>69</v>
      </c>
      <c r="W306" s="7" t="s">
        <v>40</v>
      </c>
      <c r="X306" s="6">
        <f t="shared" si="19"/>
        <v>628</v>
      </c>
      <c r="Y306" t="str" cm="1">
        <f t="array" ref="Y306">_xlfn.IFS(E306=7.99,"BASIC",E306=11.99,"STANDARD",E306=15.99,"PREMIUM")</f>
        <v>STANDARD</v>
      </c>
      <c r="Z306" s="4">
        <f t="shared" si="17"/>
        <v>3.9904458598726116</v>
      </c>
      <c r="AA306" s="3" t="str" cm="1">
        <f t="array" ref="AA306">_xlfn.IFS(
(F306/(X306/7)) &lt; 5, "Casual",
AND((F306/(X306/7)) &gt;= 5, (F306/(X306/7)) &lt; 15), "Regular",
(F306/(X306/7)) &gt;= 15, "Power"
)</f>
        <v>Casual</v>
      </c>
      <c r="AB306" s="3">
        <f t="shared" si="20"/>
        <v>0.66666666666666663</v>
      </c>
      <c r="AC306" t="str">
        <f t="shared" si="18"/>
        <v>Viewers</v>
      </c>
    </row>
    <row r="307" spans="1:29" x14ac:dyDescent="0.3">
      <c r="A307" s="6">
        <v>7643</v>
      </c>
      <c r="B307" s="7" t="s">
        <v>408</v>
      </c>
      <c r="C307" s="10">
        <v>45483</v>
      </c>
      <c r="D307" s="10">
        <v>45629</v>
      </c>
      <c r="E307" s="13">
        <v>15.99</v>
      </c>
      <c r="F307" s="6">
        <v>426</v>
      </c>
      <c r="G307" s="7" t="s">
        <v>48</v>
      </c>
      <c r="H307" s="6">
        <v>1</v>
      </c>
      <c r="I307" s="6">
        <v>6</v>
      </c>
      <c r="J307" s="7" t="b">
        <v>1</v>
      </c>
      <c r="K307" s="6">
        <v>229</v>
      </c>
      <c r="L307" s="6">
        <v>120</v>
      </c>
      <c r="M307" s="7" t="s">
        <v>27</v>
      </c>
      <c r="N307" s="7" t="s">
        <v>28</v>
      </c>
      <c r="O307" s="7" t="s">
        <v>78</v>
      </c>
      <c r="P307" s="6">
        <v>38</v>
      </c>
      <c r="Q307" s="11">
        <v>3.3</v>
      </c>
      <c r="R307" s="7" t="b">
        <v>1</v>
      </c>
      <c r="S307" s="7" t="s">
        <v>30</v>
      </c>
      <c r="T307" s="6">
        <v>1436</v>
      </c>
      <c r="U307" s="7" t="s">
        <v>31</v>
      </c>
      <c r="V307" s="12" t="s">
        <v>79</v>
      </c>
      <c r="W307" s="7" t="s">
        <v>60</v>
      </c>
      <c r="X307" s="6">
        <f t="shared" si="19"/>
        <v>146</v>
      </c>
      <c r="Y307" t="str" cm="1">
        <f t="array" ref="Y307">_xlfn.IFS(E307=7.99,"BASIC",E307=11.99,"STANDARD",E307=15.99,"PREMIUM")</f>
        <v>PREMIUM</v>
      </c>
      <c r="Z307" s="4">
        <f t="shared" si="17"/>
        <v>20.424657534246574</v>
      </c>
      <c r="AA307" s="3" t="str" cm="1">
        <f t="array" ref="AA307">_xlfn.IFS(
(F307/(X307/7)) &lt; 5, "Casual",
AND((F307/(X307/7)) &gt;= 5, (F307/(X307/7)) &lt; 15), "Regular",
(F307/(X307/7)) &gt;= 15, "Power"
)</f>
        <v>Power</v>
      </c>
      <c r="AB307" s="3">
        <f t="shared" si="20"/>
        <v>1.2206303724928367</v>
      </c>
      <c r="AC307" t="str">
        <f t="shared" si="18"/>
        <v>Viewers</v>
      </c>
    </row>
    <row r="308" spans="1:29" x14ac:dyDescent="0.3">
      <c r="A308" s="6">
        <v>4709</v>
      </c>
      <c r="B308" s="7" t="s">
        <v>409</v>
      </c>
      <c r="C308" s="10">
        <v>45191</v>
      </c>
      <c r="D308" s="10">
        <v>45620</v>
      </c>
      <c r="E308" s="13">
        <v>11.99</v>
      </c>
      <c r="F308" s="6">
        <v>474</v>
      </c>
      <c r="G308" s="7" t="s">
        <v>73</v>
      </c>
      <c r="H308" s="6">
        <v>5</v>
      </c>
      <c r="I308" s="6">
        <v>1</v>
      </c>
      <c r="J308" s="7" t="b">
        <v>0</v>
      </c>
      <c r="K308" s="6">
        <v>487</v>
      </c>
      <c r="L308" s="6">
        <v>107</v>
      </c>
      <c r="M308" s="7" t="s">
        <v>68</v>
      </c>
      <c r="N308" s="7" t="s">
        <v>44</v>
      </c>
      <c r="O308" s="7" t="s">
        <v>37</v>
      </c>
      <c r="P308" s="6">
        <v>66</v>
      </c>
      <c r="Q308" s="11">
        <v>4</v>
      </c>
      <c r="R308" s="7" t="b">
        <v>0</v>
      </c>
      <c r="S308" s="7" t="s">
        <v>30</v>
      </c>
      <c r="T308" s="6">
        <v>4438</v>
      </c>
      <c r="U308" s="7" t="s">
        <v>38</v>
      </c>
      <c r="V308" s="12" t="s">
        <v>69</v>
      </c>
      <c r="W308" s="7" t="s">
        <v>33</v>
      </c>
      <c r="X308" s="6">
        <f t="shared" si="19"/>
        <v>429</v>
      </c>
      <c r="Y308" t="str" cm="1">
        <f t="array" ref="Y308">_xlfn.IFS(E308=7.99,"BASIC",E308=11.99,"STANDARD",E308=15.99,"PREMIUM")</f>
        <v>STANDARD</v>
      </c>
      <c r="Z308" s="4">
        <f t="shared" si="17"/>
        <v>7.7342657342657342</v>
      </c>
      <c r="AA308" s="3" t="str" cm="1">
        <f t="array" ref="AA308">_xlfn.IFS(
(F308/(X308/7)) &lt; 5, "Casual",
AND((F308/(X308/7)) &gt;= 5, (F308/(X308/7)) &lt; 15), "Regular",
(F308/(X308/7)) &gt;= 15, "Power"
)</f>
        <v>Regular</v>
      </c>
      <c r="AB308" s="3">
        <f t="shared" si="20"/>
        <v>0.79797979797979801</v>
      </c>
      <c r="AC308" t="str">
        <f t="shared" si="18"/>
        <v>Viewers</v>
      </c>
    </row>
    <row r="309" spans="1:29" x14ac:dyDescent="0.3">
      <c r="A309" s="6">
        <v>8408</v>
      </c>
      <c r="B309" s="7" t="s">
        <v>176</v>
      </c>
      <c r="C309" s="10">
        <v>45135</v>
      </c>
      <c r="D309" s="10">
        <v>45638</v>
      </c>
      <c r="E309" s="13">
        <v>7.99</v>
      </c>
      <c r="F309" s="6">
        <v>286</v>
      </c>
      <c r="G309" s="7" t="s">
        <v>51</v>
      </c>
      <c r="H309" s="6">
        <v>2</v>
      </c>
      <c r="I309" s="6">
        <v>5</v>
      </c>
      <c r="J309" s="7" t="b">
        <v>1</v>
      </c>
      <c r="K309" s="6">
        <v>543</v>
      </c>
      <c r="L309" s="6">
        <v>16</v>
      </c>
      <c r="M309" s="7" t="s">
        <v>27</v>
      </c>
      <c r="N309" s="7" t="s">
        <v>56</v>
      </c>
      <c r="O309" s="7" t="s">
        <v>45</v>
      </c>
      <c r="P309" s="6">
        <v>8</v>
      </c>
      <c r="Q309" s="11">
        <v>3.7</v>
      </c>
      <c r="R309" s="7" t="b">
        <v>1</v>
      </c>
      <c r="S309" s="7" t="s">
        <v>30</v>
      </c>
      <c r="T309" s="6">
        <v>3130</v>
      </c>
      <c r="U309" s="7" t="s">
        <v>31</v>
      </c>
      <c r="V309" s="12" t="s">
        <v>32</v>
      </c>
      <c r="W309" s="7" t="s">
        <v>93</v>
      </c>
      <c r="X309" s="6">
        <f t="shared" si="19"/>
        <v>503</v>
      </c>
      <c r="Y309" t="str" cm="1">
        <f t="array" ref="Y309">_xlfn.IFS(E309=7.99,"BASIC",E309=11.99,"STANDARD",E309=15.99,"PREMIUM")</f>
        <v>BASIC</v>
      </c>
      <c r="Z309" s="4">
        <f t="shared" si="17"/>
        <v>3.9801192842942346</v>
      </c>
      <c r="AA309" s="3" t="str" cm="1">
        <f t="array" ref="AA309">_xlfn.IFS(
(F309/(X309/7)) &lt; 5, "Casual",
AND((F309/(X309/7)) &gt;= 5, (F309/(X309/7)) &lt; 15), "Regular",
(F309/(X309/7)) &gt;= 15, "Power"
)</f>
        <v>Casual</v>
      </c>
      <c r="AB309" s="3">
        <f t="shared" si="20"/>
        <v>0.51162790697674421</v>
      </c>
      <c r="AC309" t="str">
        <f t="shared" si="18"/>
        <v>Viewers</v>
      </c>
    </row>
    <row r="310" spans="1:29" x14ac:dyDescent="0.3">
      <c r="A310" s="6">
        <v>3530</v>
      </c>
      <c r="B310" s="7" t="s">
        <v>411</v>
      </c>
      <c r="C310" s="10">
        <v>45575</v>
      </c>
      <c r="D310" s="10">
        <v>45632</v>
      </c>
      <c r="E310" s="13">
        <v>15.99</v>
      </c>
      <c r="F310" s="6">
        <v>498</v>
      </c>
      <c r="G310" s="7" t="s">
        <v>36</v>
      </c>
      <c r="H310" s="6">
        <v>5</v>
      </c>
      <c r="I310" s="6">
        <v>6</v>
      </c>
      <c r="J310" s="7" t="b">
        <v>0</v>
      </c>
      <c r="K310" s="6">
        <v>105</v>
      </c>
      <c r="L310" s="6">
        <v>35</v>
      </c>
      <c r="M310" s="7" t="s">
        <v>55</v>
      </c>
      <c r="N310" s="7" t="s">
        <v>44</v>
      </c>
      <c r="O310" s="7" t="s">
        <v>64</v>
      </c>
      <c r="P310" s="6">
        <v>6</v>
      </c>
      <c r="Q310" s="11">
        <v>3.9</v>
      </c>
      <c r="R310" s="7" t="b">
        <v>1</v>
      </c>
      <c r="S310" s="7" t="s">
        <v>30</v>
      </c>
      <c r="T310" s="6">
        <v>3379</v>
      </c>
      <c r="U310" s="7" t="s">
        <v>38</v>
      </c>
      <c r="V310" s="12" t="s">
        <v>39</v>
      </c>
      <c r="W310" s="7" t="s">
        <v>33</v>
      </c>
      <c r="X310" s="6">
        <f t="shared" si="19"/>
        <v>57</v>
      </c>
      <c r="Y310" t="str" cm="1">
        <f t="array" ref="Y310">_xlfn.IFS(E310=7.99,"BASIC",E310=11.99,"STANDARD",E310=15.99,"PREMIUM")</f>
        <v>PREMIUM</v>
      </c>
      <c r="Z310" s="4">
        <f t="shared" si="17"/>
        <v>61.15789473684211</v>
      </c>
      <c r="AA310" s="3" t="str" cm="1">
        <f t="array" ref="AA310">_xlfn.IFS(
(F310/(X310/7)) &lt; 5, "Casual",
AND((F310/(X310/7)) &gt;= 5, (F310/(X310/7)) &lt; 15), "Regular",
(F310/(X310/7)) &gt;= 15, "Power"
)</f>
        <v>Power</v>
      </c>
      <c r="AB310" s="3">
        <f t="shared" si="20"/>
        <v>3.5571428571428569</v>
      </c>
      <c r="AC310" t="str">
        <f t="shared" si="18"/>
        <v>Viewers</v>
      </c>
    </row>
    <row r="311" spans="1:29" x14ac:dyDescent="0.3">
      <c r="A311" s="6">
        <v>3779</v>
      </c>
      <c r="B311" s="7" t="s">
        <v>291</v>
      </c>
      <c r="C311" s="10">
        <v>45464</v>
      </c>
      <c r="D311" s="10">
        <v>45641</v>
      </c>
      <c r="E311" s="13">
        <v>11.99</v>
      </c>
      <c r="F311" s="6">
        <v>32</v>
      </c>
      <c r="G311" s="7" t="s">
        <v>36</v>
      </c>
      <c r="H311" s="6">
        <v>2</v>
      </c>
      <c r="I311" s="6">
        <v>4</v>
      </c>
      <c r="J311" s="7" t="b">
        <v>0</v>
      </c>
      <c r="K311" s="6">
        <v>334</v>
      </c>
      <c r="L311" s="6">
        <v>151</v>
      </c>
      <c r="M311" s="7" t="s">
        <v>49</v>
      </c>
      <c r="N311" s="7" t="s">
        <v>75</v>
      </c>
      <c r="O311" s="7" t="s">
        <v>57</v>
      </c>
      <c r="P311" s="6">
        <v>88</v>
      </c>
      <c r="Q311" s="11">
        <v>3.4</v>
      </c>
      <c r="R311" s="7" t="b">
        <v>0</v>
      </c>
      <c r="S311" s="7" t="s">
        <v>30</v>
      </c>
      <c r="T311" s="6">
        <v>3696</v>
      </c>
      <c r="U311" s="7" t="s">
        <v>76</v>
      </c>
      <c r="V311" s="12" t="s">
        <v>39</v>
      </c>
      <c r="W311" s="7" t="s">
        <v>40</v>
      </c>
      <c r="X311" s="6">
        <f t="shared" si="19"/>
        <v>177</v>
      </c>
      <c r="Y311" t="str" cm="1">
        <f t="array" ref="Y311">_xlfn.IFS(E311=7.99,"BASIC",E311=11.99,"STANDARD",E311=15.99,"PREMIUM")</f>
        <v>STANDARD</v>
      </c>
      <c r="Z311" s="4">
        <f t="shared" si="17"/>
        <v>1.2655367231638419</v>
      </c>
      <c r="AA311" s="3" t="str" cm="1">
        <f t="array" ref="AA311">_xlfn.IFS(
(F311/(X311/7)) &lt; 5, "Casual",
AND((F311/(X311/7)) &gt;= 5, (F311/(X311/7)) &lt; 15), "Regular",
(F311/(X311/7)) &gt;= 15, "Power"
)</f>
        <v>Casual</v>
      </c>
      <c r="AB311" s="3">
        <f t="shared" si="20"/>
        <v>6.5979381443298971E-2</v>
      </c>
      <c r="AC311" t="str">
        <f t="shared" si="18"/>
        <v xml:space="preserve"> Browsers</v>
      </c>
    </row>
    <row r="312" spans="1:29" x14ac:dyDescent="0.3">
      <c r="A312" s="6">
        <v>8564</v>
      </c>
      <c r="B312" s="7" t="s">
        <v>202</v>
      </c>
      <c r="C312" s="10">
        <v>45033</v>
      </c>
      <c r="D312" s="10">
        <v>45627</v>
      </c>
      <c r="E312" s="13">
        <v>7.99</v>
      </c>
      <c r="F312" s="6">
        <v>84</v>
      </c>
      <c r="G312" s="7" t="s">
        <v>100</v>
      </c>
      <c r="H312" s="6">
        <v>1</v>
      </c>
      <c r="I312" s="6">
        <v>2</v>
      </c>
      <c r="J312" s="7" t="b">
        <v>1</v>
      </c>
      <c r="K312" s="6">
        <v>871</v>
      </c>
      <c r="L312" s="6">
        <v>187</v>
      </c>
      <c r="M312" s="7" t="s">
        <v>27</v>
      </c>
      <c r="N312" s="7" t="s">
        <v>44</v>
      </c>
      <c r="O312" s="7" t="s">
        <v>45</v>
      </c>
      <c r="P312" s="6">
        <v>96</v>
      </c>
      <c r="Q312" s="11">
        <v>4.5</v>
      </c>
      <c r="R312" s="7" t="b">
        <v>1</v>
      </c>
      <c r="S312" s="7" t="s">
        <v>30</v>
      </c>
      <c r="T312" s="6">
        <v>2416</v>
      </c>
      <c r="U312" s="7" t="s">
        <v>31</v>
      </c>
      <c r="V312" s="12" t="s">
        <v>69</v>
      </c>
      <c r="W312" s="7" t="s">
        <v>33</v>
      </c>
      <c r="X312" s="6">
        <f t="shared" si="19"/>
        <v>594</v>
      </c>
      <c r="Y312" t="str" cm="1">
        <f t="array" ref="Y312">_xlfn.IFS(E312=7.99,"BASIC",E312=11.99,"STANDARD",E312=15.99,"PREMIUM")</f>
        <v>BASIC</v>
      </c>
      <c r="Z312" s="4">
        <f t="shared" si="17"/>
        <v>0.98989898989898983</v>
      </c>
      <c r="AA312" s="3" t="str" cm="1">
        <f t="array" ref="AA312">_xlfn.IFS(
(F312/(X312/7)) &lt; 5, "Casual",
AND((F312/(X312/7)) &gt;= 5, (F312/(X312/7)) &lt; 15), "Regular",
(F312/(X312/7)) &gt;= 15, "Power"
)</f>
        <v>Casual</v>
      </c>
      <c r="AB312" s="3">
        <f t="shared" si="20"/>
        <v>7.9395085066162566E-2</v>
      </c>
      <c r="AC312" t="str">
        <f t="shared" si="18"/>
        <v xml:space="preserve"> Browsers</v>
      </c>
    </row>
    <row r="313" spans="1:29" x14ac:dyDescent="0.3">
      <c r="A313" s="6">
        <v>8731</v>
      </c>
      <c r="B313" s="7" t="s">
        <v>177</v>
      </c>
      <c r="C313" s="10">
        <v>45291</v>
      </c>
      <c r="D313" s="10">
        <v>45628</v>
      </c>
      <c r="E313" s="13">
        <v>15.99</v>
      </c>
      <c r="F313" s="6">
        <v>210</v>
      </c>
      <c r="G313" s="7" t="s">
        <v>100</v>
      </c>
      <c r="H313" s="6">
        <v>5</v>
      </c>
      <c r="I313" s="6">
        <v>5</v>
      </c>
      <c r="J313" s="7" t="b">
        <v>0</v>
      </c>
      <c r="K313" s="6">
        <v>206</v>
      </c>
      <c r="L313" s="6">
        <v>194</v>
      </c>
      <c r="M313" s="7" t="s">
        <v>43</v>
      </c>
      <c r="N313" s="7" t="s">
        <v>28</v>
      </c>
      <c r="O313" s="7" t="s">
        <v>29</v>
      </c>
      <c r="P313" s="6">
        <v>62</v>
      </c>
      <c r="Q313" s="11">
        <v>3.9</v>
      </c>
      <c r="R313" s="7" t="b">
        <v>0</v>
      </c>
      <c r="S313" s="7" t="s">
        <v>30</v>
      </c>
      <c r="T313" s="6">
        <v>2856</v>
      </c>
      <c r="U313" s="7" t="s">
        <v>31</v>
      </c>
      <c r="V313" s="12" t="s">
        <v>69</v>
      </c>
      <c r="W313" s="7" t="s">
        <v>40</v>
      </c>
      <c r="X313" s="6">
        <f t="shared" si="19"/>
        <v>337</v>
      </c>
      <c r="Y313" t="str" cm="1">
        <f t="array" ref="Y313">_xlfn.IFS(E313=7.99,"BASIC",E313=11.99,"STANDARD",E313=15.99,"PREMIUM")</f>
        <v>PREMIUM</v>
      </c>
      <c r="Z313" s="4">
        <f t="shared" si="17"/>
        <v>4.3620178041543021</v>
      </c>
      <c r="AA313" s="3" t="str" cm="1">
        <f t="array" ref="AA313">_xlfn.IFS(
(F313/(X313/7)) &lt; 5, "Casual",
AND((F313/(X313/7)) &gt;= 5, (F313/(X313/7)) &lt; 15), "Regular",
(F313/(X313/7)) &gt;= 15, "Power"
)</f>
        <v>Casual</v>
      </c>
      <c r="AB313" s="3">
        <f t="shared" si="20"/>
        <v>0.52500000000000002</v>
      </c>
      <c r="AC313" t="str">
        <f t="shared" si="18"/>
        <v>Viewers</v>
      </c>
    </row>
    <row r="314" spans="1:29" x14ac:dyDescent="0.3">
      <c r="A314" s="6">
        <v>5000</v>
      </c>
      <c r="B314" s="7" t="s">
        <v>150</v>
      </c>
      <c r="C314" s="10">
        <v>44972</v>
      </c>
      <c r="D314" s="10">
        <v>45620</v>
      </c>
      <c r="E314" s="13">
        <v>15.99</v>
      </c>
      <c r="F314" s="6">
        <v>231</v>
      </c>
      <c r="G314" s="7" t="s">
        <v>63</v>
      </c>
      <c r="H314" s="6">
        <v>3</v>
      </c>
      <c r="I314" s="6">
        <v>5</v>
      </c>
      <c r="J314" s="7" t="b">
        <v>1</v>
      </c>
      <c r="K314" s="6">
        <v>701</v>
      </c>
      <c r="L314" s="6">
        <v>173</v>
      </c>
      <c r="M314" s="7" t="s">
        <v>55</v>
      </c>
      <c r="N314" s="7" t="s">
        <v>56</v>
      </c>
      <c r="O314" s="7" t="s">
        <v>37</v>
      </c>
      <c r="P314" s="6">
        <v>65</v>
      </c>
      <c r="Q314" s="11">
        <v>3.4</v>
      </c>
      <c r="R314" s="7" t="b">
        <v>1</v>
      </c>
      <c r="S314" s="7" t="s">
        <v>30</v>
      </c>
      <c r="T314" s="6">
        <v>4177</v>
      </c>
      <c r="U314" s="7" t="s">
        <v>31</v>
      </c>
      <c r="V314" s="12" t="s">
        <v>59</v>
      </c>
      <c r="W314" s="7" t="s">
        <v>60</v>
      </c>
      <c r="X314" s="6">
        <f t="shared" si="19"/>
        <v>648</v>
      </c>
      <c r="Y314" t="str" cm="1">
        <f t="array" ref="Y314">_xlfn.IFS(E314=7.99,"BASIC",E314=11.99,"STANDARD",E314=15.99,"PREMIUM")</f>
        <v>PREMIUM</v>
      </c>
      <c r="Z314" s="4">
        <f t="shared" si="17"/>
        <v>2.4953703703703702</v>
      </c>
      <c r="AA314" s="3" t="str" cm="1">
        <f t="array" ref="AA314">_xlfn.IFS(
(F314/(X314/7)) &lt; 5, "Casual",
AND((F314/(X314/7)) &gt;= 5, (F314/(X314/7)) &lt; 15), "Regular",
(F314/(X314/7)) &gt;= 15, "Power"
)</f>
        <v>Casual</v>
      </c>
      <c r="AB314" s="3">
        <f t="shared" si="20"/>
        <v>0.26430205949656749</v>
      </c>
      <c r="AC314" t="str">
        <f t="shared" si="18"/>
        <v>Viewers</v>
      </c>
    </row>
    <row r="315" spans="1:29" x14ac:dyDescent="0.3">
      <c r="A315" s="6">
        <v>3882</v>
      </c>
      <c r="B315" s="7" t="s">
        <v>318</v>
      </c>
      <c r="C315" s="10">
        <v>45627</v>
      </c>
      <c r="D315" s="10">
        <v>45641</v>
      </c>
      <c r="E315" s="13">
        <v>15.99</v>
      </c>
      <c r="F315" s="6">
        <v>246</v>
      </c>
      <c r="G315" s="7" t="s">
        <v>36</v>
      </c>
      <c r="H315" s="6">
        <v>3</v>
      </c>
      <c r="I315" s="6">
        <v>3</v>
      </c>
      <c r="J315" s="7" t="b">
        <v>0</v>
      </c>
      <c r="K315" s="6">
        <v>505</v>
      </c>
      <c r="L315" s="6">
        <v>129</v>
      </c>
      <c r="M315" s="7" t="s">
        <v>43</v>
      </c>
      <c r="N315" s="7" t="s">
        <v>56</v>
      </c>
      <c r="O315" s="7" t="s">
        <v>64</v>
      </c>
      <c r="P315" s="6">
        <v>82</v>
      </c>
      <c r="Q315" s="11">
        <v>4.9000000000000004</v>
      </c>
      <c r="R315" s="7" t="b">
        <v>0</v>
      </c>
      <c r="S315" s="7" t="s">
        <v>30</v>
      </c>
      <c r="T315" s="6">
        <v>1912</v>
      </c>
      <c r="U315" s="7" t="s">
        <v>65</v>
      </c>
      <c r="V315" s="12" t="s">
        <v>59</v>
      </c>
      <c r="W315" s="7" t="s">
        <v>40</v>
      </c>
      <c r="X315" s="6">
        <f t="shared" si="19"/>
        <v>14</v>
      </c>
      <c r="Y315" t="str" cm="1">
        <f t="array" ref="Y315">_xlfn.IFS(E315=7.99,"BASIC",E315=11.99,"STANDARD",E315=15.99,"PREMIUM")</f>
        <v>PREMIUM</v>
      </c>
      <c r="Z315" s="4">
        <f t="shared" si="17"/>
        <v>123</v>
      </c>
      <c r="AA315" s="3" t="str" cm="1">
        <f t="array" ref="AA315">_xlfn.IFS(
(F315/(X315/7)) &lt; 5, "Casual",
AND((F315/(X315/7)) &gt;= 5, (F315/(X315/7)) &lt; 15), "Regular",
(F315/(X315/7)) &gt;= 15, "Power"
)</f>
        <v>Power</v>
      </c>
      <c r="AB315" s="3">
        <f t="shared" si="20"/>
        <v>0.38801261829652994</v>
      </c>
      <c r="AC315" t="str">
        <f t="shared" si="18"/>
        <v>Viewers</v>
      </c>
    </row>
    <row r="316" spans="1:29" x14ac:dyDescent="0.3">
      <c r="A316" s="6">
        <v>4551</v>
      </c>
      <c r="B316" s="7" t="s">
        <v>414</v>
      </c>
      <c r="C316" s="10">
        <v>45310</v>
      </c>
      <c r="D316" s="10">
        <v>45615</v>
      </c>
      <c r="E316" s="13">
        <v>11.99</v>
      </c>
      <c r="F316" s="6">
        <v>174</v>
      </c>
      <c r="G316" s="7" t="s">
        <v>100</v>
      </c>
      <c r="H316" s="6">
        <v>1</v>
      </c>
      <c r="I316" s="6">
        <v>6</v>
      </c>
      <c r="J316" s="7" t="b">
        <v>1</v>
      </c>
      <c r="K316" s="6">
        <v>239</v>
      </c>
      <c r="L316" s="6">
        <v>175</v>
      </c>
      <c r="M316" s="7" t="s">
        <v>27</v>
      </c>
      <c r="N316" s="7" t="s">
        <v>56</v>
      </c>
      <c r="O316" s="7" t="s">
        <v>64</v>
      </c>
      <c r="P316" s="6">
        <v>65</v>
      </c>
      <c r="Q316" s="11">
        <v>3.7</v>
      </c>
      <c r="R316" s="7" t="b">
        <v>0</v>
      </c>
      <c r="S316" s="7" t="s">
        <v>30</v>
      </c>
      <c r="T316" s="6">
        <v>2388</v>
      </c>
      <c r="U316" s="7" t="s">
        <v>76</v>
      </c>
      <c r="V316" s="12" t="s">
        <v>59</v>
      </c>
      <c r="W316" s="7" t="s">
        <v>60</v>
      </c>
      <c r="X316" s="6">
        <f t="shared" si="19"/>
        <v>305</v>
      </c>
      <c r="Y316" t="str" cm="1">
        <f t="array" ref="Y316">_xlfn.IFS(E316=7.99,"BASIC",E316=11.99,"STANDARD",E316=15.99,"PREMIUM")</f>
        <v>STANDARD</v>
      </c>
      <c r="Z316" s="4">
        <f t="shared" si="17"/>
        <v>3.9934426229508198</v>
      </c>
      <c r="AA316" s="3" t="str" cm="1">
        <f t="array" ref="AA316">_xlfn.IFS(
(F316/(X316/7)) &lt; 5, "Casual",
AND((F316/(X316/7)) &gt;= 5, (F316/(X316/7)) &lt; 15), "Regular",
(F316/(X316/7)) &gt;= 15, "Power"
)</f>
        <v>Casual</v>
      </c>
      <c r="AB316" s="3">
        <f t="shared" si="20"/>
        <v>0.42028985507246375</v>
      </c>
      <c r="AC316" t="str">
        <f t="shared" si="18"/>
        <v>Viewers</v>
      </c>
    </row>
    <row r="317" spans="1:29" x14ac:dyDescent="0.3">
      <c r="A317" s="6">
        <v>7970</v>
      </c>
      <c r="B317" s="7" t="s">
        <v>169</v>
      </c>
      <c r="C317" s="10">
        <v>45128</v>
      </c>
      <c r="D317" s="10">
        <v>45615</v>
      </c>
      <c r="E317" s="13">
        <v>15.99</v>
      </c>
      <c r="F317" s="6">
        <v>298</v>
      </c>
      <c r="G317" s="7" t="s">
        <v>73</v>
      </c>
      <c r="H317" s="6">
        <v>3</v>
      </c>
      <c r="I317" s="6">
        <v>1</v>
      </c>
      <c r="J317" s="7" t="b">
        <v>1</v>
      </c>
      <c r="K317" s="6">
        <v>115</v>
      </c>
      <c r="L317" s="6">
        <v>168</v>
      </c>
      <c r="M317" s="7" t="s">
        <v>74</v>
      </c>
      <c r="N317" s="7" t="s">
        <v>28</v>
      </c>
      <c r="O317" s="7" t="s">
        <v>29</v>
      </c>
      <c r="P317" s="6">
        <v>27</v>
      </c>
      <c r="Q317" s="11">
        <v>3</v>
      </c>
      <c r="R317" s="7" t="b">
        <v>0</v>
      </c>
      <c r="S317" s="7" t="s">
        <v>30</v>
      </c>
      <c r="T317" s="6">
        <v>4216</v>
      </c>
      <c r="U317" s="7" t="s">
        <v>31</v>
      </c>
      <c r="V317" s="12" t="s">
        <v>79</v>
      </c>
      <c r="W317" s="7" t="s">
        <v>60</v>
      </c>
      <c r="X317" s="6">
        <f t="shared" si="19"/>
        <v>487</v>
      </c>
      <c r="Y317" t="str" cm="1">
        <f t="array" ref="Y317">_xlfn.IFS(E317=7.99,"BASIC",E317=11.99,"STANDARD",E317=15.99,"PREMIUM")</f>
        <v>PREMIUM</v>
      </c>
      <c r="Z317" s="4">
        <f t="shared" si="17"/>
        <v>4.283367556468173</v>
      </c>
      <c r="AA317" s="3" t="str" cm="1">
        <f t="array" ref="AA317">_xlfn.IFS(
(F317/(X317/7)) &lt; 5, "Casual",
AND((F317/(X317/7)) &gt;= 5, (F317/(X317/7)) &lt; 15), "Regular",
(F317/(X317/7)) &gt;= 15, "Power"
)</f>
        <v>Casual</v>
      </c>
      <c r="AB317" s="3">
        <f t="shared" si="20"/>
        <v>1.0530035335689045</v>
      </c>
      <c r="AC317" t="str">
        <f t="shared" si="18"/>
        <v>Viewers</v>
      </c>
    </row>
    <row r="318" spans="1:29" x14ac:dyDescent="0.3">
      <c r="A318" s="6">
        <v>2466</v>
      </c>
      <c r="B318" s="7" t="s">
        <v>417</v>
      </c>
      <c r="C318" s="10">
        <v>45594</v>
      </c>
      <c r="D318" s="10">
        <v>45629</v>
      </c>
      <c r="E318" s="13">
        <v>11.99</v>
      </c>
      <c r="F318" s="6">
        <v>344</v>
      </c>
      <c r="G318" s="7" t="s">
        <v>51</v>
      </c>
      <c r="H318" s="6">
        <v>5</v>
      </c>
      <c r="I318" s="6">
        <v>2</v>
      </c>
      <c r="J318" s="7" t="b">
        <v>0</v>
      </c>
      <c r="K318" s="6">
        <v>142</v>
      </c>
      <c r="L318" s="6">
        <v>113</v>
      </c>
      <c r="M318" s="7" t="s">
        <v>27</v>
      </c>
      <c r="N318" s="7" t="s">
        <v>28</v>
      </c>
      <c r="O318" s="7" t="s">
        <v>37</v>
      </c>
      <c r="P318" s="6">
        <v>100</v>
      </c>
      <c r="Q318" s="11">
        <v>4.5999999999999996</v>
      </c>
      <c r="R318" s="7" t="b">
        <v>1</v>
      </c>
      <c r="S318" s="7" t="s">
        <v>30</v>
      </c>
      <c r="T318" s="6">
        <v>599</v>
      </c>
      <c r="U318" s="7" t="s">
        <v>65</v>
      </c>
      <c r="V318" s="12" t="s">
        <v>39</v>
      </c>
      <c r="W318" s="7" t="s">
        <v>93</v>
      </c>
      <c r="X318" s="6">
        <f t="shared" si="19"/>
        <v>35</v>
      </c>
      <c r="Y318" t="str" cm="1">
        <f t="array" ref="Y318">_xlfn.IFS(E318=7.99,"BASIC",E318=11.99,"STANDARD",E318=15.99,"PREMIUM")</f>
        <v>STANDARD</v>
      </c>
      <c r="Z318" s="4">
        <f t="shared" si="17"/>
        <v>68.8</v>
      </c>
      <c r="AA318" s="3" t="str" cm="1">
        <f t="array" ref="AA318">_xlfn.IFS(
(F318/(X318/7)) &lt; 5, "Casual",
AND((F318/(X318/7)) &gt;= 5, (F318/(X318/7)) &lt; 15), "Regular",
(F318/(X318/7)) &gt;= 15, "Power"
)</f>
        <v>Power</v>
      </c>
      <c r="AB318" s="3">
        <f t="shared" si="20"/>
        <v>1.3490196078431373</v>
      </c>
      <c r="AC318" t="str">
        <f t="shared" si="18"/>
        <v>Viewers</v>
      </c>
    </row>
    <row r="319" spans="1:29" x14ac:dyDescent="0.3">
      <c r="A319" s="6">
        <v>1303</v>
      </c>
      <c r="B319" s="7" t="s">
        <v>140</v>
      </c>
      <c r="C319" s="10">
        <v>45094</v>
      </c>
      <c r="D319" s="10">
        <v>45630</v>
      </c>
      <c r="E319" s="13">
        <v>11.99</v>
      </c>
      <c r="F319" s="6">
        <v>264</v>
      </c>
      <c r="G319" s="7" t="s">
        <v>100</v>
      </c>
      <c r="H319" s="6">
        <v>2</v>
      </c>
      <c r="I319" s="6">
        <v>1</v>
      </c>
      <c r="J319" s="7" t="b">
        <v>1</v>
      </c>
      <c r="K319" s="6">
        <v>744</v>
      </c>
      <c r="L319" s="6">
        <v>33</v>
      </c>
      <c r="M319" s="7" t="s">
        <v>68</v>
      </c>
      <c r="N319" s="7" t="s">
        <v>75</v>
      </c>
      <c r="O319" s="7" t="s">
        <v>64</v>
      </c>
      <c r="P319" s="6">
        <v>29</v>
      </c>
      <c r="Q319" s="11">
        <v>4.9000000000000004</v>
      </c>
      <c r="R319" s="7" t="b">
        <v>1</v>
      </c>
      <c r="S319" s="7" t="s">
        <v>30</v>
      </c>
      <c r="T319" s="6">
        <v>804</v>
      </c>
      <c r="U319" s="7" t="s">
        <v>38</v>
      </c>
      <c r="V319" s="12" t="s">
        <v>39</v>
      </c>
      <c r="W319" s="7" t="s">
        <v>40</v>
      </c>
      <c r="X319" s="6">
        <f t="shared" si="19"/>
        <v>536</v>
      </c>
      <c r="Y319" t="str" cm="1">
        <f t="array" ref="Y319">_xlfn.IFS(E319=7.99,"BASIC",E319=11.99,"STANDARD",E319=15.99,"PREMIUM")</f>
        <v>STANDARD</v>
      </c>
      <c r="Z319" s="4">
        <f t="shared" si="17"/>
        <v>3.4477611940298507</v>
      </c>
      <c r="AA319" s="3" t="str" cm="1">
        <f t="array" ref="AA319">_xlfn.IFS(
(F319/(X319/7)) &lt; 5, "Casual",
AND((F319/(X319/7)) &gt;= 5, (F319/(X319/7)) &lt; 15), "Regular",
(F319/(X319/7)) &gt;= 15, "Power"
)</f>
        <v>Casual</v>
      </c>
      <c r="AB319" s="3">
        <f t="shared" si="20"/>
        <v>0.33976833976833976</v>
      </c>
      <c r="AC319" t="str">
        <f t="shared" si="18"/>
        <v>Viewers</v>
      </c>
    </row>
    <row r="320" spans="1:29" x14ac:dyDescent="0.3">
      <c r="A320" s="6">
        <v>9832</v>
      </c>
      <c r="B320" s="7" t="s">
        <v>311</v>
      </c>
      <c r="C320" s="10">
        <v>44916</v>
      </c>
      <c r="D320" s="10">
        <v>45617</v>
      </c>
      <c r="E320" s="13">
        <v>7.99</v>
      </c>
      <c r="F320" s="6">
        <v>380</v>
      </c>
      <c r="G320" s="7" t="s">
        <v>36</v>
      </c>
      <c r="H320" s="6">
        <v>2</v>
      </c>
      <c r="I320" s="6">
        <v>5</v>
      </c>
      <c r="J320" s="7" t="b">
        <v>1</v>
      </c>
      <c r="K320" s="6">
        <v>820</v>
      </c>
      <c r="L320" s="6">
        <v>17</v>
      </c>
      <c r="M320" s="7" t="s">
        <v>68</v>
      </c>
      <c r="N320" s="7" t="s">
        <v>28</v>
      </c>
      <c r="O320" s="7" t="s">
        <v>78</v>
      </c>
      <c r="P320" s="6">
        <v>93</v>
      </c>
      <c r="Q320" s="11">
        <v>3</v>
      </c>
      <c r="R320" s="7" t="b">
        <v>0</v>
      </c>
      <c r="S320" s="7" t="s">
        <v>30</v>
      </c>
      <c r="T320" s="6">
        <v>4565</v>
      </c>
      <c r="U320" s="7" t="s">
        <v>65</v>
      </c>
      <c r="V320" s="12" t="s">
        <v>39</v>
      </c>
      <c r="W320" s="7" t="s">
        <v>40</v>
      </c>
      <c r="X320" s="6">
        <f t="shared" si="19"/>
        <v>701</v>
      </c>
      <c r="Y320" t="str" cm="1">
        <f t="array" ref="Y320">_xlfn.IFS(E320=7.99,"BASIC",E320=11.99,"STANDARD",E320=15.99,"PREMIUM")</f>
        <v>BASIC</v>
      </c>
      <c r="Z320" s="4">
        <f t="shared" si="17"/>
        <v>3.7945791726105567</v>
      </c>
      <c r="AA320" s="3" t="str" cm="1">
        <f t="array" ref="AA320">_xlfn.IFS(
(F320/(X320/7)) &lt; 5, "Casual",
AND((F320/(X320/7)) &gt;= 5, (F320/(X320/7)) &lt; 15), "Regular",
(F320/(X320/7)) &gt;= 15, "Power"
)</f>
        <v>Casual</v>
      </c>
      <c r="AB320" s="3">
        <f t="shared" si="20"/>
        <v>0.45400238948626043</v>
      </c>
      <c r="AC320" t="str">
        <f t="shared" si="18"/>
        <v>Viewers</v>
      </c>
    </row>
    <row r="321" spans="1:29" x14ac:dyDescent="0.3">
      <c r="A321" s="6">
        <v>3618</v>
      </c>
      <c r="B321" s="7" t="s">
        <v>284</v>
      </c>
      <c r="C321" s="10">
        <v>45325</v>
      </c>
      <c r="D321" s="10">
        <v>45629</v>
      </c>
      <c r="E321" s="13">
        <v>11.99</v>
      </c>
      <c r="F321" s="6">
        <v>160</v>
      </c>
      <c r="G321" s="7" t="s">
        <v>26</v>
      </c>
      <c r="H321" s="6">
        <v>2</v>
      </c>
      <c r="I321" s="6">
        <v>1</v>
      </c>
      <c r="J321" s="7" t="b">
        <v>0</v>
      </c>
      <c r="K321" s="6">
        <v>940</v>
      </c>
      <c r="L321" s="6">
        <v>50</v>
      </c>
      <c r="M321" s="7" t="s">
        <v>68</v>
      </c>
      <c r="N321" s="7" t="s">
        <v>75</v>
      </c>
      <c r="O321" s="7" t="s">
        <v>37</v>
      </c>
      <c r="P321" s="6">
        <v>71</v>
      </c>
      <c r="Q321" s="11">
        <v>3</v>
      </c>
      <c r="R321" s="7" t="b">
        <v>0</v>
      </c>
      <c r="S321" s="7" t="s">
        <v>30</v>
      </c>
      <c r="T321" s="6">
        <v>1095</v>
      </c>
      <c r="U321" s="7" t="s">
        <v>38</v>
      </c>
      <c r="V321" s="12" t="s">
        <v>79</v>
      </c>
      <c r="W321" s="7" t="s">
        <v>33</v>
      </c>
      <c r="X321" s="6">
        <f t="shared" si="19"/>
        <v>304</v>
      </c>
      <c r="Y321" t="str" cm="1">
        <f t="array" ref="Y321">_xlfn.IFS(E321=7.99,"BASIC",E321=11.99,"STANDARD",E321=15.99,"PREMIUM")</f>
        <v>STANDARD</v>
      </c>
      <c r="Z321" s="4">
        <f t="shared" si="17"/>
        <v>3.6842105263157894</v>
      </c>
      <c r="AA321" s="3" t="str" cm="1">
        <f t="array" ref="AA321">_xlfn.IFS(
(F321/(X321/7)) &lt; 5, "Casual",
AND((F321/(X321/7)) &gt;= 5, (F321/(X321/7)) &lt; 15), "Regular",
(F321/(X321/7)) &gt;= 15, "Power"
)</f>
        <v>Casual</v>
      </c>
      <c r="AB321" s="3">
        <f t="shared" si="20"/>
        <v>0.16161616161616163</v>
      </c>
      <c r="AC321" t="str">
        <f t="shared" si="18"/>
        <v>Viewers</v>
      </c>
    </row>
    <row r="322" spans="1:29" x14ac:dyDescent="0.3">
      <c r="A322" s="6">
        <v>7424</v>
      </c>
      <c r="B322" s="7" t="s">
        <v>148</v>
      </c>
      <c r="C322" s="10">
        <v>45146</v>
      </c>
      <c r="D322" s="10">
        <v>45639</v>
      </c>
      <c r="E322" s="13">
        <v>7.99</v>
      </c>
      <c r="F322" s="6">
        <v>55</v>
      </c>
      <c r="G322" s="7" t="s">
        <v>73</v>
      </c>
      <c r="H322" s="6">
        <v>4</v>
      </c>
      <c r="I322" s="6">
        <v>6</v>
      </c>
      <c r="J322" s="7" t="b">
        <v>1</v>
      </c>
      <c r="K322" s="6">
        <v>135</v>
      </c>
      <c r="L322" s="6">
        <v>138</v>
      </c>
      <c r="M322" s="7" t="s">
        <v>74</v>
      </c>
      <c r="N322" s="7" t="s">
        <v>56</v>
      </c>
      <c r="O322" s="7" t="s">
        <v>78</v>
      </c>
      <c r="P322" s="6">
        <v>5</v>
      </c>
      <c r="Q322" s="11">
        <v>3.4</v>
      </c>
      <c r="R322" s="7" t="b">
        <v>0</v>
      </c>
      <c r="S322" s="7" t="s">
        <v>30</v>
      </c>
      <c r="T322" s="6">
        <v>1512</v>
      </c>
      <c r="U322" s="7" t="s">
        <v>76</v>
      </c>
      <c r="V322" s="12" t="s">
        <v>69</v>
      </c>
      <c r="W322" s="7" t="s">
        <v>40</v>
      </c>
      <c r="X322" s="6">
        <f t="shared" si="19"/>
        <v>493</v>
      </c>
      <c r="Y322" t="str" cm="1">
        <f t="array" ref="Y322">_xlfn.IFS(E322=7.99,"BASIC",E322=11.99,"STANDARD",E322=15.99,"PREMIUM")</f>
        <v>BASIC</v>
      </c>
      <c r="Z322" s="4">
        <f t="shared" ref="Z322:Z385" si="21">F322/(X322/7)</f>
        <v>0.78093306288032449</v>
      </c>
      <c r="AA322" s="3" t="str" cm="1">
        <f t="array" ref="AA322">_xlfn.IFS(
(F322/(X322/7)) &lt; 5, "Casual",
AND((F322/(X322/7)) &gt;= 5, (F322/(X322/7)) &lt; 15), "Regular",
(F322/(X322/7)) &gt;= 15, "Power"
)</f>
        <v>Casual</v>
      </c>
      <c r="AB322" s="3">
        <f t="shared" si="20"/>
        <v>0.20146520146520147</v>
      </c>
      <c r="AC322" t="str">
        <f t="shared" ref="AC322:AC385" si="22">IF(F322/(K322+L322) &lt; 0.15," Browsers","Viewers")</f>
        <v>Viewers</v>
      </c>
    </row>
    <row r="323" spans="1:29" x14ac:dyDescent="0.3">
      <c r="A323" s="6">
        <v>8414</v>
      </c>
      <c r="B323" s="7" t="s">
        <v>148</v>
      </c>
      <c r="C323" s="10">
        <v>45304</v>
      </c>
      <c r="D323" s="10">
        <v>45618</v>
      </c>
      <c r="E323" s="13">
        <v>11.99</v>
      </c>
      <c r="F323" s="6">
        <v>70</v>
      </c>
      <c r="G323" s="7" t="s">
        <v>36</v>
      </c>
      <c r="H323" s="6">
        <v>2</v>
      </c>
      <c r="I323" s="6">
        <v>3</v>
      </c>
      <c r="J323" s="7" t="b">
        <v>1</v>
      </c>
      <c r="K323" s="6">
        <v>803</v>
      </c>
      <c r="L323" s="6">
        <v>51</v>
      </c>
      <c r="M323" s="7" t="s">
        <v>55</v>
      </c>
      <c r="N323" s="7" t="s">
        <v>75</v>
      </c>
      <c r="O323" s="7" t="s">
        <v>45</v>
      </c>
      <c r="P323" s="6">
        <v>24</v>
      </c>
      <c r="Q323" s="11">
        <v>3.8</v>
      </c>
      <c r="R323" s="7" t="b">
        <v>0</v>
      </c>
      <c r="S323" s="7" t="s">
        <v>30</v>
      </c>
      <c r="T323" s="6">
        <v>1422</v>
      </c>
      <c r="U323" s="7" t="s">
        <v>65</v>
      </c>
      <c r="V323" s="12" t="s">
        <v>79</v>
      </c>
      <c r="W323" s="7" t="s">
        <v>93</v>
      </c>
      <c r="X323" s="6">
        <f t="shared" ref="X323:X386" si="23">D323-C323</f>
        <v>314</v>
      </c>
      <c r="Y323" t="str" cm="1">
        <f t="array" ref="Y323">_xlfn.IFS(E323=7.99,"BASIC",E323=11.99,"STANDARD",E323=15.99,"PREMIUM")</f>
        <v>STANDARD</v>
      </c>
      <c r="Z323" s="4">
        <f t="shared" si="21"/>
        <v>1.5605095541401275</v>
      </c>
      <c r="AA323" s="3" t="str" cm="1">
        <f t="array" ref="AA323">_xlfn.IFS(
(F323/(X323/7)) &lt; 5, "Casual",
AND((F323/(X323/7)) &gt;= 5, (F323/(X323/7)) &lt; 15), "Regular",
(F323/(X323/7)) &gt;= 15, "Power"
)</f>
        <v>Casual</v>
      </c>
      <c r="AB323" s="3">
        <f t="shared" si="20"/>
        <v>8.1967213114754092E-2</v>
      </c>
      <c r="AC323" t="str">
        <f t="shared" si="22"/>
        <v xml:space="preserve"> Browsers</v>
      </c>
    </row>
    <row r="324" spans="1:29" x14ac:dyDescent="0.3">
      <c r="A324" s="6">
        <v>5688</v>
      </c>
      <c r="B324" s="7" t="s">
        <v>140</v>
      </c>
      <c r="C324" s="10">
        <v>45562</v>
      </c>
      <c r="D324" s="10">
        <v>45626</v>
      </c>
      <c r="E324" s="13">
        <v>7.99</v>
      </c>
      <c r="F324" s="6">
        <v>256</v>
      </c>
      <c r="G324" s="7" t="s">
        <v>36</v>
      </c>
      <c r="H324" s="6">
        <v>3</v>
      </c>
      <c r="I324" s="6">
        <v>3</v>
      </c>
      <c r="J324" s="7" t="b">
        <v>0</v>
      </c>
      <c r="K324" s="6">
        <v>322</v>
      </c>
      <c r="L324" s="6">
        <v>199</v>
      </c>
      <c r="M324" s="7" t="s">
        <v>43</v>
      </c>
      <c r="N324" s="7" t="s">
        <v>56</v>
      </c>
      <c r="O324" s="7" t="s">
        <v>64</v>
      </c>
      <c r="P324" s="6">
        <v>65</v>
      </c>
      <c r="Q324" s="11">
        <v>4.5</v>
      </c>
      <c r="R324" s="7" t="b">
        <v>0</v>
      </c>
      <c r="S324" s="7" t="s">
        <v>30</v>
      </c>
      <c r="T324" s="6">
        <v>147</v>
      </c>
      <c r="U324" s="7" t="s">
        <v>31</v>
      </c>
      <c r="V324" s="12" t="s">
        <v>69</v>
      </c>
      <c r="W324" s="7" t="s">
        <v>60</v>
      </c>
      <c r="X324" s="6">
        <f t="shared" si="23"/>
        <v>64</v>
      </c>
      <c r="Y324" t="str" cm="1">
        <f t="array" ref="Y324">_xlfn.IFS(E324=7.99,"BASIC",E324=11.99,"STANDARD",E324=15.99,"PREMIUM")</f>
        <v>BASIC</v>
      </c>
      <c r="Z324" s="4">
        <f t="shared" si="21"/>
        <v>28</v>
      </c>
      <c r="AA324" s="3" t="str" cm="1">
        <f t="array" ref="AA324">_xlfn.IFS(
(F324/(X324/7)) &lt; 5, "Casual",
AND((F324/(X324/7)) &gt;= 5, (F324/(X324/7)) &lt; 15), "Regular",
(F324/(X324/7)) &gt;= 15, "Power"
)</f>
        <v>Power</v>
      </c>
      <c r="AB324" s="3">
        <f t="shared" si="20"/>
        <v>0.49136276391554701</v>
      </c>
      <c r="AC324" t="str">
        <f t="shared" si="22"/>
        <v>Viewers</v>
      </c>
    </row>
    <row r="325" spans="1:29" x14ac:dyDescent="0.3">
      <c r="A325" s="6">
        <v>2062</v>
      </c>
      <c r="B325" s="7" t="s">
        <v>421</v>
      </c>
      <c r="C325" s="10">
        <v>45467</v>
      </c>
      <c r="D325" s="10">
        <v>45620</v>
      </c>
      <c r="E325" s="13">
        <v>15.99</v>
      </c>
      <c r="F325" s="6">
        <v>436</v>
      </c>
      <c r="G325" s="7" t="s">
        <v>51</v>
      </c>
      <c r="H325" s="6">
        <v>5</v>
      </c>
      <c r="I325" s="6">
        <v>6</v>
      </c>
      <c r="J325" s="7" t="b">
        <v>1</v>
      </c>
      <c r="K325" s="6">
        <v>424</v>
      </c>
      <c r="L325" s="6">
        <v>111</v>
      </c>
      <c r="M325" s="7" t="s">
        <v>92</v>
      </c>
      <c r="N325" s="7" t="s">
        <v>56</v>
      </c>
      <c r="O325" s="7" t="s">
        <v>37</v>
      </c>
      <c r="P325" s="6">
        <v>64</v>
      </c>
      <c r="Q325" s="11">
        <v>3.5</v>
      </c>
      <c r="R325" s="7" t="b">
        <v>1</v>
      </c>
      <c r="S325" s="7" t="s">
        <v>30</v>
      </c>
      <c r="T325" s="6">
        <v>4317</v>
      </c>
      <c r="U325" s="7" t="s">
        <v>58</v>
      </c>
      <c r="V325" s="12" t="s">
        <v>69</v>
      </c>
      <c r="W325" s="7" t="s">
        <v>33</v>
      </c>
      <c r="X325" s="6">
        <f t="shared" si="23"/>
        <v>153</v>
      </c>
      <c r="Y325" t="str" cm="1">
        <f t="array" ref="Y325">_xlfn.IFS(E325=7.99,"BASIC",E325=11.99,"STANDARD",E325=15.99,"PREMIUM")</f>
        <v>PREMIUM</v>
      </c>
      <c r="Z325" s="4">
        <f t="shared" si="21"/>
        <v>19.947712418300654</v>
      </c>
      <c r="AA325" s="3" t="str" cm="1">
        <f t="array" ref="AA325">_xlfn.IFS(
(F325/(X325/7)) &lt; 5, "Casual",
AND((F325/(X325/7)) &gt;= 5, (F325/(X325/7)) &lt; 15), "Regular",
(F325/(X325/7)) &gt;= 15, "Power"
)</f>
        <v>Power</v>
      </c>
      <c r="AB325" s="3">
        <f t="shared" si="20"/>
        <v>0.81495327102803738</v>
      </c>
      <c r="AC325" t="str">
        <f t="shared" si="22"/>
        <v>Viewers</v>
      </c>
    </row>
    <row r="326" spans="1:29" x14ac:dyDescent="0.3">
      <c r="A326" s="6">
        <v>5031</v>
      </c>
      <c r="B326" s="7" t="s">
        <v>422</v>
      </c>
      <c r="C326" s="10">
        <v>45142</v>
      </c>
      <c r="D326" s="10">
        <v>45623</v>
      </c>
      <c r="E326" s="13">
        <v>7.99</v>
      </c>
      <c r="F326" s="6">
        <v>394</v>
      </c>
      <c r="G326" s="7" t="s">
        <v>26</v>
      </c>
      <c r="H326" s="6">
        <v>2</v>
      </c>
      <c r="I326" s="6">
        <v>6</v>
      </c>
      <c r="J326" s="7" t="b">
        <v>1</v>
      </c>
      <c r="K326" s="6">
        <v>60</v>
      </c>
      <c r="L326" s="6">
        <v>159</v>
      </c>
      <c r="M326" s="7" t="s">
        <v>49</v>
      </c>
      <c r="N326" s="7" t="s">
        <v>28</v>
      </c>
      <c r="O326" s="7" t="s">
        <v>37</v>
      </c>
      <c r="P326" s="6">
        <v>51</v>
      </c>
      <c r="Q326" s="11">
        <v>3</v>
      </c>
      <c r="R326" s="7" t="b">
        <v>1</v>
      </c>
      <c r="S326" s="7" t="s">
        <v>30</v>
      </c>
      <c r="T326" s="6">
        <v>3197</v>
      </c>
      <c r="U326" s="7" t="s">
        <v>38</v>
      </c>
      <c r="V326" s="12" t="s">
        <v>59</v>
      </c>
      <c r="W326" s="7" t="s">
        <v>33</v>
      </c>
      <c r="X326" s="6">
        <f t="shared" si="23"/>
        <v>481</v>
      </c>
      <c r="Y326" t="str" cm="1">
        <f t="array" ref="Y326">_xlfn.IFS(E326=7.99,"BASIC",E326=11.99,"STANDARD",E326=15.99,"PREMIUM")</f>
        <v>BASIC</v>
      </c>
      <c r="Z326" s="4">
        <f t="shared" si="21"/>
        <v>5.7338877338877348</v>
      </c>
      <c r="AA326" s="3" t="str" cm="1">
        <f t="array" ref="AA326">_xlfn.IFS(
(F326/(X326/7)) &lt; 5, "Casual",
AND((F326/(X326/7)) &gt;= 5, (F326/(X326/7)) &lt; 15), "Regular",
(F326/(X326/7)) &gt;= 15, "Power"
)</f>
        <v>Regular</v>
      </c>
      <c r="AB326" s="3">
        <f t="shared" si="20"/>
        <v>1.7990867579908676</v>
      </c>
      <c r="AC326" t="str">
        <f t="shared" si="22"/>
        <v>Viewers</v>
      </c>
    </row>
    <row r="327" spans="1:29" x14ac:dyDescent="0.3">
      <c r="A327" s="6">
        <v>1162</v>
      </c>
      <c r="B327" s="7" t="s">
        <v>294</v>
      </c>
      <c r="C327" s="10">
        <v>44954</v>
      </c>
      <c r="D327" s="10">
        <v>45625</v>
      </c>
      <c r="E327" s="13">
        <v>15.99</v>
      </c>
      <c r="F327" s="6">
        <v>131</v>
      </c>
      <c r="G327" s="7" t="s">
        <v>48</v>
      </c>
      <c r="H327" s="6">
        <v>3</v>
      </c>
      <c r="I327" s="6">
        <v>3</v>
      </c>
      <c r="J327" s="7" t="b">
        <v>0</v>
      </c>
      <c r="K327" s="6">
        <v>865</v>
      </c>
      <c r="L327" s="6">
        <v>8</v>
      </c>
      <c r="M327" s="7" t="s">
        <v>55</v>
      </c>
      <c r="N327" s="7" t="s">
        <v>44</v>
      </c>
      <c r="O327" s="7" t="s">
        <v>57</v>
      </c>
      <c r="P327" s="6">
        <v>78</v>
      </c>
      <c r="Q327" s="11">
        <v>4.5999999999999996</v>
      </c>
      <c r="R327" s="7" t="b">
        <v>0</v>
      </c>
      <c r="S327" s="7" t="s">
        <v>30</v>
      </c>
      <c r="T327" s="6">
        <v>1413</v>
      </c>
      <c r="U327" s="7" t="s">
        <v>58</v>
      </c>
      <c r="V327" s="12" t="s">
        <v>69</v>
      </c>
      <c r="W327" s="7" t="s">
        <v>93</v>
      </c>
      <c r="X327" s="6">
        <f t="shared" si="23"/>
        <v>671</v>
      </c>
      <c r="Y327" t="str" cm="1">
        <f t="array" ref="Y327">_xlfn.IFS(E327=7.99,"BASIC",E327=11.99,"STANDARD",E327=15.99,"PREMIUM")</f>
        <v>PREMIUM</v>
      </c>
      <c r="Z327" s="4">
        <f t="shared" si="21"/>
        <v>1.3666169895678091</v>
      </c>
      <c r="AA327" s="3" t="str" cm="1">
        <f t="array" ref="AA327">_xlfn.IFS(
(F327/(X327/7)) &lt; 5, "Casual",
AND((F327/(X327/7)) &gt;= 5, (F327/(X327/7)) &lt; 15), "Regular",
(F327/(X327/7)) &gt;= 15, "Power"
)</f>
        <v>Casual</v>
      </c>
      <c r="AB327" s="3">
        <f t="shared" si="20"/>
        <v>0.15005727376861397</v>
      </c>
      <c r="AC327" t="str">
        <f t="shared" si="22"/>
        <v>Viewers</v>
      </c>
    </row>
    <row r="328" spans="1:29" x14ac:dyDescent="0.3">
      <c r="A328" s="6">
        <v>6564</v>
      </c>
      <c r="B328" s="7" t="s">
        <v>153</v>
      </c>
      <c r="C328" s="10">
        <v>45222</v>
      </c>
      <c r="D328" s="10">
        <v>45633</v>
      </c>
      <c r="E328" s="13">
        <v>11.99</v>
      </c>
      <c r="F328" s="6">
        <v>98</v>
      </c>
      <c r="G328" s="7" t="s">
        <v>36</v>
      </c>
      <c r="H328" s="6">
        <v>5</v>
      </c>
      <c r="I328" s="6">
        <v>2</v>
      </c>
      <c r="J328" s="7" t="b">
        <v>1</v>
      </c>
      <c r="K328" s="6">
        <v>526</v>
      </c>
      <c r="L328" s="6">
        <v>144</v>
      </c>
      <c r="M328" s="7" t="s">
        <v>27</v>
      </c>
      <c r="N328" s="7" t="s">
        <v>44</v>
      </c>
      <c r="O328" s="7" t="s">
        <v>64</v>
      </c>
      <c r="P328" s="6">
        <v>10</v>
      </c>
      <c r="Q328" s="11">
        <v>3.9</v>
      </c>
      <c r="R328" s="7" t="b">
        <v>1</v>
      </c>
      <c r="S328" s="7" t="s">
        <v>30</v>
      </c>
      <c r="T328" s="6">
        <v>747</v>
      </c>
      <c r="U328" s="7" t="s">
        <v>65</v>
      </c>
      <c r="V328" s="12" t="s">
        <v>39</v>
      </c>
      <c r="W328" s="7" t="s">
        <v>93</v>
      </c>
      <c r="X328" s="6">
        <f t="shared" si="23"/>
        <v>411</v>
      </c>
      <c r="Y328" t="str" cm="1">
        <f t="array" ref="Y328">_xlfn.IFS(E328=7.99,"BASIC",E328=11.99,"STANDARD",E328=15.99,"PREMIUM")</f>
        <v>STANDARD</v>
      </c>
      <c r="Z328" s="4">
        <f t="shared" si="21"/>
        <v>1.6690997566909975</v>
      </c>
      <c r="AA328" s="3" t="str" cm="1">
        <f t="array" ref="AA328">_xlfn.IFS(
(F328/(X328/7)) &lt; 5, "Casual",
AND((F328/(X328/7)) &gt;= 5, (F328/(X328/7)) &lt; 15), "Regular",
(F328/(X328/7)) &gt;= 15, "Power"
)</f>
        <v>Casual</v>
      </c>
      <c r="AB328" s="3">
        <f t="shared" si="20"/>
        <v>0.14626865671641792</v>
      </c>
      <c r="AC328" t="str">
        <f t="shared" si="22"/>
        <v xml:space="preserve"> Browsers</v>
      </c>
    </row>
    <row r="329" spans="1:29" x14ac:dyDescent="0.3">
      <c r="A329" s="6">
        <v>9298</v>
      </c>
      <c r="B329" s="7" t="s">
        <v>174</v>
      </c>
      <c r="C329" s="10">
        <v>45445</v>
      </c>
      <c r="D329" s="10">
        <v>45630</v>
      </c>
      <c r="E329" s="13">
        <v>11.99</v>
      </c>
      <c r="F329" s="6">
        <v>276</v>
      </c>
      <c r="G329" s="7" t="s">
        <v>73</v>
      </c>
      <c r="H329" s="6">
        <v>5</v>
      </c>
      <c r="I329" s="6">
        <v>4</v>
      </c>
      <c r="J329" s="7" t="b">
        <v>0</v>
      </c>
      <c r="K329" s="6">
        <v>389</v>
      </c>
      <c r="L329" s="6">
        <v>177</v>
      </c>
      <c r="M329" s="7" t="s">
        <v>92</v>
      </c>
      <c r="N329" s="7" t="s">
        <v>28</v>
      </c>
      <c r="O329" s="7" t="s">
        <v>64</v>
      </c>
      <c r="P329" s="6">
        <v>19</v>
      </c>
      <c r="Q329" s="11">
        <v>4.3</v>
      </c>
      <c r="R329" s="7" t="b">
        <v>0</v>
      </c>
      <c r="S329" s="7" t="s">
        <v>30</v>
      </c>
      <c r="T329" s="6">
        <v>1099</v>
      </c>
      <c r="U329" s="7" t="s">
        <v>76</v>
      </c>
      <c r="V329" s="12" t="s">
        <v>79</v>
      </c>
      <c r="W329" s="7" t="s">
        <v>40</v>
      </c>
      <c r="X329" s="6">
        <f t="shared" si="23"/>
        <v>185</v>
      </c>
      <c r="Y329" t="str" cm="1">
        <f t="array" ref="Y329">_xlfn.IFS(E329=7.99,"BASIC",E329=11.99,"STANDARD",E329=15.99,"PREMIUM")</f>
        <v>STANDARD</v>
      </c>
      <c r="Z329" s="4">
        <f t="shared" si="21"/>
        <v>10.443243243243243</v>
      </c>
      <c r="AA329" s="3" t="str" cm="1">
        <f t="array" ref="AA329">_xlfn.IFS(
(F329/(X329/7)) &lt; 5, "Casual",
AND((F329/(X329/7)) &gt;= 5, (F329/(X329/7)) &lt; 15), "Regular",
(F329/(X329/7)) &gt;= 15, "Power"
)</f>
        <v>Regular</v>
      </c>
      <c r="AB329" s="3">
        <f t="shared" ref="AB329:AB392" si="24">(F329/(K329+L329))</f>
        <v>0.48763250883392228</v>
      </c>
      <c r="AC329" t="str">
        <f t="shared" si="22"/>
        <v>Viewers</v>
      </c>
    </row>
    <row r="330" spans="1:29" x14ac:dyDescent="0.3">
      <c r="A330" s="6">
        <v>4216</v>
      </c>
      <c r="B330" s="7" t="s">
        <v>424</v>
      </c>
      <c r="C330" s="10">
        <v>45365</v>
      </c>
      <c r="D330" s="10">
        <v>45615</v>
      </c>
      <c r="E330" s="13">
        <v>11.99</v>
      </c>
      <c r="F330" s="6">
        <v>251</v>
      </c>
      <c r="G330" s="7" t="s">
        <v>26</v>
      </c>
      <c r="H330" s="6">
        <v>3</v>
      </c>
      <c r="I330" s="6">
        <v>3</v>
      </c>
      <c r="J330" s="7" t="b">
        <v>0</v>
      </c>
      <c r="K330" s="6">
        <v>922</v>
      </c>
      <c r="L330" s="6">
        <v>106</v>
      </c>
      <c r="M330" s="7" t="s">
        <v>68</v>
      </c>
      <c r="N330" s="7" t="s">
        <v>44</v>
      </c>
      <c r="O330" s="7" t="s">
        <v>29</v>
      </c>
      <c r="P330" s="6">
        <v>56</v>
      </c>
      <c r="Q330" s="11">
        <v>4.3</v>
      </c>
      <c r="R330" s="7" t="b">
        <v>1</v>
      </c>
      <c r="S330" s="7" t="s">
        <v>30</v>
      </c>
      <c r="T330" s="6">
        <v>585</v>
      </c>
      <c r="U330" s="7" t="s">
        <v>31</v>
      </c>
      <c r="V330" s="12" t="s">
        <v>39</v>
      </c>
      <c r="W330" s="7" t="s">
        <v>33</v>
      </c>
      <c r="X330" s="6">
        <f t="shared" si="23"/>
        <v>250</v>
      </c>
      <c r="Y330" t="str" cm="1">
        <f t="array" ref="Y330">_xlfn.IFS(E330=7.99,"BASIC",E330=11.99,"STANDARD",E330=15.99,"PREMIUM")</f>
        <v>STANDARD</v>
      </c>
      <c r="Z330" s="4">
        <f t="shared" si="21"/>
        <v>7.0279999999999996</v>
      </c>
      <c r="AA330" s="3" t="str" cm="1">
        <f t="array" ref="AA330">_xlfn.IFS(
(F330/(X330/7)) &lt; 5, "Casual",
AND((F330/(X330/7)) &gt;= 5, (F330/(X330/7)) &lt; 15), "Regular",
(F330/(X330/7)) &gt;= 15, "Power"
)</f>
        <v>Regular</v>
      </c>
      <c r="AB330" s="3">
        <f t="shared" si="24"/>
        <v>0.24416342412451361</v>
      </c>
      <c r="AC330" t="str">
        <f t="shared" si="22"/>
        <v>Viewers</v>
      </c>
    </row>
    <row r="331" spans="1:29" x14ac:dyDescent="0.3">
      <c r="A331" s="6">
        <v>3677</v>
      </c>
      <c r="B331" s="7" t="s">
        <v>226</v>
      </c>
      <c r="C331" s="10">
        <v>44993</v>
      </c>
      <c r="D331" s="10">
        <v>45625</v>
      </c>
      <c r="E331" s="13">
        <v>7.99</v>
      </c>
      <c r="F331" s="6">
        <v>233</v>
      </c>
      <c r="G331" s="7" t="s">
        <v>48</v>
      </c>
      <c r="H331" s="6">
        <v>4</v>
      </c>
      <c r="I331" s="6">
        <v>2</v>
      </c>
      <c r="J331" s="7" t="b">
        <v>1</v>
      </c>
      <c r="K331" s="6">
        <v>485</v>
      </c>
      <c r="L331" s="6">
        <v>37</v>
      </c>
      <c r="M331" s="7" t="s">
        <v>43</v>
      </c>
      <c r="N331" s="7" t="s">
        <v>28</v>
      </c>
      <c r="O331" s="7" t="s">
        <v>45</v>
      </c>
      <c r="P331" s="6">
        <v>47</v>
      </c>
      <c r="Q331" s="11">
        <v>3.4</v>
      </c>
      <c r="R331" s="7" t="b">
        <v>1</v>
      </c>
      <c r="S331" s="7" t="s">
        <v>30</v>
      </c>
      <c r="T331" s="6">
        <v>615</v>
      </c>
      <c r="U331" s="7" t="s">
        <v>31</v>
      </c>
      <c r="V331" s="12" t="s">
        <v>39</v>
      </c>
      <c r="W331" s="7" t="s">
        <v>93</v>
      </c>
      <c r="X331" s="6">
        <f t="shared" si="23"/>
        <v>632</v>
      </c>
      <c r="Y331" t="str" cm="1">
        <f t="array" ref="Y331">_xlfn.IFS(E331=7.99,"BASIC",E331=11.99,"STANDARD",E331=15.99,"PREMIUM")</f>
        <v>BASIC</v>
      </c>
      <c r="Z331" s="4">
        <f t="shared" si="21"/>
        <v>2.5806962025316453</v>
      </c>
      <c r="AA331" s="3" t="str" cm="1">
        <f t="array" ref="AA331">_xlfn.IFS(
(F331/(X331/7)) &lt; 5, "Casual",
AND((F331/(X331/7)) &gt;= 5, (F331/(X331/7)) &lt; 15), "Regular",
(F331/(X331/7)) &gt;= 15, "Power"
)</f>
        <v>Casual</v>
      </c>
      <c r="AB331" s="3">
        <f t="shared" si="24"/>
        <v>0.44636015325670497</v>
      </c>
      <c r="AC331" t="str">
        <f t="shared" si="22"/>
        <v>Viewers</v>
      </c>
    </row>
    <row r="332" spans="1:29" x14ac:dyDescent="0.3">
      <c r="A332" s="6">
        <v>8453</v>
      </c>
      <c r="B332" s="7" t="s">
        <v>344</v>
      </c>
      <c r="C332" s="10">
        <v>45429</v>
      </c>
      <c r="D332" s="10">
        <v>45623</v>
      </c>
      <c r="E332" s="13">
        <v>11.99</v>
      </c>
      <c r="F332" s="6">
        <v>136</v>
      </c>
      <c r="G332" s="7" t="s">
        <v>100</v>
      </c>
      <c r="H332" s="6">
        <v>2</v>
      </c>
      <c r="I332" s="6">
        <v>5</v>
      </c>
      <c r="J332" s="7" t="b">
        <v>1</v>
      </c>
      <c r="K332" s="6">
        <v>112</v>
      </c>
      <c r="L332" s="6">
        <v>181</v>
      </c>
      <c r="M332" s="7" t="s">
        <v>55</v>
      </c>
      <c r="N332" s="7" t="s">
        <v>75</v>
      </c>
      <c r="O332" s="7" t="s">
        <v>29</v>
      </c>
      <c r="P332" s="6">
        <v>15</v>
      </c>
      <c r="Q332" s="11">
        <v>3.6</v>
      </c>
      <c r="R332" s="7" t="b">
        <v>0</v>
      </c>
      <c r="S332" s="7" t="s">
        <v>30</v>
      </c>
      <c r="T332" s="6">
        <v>2634</v>
      </c>
      <c r="U332" s="7" t="s">
        <v>65</v>
      </c>
      <c r="V332" s="12" t="s">
        <v>59</v>
      </c>
      <c r="W332" s="7" t="s">
        <v>60</v>
      </c>
      <c r="X332" s="6">
        <f t="shared" si="23"/>
        <v>194</v>
      </c>
      <c r="Y332" t="str" cm="1">
        <f t="array" ref="Y332">_xlfn.IFS(E332=7.99,"BASIC",E332=11.99,"STANDARD",E332=15.99,"PREMIUM")</f>
        <v>STANDARD</v>
      </c>
      <c r="Z332" s="4">
        <f t="shared" si="21"/>
        <v>4.9072164948453603</v>
      </c>
      <c r="AA332" s="3" t="str" cm="1">
        <f t="array" ref="AA332">_xlfn.IFS(
(F332/(X332/7)) &lt; 5, "Casual",
AND((F332/(X332/7)) &gt;= 5, (F332/(X332/7)) &lt; 15), "Regular",
(F332/(X332/7)) &gt;= 15, "Power"
)</f>
        <v>Casual</v>
      </c>
      <c r="AB332" s="3">
        <f t="shared" si="24"/>
        <v>0.46416382252559729</v>
      </c>
      <c r="AC332" t="str">
        <f t="shared" si="22"/>
        <v>Viewers</v>
      </c>
    </row>
    <row r="333" spans="1:29" x14ac:dyDescent="0.3">
      <c r="A333" s="6">
        <v>6231</v>
      </c>
      <c r="B333" s="7" t="s">
        <v>186</v>
      </c>
      <c r="C333" s="10">
        <v>44950</v>
      </c>
      <c r="D333" s="10">
        <v>45633</v>
      </c>
      <c r="E333" s="13">
        <v>15.99</v>
      </c>
      <c r="F333" s="6">
        <v>248</v>
      </c>
      <c r="G333" s="7" t="s">
        <v>63</v>
      </c>
      <c r="H333" s="6">
        <v>1</v>
      </c>
      <c r="I333" s="6">
        <v>6</v>
      </c>
      <c r="J333" s="7" t="b">
        <v>0</v>
      </c>
      <c r="K333" s="6">
        <v>181</v>
      </c>
      <c r="L333" s="6">
        <v>13</v>
      </c>
      <c r="M333" s="7" t="s">
        <v>92</v>
      </c>
      <c r="N333" s="7" t="s">
        <v>56</v>
      </c>
      <c r="O333" s="7" t="s">
        <v>57</v>
      </c>
      <c r="P333" s="6">
        <v>43</v>
      </c>
      <c r="Q333" s="11">
        <v>4.9000000000000004</v>
      </c>
      <c r="R333" s="7" t="b">
        <v>1</v>
      </c>
      <c r="S333" s="7" t="s">
        <v>30</v>
      </c>
      <c r="T333" s="6">
        <v>136</v>
      </c>
      <c r="U333" s="7" t="s">
        <v>65</v>
      </c>
      <c r="V333" s="12" t="s">
        <v>69</v>
      </c>
      <c r="W333" s="7" t="s">
        <v>33</v>
      </c>
      <c r="X333" s="6">
        <f t="shared" si="23"/>
        <v>683</v>
      </c>
      <c r="Y333" t="str" cm="1">
        <f t="array" ref="Y333">_xlfn.IFS(E333=7.99,"BASIC",E333=11.99,"STANDARD",E333=15.99,"PREMIUM")</f>
        <v>PREMIUM</v>
      </c>
      <c r="Z333" s="4">
        <f t="shared" si="21"/>
        <v>2.5417276720351389</v>
      </c>
      <c r="AA333" s="3" t="str" cm="1">
        <f t="array" ref="AA333">_xlfn.IFS(
(F333/(X333/7)) &lt; 5, "Casual",
AND((F333/(X333/7)) &gt;= 5, (F333/(X333/7)) &lt; 15), "Regular",
(F333/(X333/7)) &gt;= 15, "Power"
)</f>
        <v>Casual</v>
      </c>
      <c r="AB333" s="3">
        <f t="shared" si="24"/>
        <v>1.2783505154639174</v>
      </c>
      <c r="AC333" t="str">
        <f t="shared" si="22"/>
        <v>Viewers</v>
      </c>
    </row>
    <row r="334" spans="1:29" x14ac:dyDescent="0.3">
      <c r="A334" s="6">
        <v>1481</v>
      </c>
      <c r="B334" s="7" t="s">
        <v>52</v>
      </c>
      <c r="C334" s="10">
        <v>44977</v>
      </c>
      <c r="D334" s="10">
        <v>45627</v>
      </c>
      <c r="E334" s="13">
        <v>7.99</v>
      </c>
      <c r="F334" s="6">
        <v>180</v>
      </c>
      <c r="G334" s="7" t="s">
        <v>51</v>
      </c>
      <c r="H334" s="6">
        <v>3</v>
      </c>
      <c r="I334" s="6">
        <v>4</v>
      </c>
      <c r="J334" s="7" t="b">
        <v>0</v>
      </c>
      <c r="K334" s="6">
        <v>936</v>
      </c>
      <c r="L334" s="6">
        <v>166</v>
      </c>
      <c r="M334" s="7" t="s">
        <v>49</v>
      </c>
      <c r="N334" s="7" t="s">
        <v>44</v>
      </c>
      <c r="O334" s="7" t="s">
        <v>64</v>
      </c>
      <c r="P334" s="6">
        <v>71</v>
      </c>
      <c r="Q334" s="11">
        <v>4.9000000000000004</v>
      </c>
      <c r="R334" s="7" t="b">
        <v>1</v>
      </c>
      <c r="S334" s="7" t="s">
        <v>30</v>
      </c>
      <c r="T334" s="6">
        <v>4566</v>
      </c>
      <c r="U334" s="7" t="s">
        <v>31</v>
      </c>
      <c r="V334" s="12" t="s">
        <v>69</v>
      </c>
      <c r="W334" s="7" t="s">
        <v>60</v>
      </c>
      <c r="X334" s="6">
        <f t="shared" si="23"/>
        <v>650</v>
      </c>
      <c r="Y334" t="str" cm="1">
        <f t="array" ref="Y334">_xlfn.IFS(E334=7.99,"BASIC",E334=11.99,"STANDARD",E334=15.99,"PREMIUM")</f>
        <v>BASIC</v>
      </c>
      <c r="Z334" s="4">
        <f t="shared" si="21"/>
        <v>1.9384615384615385</v>
      </c>
      <c r="AA334" s="3" t="str" cm="1">
        <f t="array" ref="AA334">_xlfn.IFS(
(F334/(X334/7)) &lt; 5, "Casual",
AND((F334/(X334/7)) &gt;= 5, (F334/(X334/7)) &lt; 15), "Regular",
(F334/(X334/7)) &gt;= 15, "Power"
)</f>
        <v>Casual</v>
      </c>
      <c r="AB334" s="3">
        <f t="shared" si="24"/>
        <v>0.16333938294010888</v>
      </c>
      <c r="AC334" t="str">
        <f t="shared" si="22"/>
        <v>Viewers</v>
      </c>
    </row>
    <row r="335" spans="1:29" x14ac:dyDescent="0.3">
      <c r="A335" s="6">
        <v>7400</v>
      </c>
      <c r="B335" s="7" t="s">
        <v>428</v>
      </c>
      <c r="C335" s="10">
        <v>45421</v>
      </c>
      <c r="D335" s="10">
        <v>45641</v>
      </c>
      <c r="E335" s="13">
        <v>11.99</v>
      </c>
      <c r="F335" s="6">
        <v>254</v>
      </c>
      <c r="G335" s="7" t="s">
        <v>26</v>
      </c>
      <c r="H335" s="6">
        <v>4</v>
      </c>
      <c r="I335" s="6">
        <v>1</v>
      </c>
      <c r="J335" s="7" t="b">
        <v>1</v>
      </c>
      <c r="K335" s="6">
        <v>406</v>
      </c>
      <c r="L335" s="6">
        <v>47</v>
      </c>
      <c r="M335" s="7" t="s">
        <v>68</v>
      </c>
      <c r="N335" s="7" t="s">
        <v>44</v>
      </c>
      <c r="O335" s="7" t="s">
        <v>45</v>
      </c>
      <c r="P335" s="6">
        <v>5</v>
      </c>
      <c r="Q335" s="11">
        <v>3.6</v>
      </c>
      <c r="R335" s="7" t="b">
        <v>0</v>
      </c>
      <c r="S335" s="7" t="s">
        <v>30</v>
      </c>
      <c r="T335" s="6">
        <v>3281</v>
      </c>
      <c r="U335" s="7" t="s">
        <v>38</v>
      </c>
      <c r="V335" s="12" t="s">
        <v>69</v>
      </c>
      <c r="W335" s="7" t="s">
        <v>33</v>
      </c>
      <c r="X335" s="6">
        <f t="shared" si="23"/>
        <v>220</v>
      </c>
      <c r="Y335" t="str" cm="1">
        <f t="array" ref="Y335">_xlfn.IFS(E335=7.99,"BASIC",E335=11.99,"STANDARD",E335=15.99,"PREMIUM")</f>
        <v>STANDARD</v>
      </c>
      <c r="Z335" s="4">
        <f t="shared" si="21"/>
        <v>8.081818181818182</v>
      </c>
      <c r="AA335" s="3" t="str" cm="1">
        <f t="array" ref="AA335">_xlfn.IFS(
(F335/(X335/7)) &lt; 5, "Casual",
AND((F335/(X335/7)) &gt;= 5, (F335/(X335/7)) &lt; 15), "Regular",
(F335/(X335/7)) &gt;= 15, "Power"
)</f>
        <v>Regular</v>
      </c>
      <c r="AB335" s="3">
        <f t="shared" si="24"/>
        <v>0.56070640176600439</v>
      </c>
      <c r="AC335" t="str">
        <f t="shared" si="22"/>
        <v>Viewers</v>
      </c>
    </row>
    <row r="336" spans="1:29" x14ac:dyDescent="0.3">
      <c r="A336" s="6">
        <v>7447</v>
      </c>
      <c r="B336" s="7" t="s">
        <v>130</v>
      </c>
      <c r="C336" s="10">
        <v>45077</v>
      </c>
      <c r="D336" s="10">
        <v>45616</v>
      </c>
      <c r="E336" s="13">
        <v>7.99</v>
      </c>
      <c r="F336" s="6">
        <v>108</v>
      </c>
      <c r="G336" s="7" t="s">
        <v>36</v>
      </c>
      <c r="H336" s="6">
        <v>2</v>
      </c>
      <c r="I336" s="6">
        <v>1</v>
      </c>
      <c r="J336" s="7" t="b">
        <v>0</v>
      </c>
      <c r="K336" s="6">
        <v>717</v>
      </c>
      <c r="L336" s="6">
        <v>84</v>
      </c>
      <c r="M336" s="7" t="s">
        <v>74</v>
      </c>
      <c r="N336" s="7" t="s">
        <v>28</v>
      </c>
      <c r="O336" s="7" t="s">
        <v>29</v>
      </c>
      <c r="P336" s="6">
        <v>82</v>
      </c>
      <c r="Q336" s="11">
        <v>3.9</v>
      </c>
      <c r="R336" s="7" t="b">
        <v>0</v>
      </c>
      <c r="S336" s="7" t="s">
        <v>30</v>
      </c>
      <c r="T336" s="6">
        <v>1559</v>
      </c>
      <c r="U336" s="7" t="s">
        <v>58</v>
      </c>
      <c r="V336" s="12" t="s">
        <v>32</v>
      </c>
      <c r="W336" s="7" t="s">
        <v>33</v>
      </c>
      <c r="X336" s="6">
        <f t="shared" si="23"/>
        <v>539</v>
      </c>
      <c r="Y336" t="str" cm="1">
        <f t="array" ref="Y336">_xlfn.IFS(E336=7.99,"BASIC",E336=11.99,"STANDARD",E336=15.99,"PREMIUM")</f>
        <v>BASIC</v>
      </c>
      <c r="Z336" s="4">
        <f t="shared" si="21"/>
        <v>1.4025974025974026</v>
      </c>
      <c r="AA336" s="3" t="str" cm="1">
        <f t="array" ref="AA336">_xlfn.IFS(
(F336/(X336/7)) &lt; 5, "Casual",
AND((F336/(X336/7)) &gt;= 5, (F336/(X336/7)) &lt; 15), "Regular",
(F336/(X336/7)) &gt;= 15, "Power"
)</f>
        <v>Casual</v>
      </c>
      <c r="AB336" s="3">
        <f t="shared" si="24"/>
        <v>0.1348314606741573</v>
      </c>
      <c r="AC336" t="str">
        <f t="shared" si="22"/>
        <v xml:space="preserve"> Browsers</v>
      </c>
    </row>
    <row r="337" spans="1:29" x14ac:dyDescent="0.3">
      <c r="A337" s="6">
        <v>4597</v>
      </c>
      <c r="B337" s="7" t="s">
        <v>244</v>
      </c>
      <c r="C337" s="10">
        <v>45514</v>
      </c>
      <c r="D337" s="10">
        <v>45639</v>
      </c>
      <c r="E337" s="13">
        <v>7.99</v>
      </c>
      <c r="F337" s="6">
        <v>183</v>
      </c>
      <c r="G337" s="7" t="s">
        <v>51</v>
      </c>
      <c r="H337" s="6">
        <v>4</v>
      </c>
      <c r="I337" s="6">
        <v>5</v>
      </c>
      <c r="J337" s="7" t="b">
        <v>0</v>
      </c>
      <c r="K337" s="6">
        <v>833</v>
      </c>
      <c r="L337" s="6">
        <v>154</v>
      </c>
      <c r="M337" s="7" t="s">
        <v>92</v>
      </c>
      <c r="N337" s="7" t="s">
        <v>28</v>
      </c>
      <c r="O337" s="7" t="s">
        <v>37</v>
      </c>
      <c r="P337" s="6">
        <v>46</v>
      </c>
      <c r="Q337" s="11">
        <v>3.9</v>
      </c>
      <c r="R337" s="7" t="b">
        <v>0</v>
      </c>
      <c r="S337" s="7" t="s">
        <v>30</v>
      </c>
      <c r="T337" s="6">
        <v>3113</v>
      </c>
      <c r="U337" s="7" t="s">
        <v>76</v>
      </c>
      <c r="V337" s="12" t="s">
        <v>32</v>
      </c>
      <c r="W337" s="7" t="s">
        <v>40</v>
      </c>
      <c r="X337" s="6">
        <f t="shared" si="23"/>
        <v>125</v>
      </c>
      <c r="Y337" t="str" cm="1">
        <f t="array" ref="Y337">_xlfn.IFS(E337=7.99,"BASIC",E337=11.99,"STANDARD",E337=15.99,"PREMIUM")</f>
        <v>BASIC</v>
      </c>
      <c r="Z337" s="4">
        <f t="shared" si="21"/>
        <v>10.247999999999999</v>
      </c>
      <c r="AA337" s="3" t="str" cm="1">
        <f t="array" ref="AA337">_xlfn.IFS(
(F337/(X337/7)) &lt; 5, "Casual",
AND((F337/(X337/7)) &gt;= 5, (F337/(X337/7)) &lt; 15), "Regular",
(F337/(X337/7)) &gt;= 15, "Power"
)</f>
        <v>Regular</v>
      </c>
      <c r="AB337" s="3">
        <f t="shared" si="24"/>
        <v>0.18541033434650456</v>
      </c>
      <c r="AC337" t="str">
        <f t="shared" si="22"/>
        <v>Viewers</v>
      </c>
    </row>
    <row r="338" spans="1:29" x14ac:dyDescent="0.3">
      <c r="A338" s="6">
        <v>3173</v>
      </c>
      <c r="B338" s="7" t="s">
        <v>236</v>
      </c>
      <c r="C338" s="10">
        <v>45560</v>
      </c>
      <c r="D338" s="10">
        <v>45635</v>
      </c>
      <c r="E338" s="13">
        <v>7.99</v>
      </c>
      <c r="F338" s="6">
        <v>53</v>
      </c>
      <c r="G338" s="7" t="s">
        <v>48</v>
      </c>
      <c r="H338" s="6">
        <v>2</v>
      </c>
      <c r="I338" s="6">
        <v>4</v>
      </c>
      <c r="J338" s="7" t="b">
        <v>1</v>
      </c>
      <c r="K338" s="6">
        <v>304</v>
      </c>
      <c r="L338" s="6">
        <v>49</v>
      </c>
      <c r="M338" s="7" t="s">
        <v>92</v>
      </c>
      <c r="N338" s="7" t="s">
        <v>75</v>
      </c>
      <c r="O338" s="7" t="s">
        <v>64</v>
      </c>
      <c r="P338" s="6">
        <v>57</v>
      </c>
      <c r="Q338" s="11">
        <v>4.3</v>
      </c>
      <c r="R338" s="7" t="b">
        <v>0</v>
      </c>
      <c r="S338" s="7" t="s">
        <v>30</v>
      </c>
      <c r="T338" s="6">
        <v>3836</v>
      </c>
      <c r="U338" s="7" t="s">
        <v>38</v>
      </c>
      <c r="V338" s="12" t="s">
        <v>39</v>
      </c>
      <c r="W338" s="7" t="s">
        <v>40</v>
      </c>
      <c r="X338" s="6">
        <f t="shared" si="23"/>
        <v>75</v>
      </c>
      <c r="Y338" t="str" cm="1">
        <f t="array" ref="Y338">_xlfn.IFS(E338=7.99,"BASIC",E338=11.99,"STANDARD",E338=15.99,"PREMIUM")</f>
        <v>BASIC</v>
      </c>
      <c r="Z338" s="4">
        <f t="shared" si="21"/>
        <v>4.9466666666666672</v>
      </c>
      <c r="AA338" s="3" t="str" cm="1">
        <f t="array" ref="AA338">_xlfn.IFS(
(F338/(X338/7)) &lt; 5, "Casual",
AND((F338/(X338/7)) &gt;= 5, (F338/(X338/7)) &lt; 15), "Regular",
(F338/(X338/7)) &gt;= 15, "Power"
)</f>
        <v>Casual</v>
      </c>
      <c r="AB338" s="3">
        <f t="shared" si="24"/>
        <v>0.1501416430594901</v>
      </c>
      <c r="AC338" t="str">
        <f t="shared" si="22"/>
        <v>Viewers</v>
      </c>
    </row>
    <row r="339" spans="1:29" x14ac:dyDescent="0.3">
      <c r="A339" s="6">
        <v>9514</v>
      </c>
      <c r="B339" s="7" t="s">
        <v>431</v>
      </c>
      <c r="C339" s="10">
        <v>45083</v>
      </c>
      <c r="D339" s="10">
        <v>45636</v>
      </c>
      <c r="E339" s="13">
        <v>7.99</v>
      </c>
      <c r="F339" s="6">
        <v>120</v>
      </c>
      <c r="G339" s="7" t="s">
        <v>63</v>
      </c>
      <c r="H339" s="6">
        <v>3</v>
      </c>
      <c r="I339" s="6">
        <v>3</v>
      </c>
      <c r="J339" s="7" t="b">
        <v>1</v>
      </c>
      <c r="K339" s="6">
        <v>802</v>
      </c>
      <c r="L339" s="6">
        <v>31</v>
      </c>
      <c r="M339" s="7" t="s">
        <v>49</v>
      </c>
      <c r="N339" s="7" t="s">
        <v>44</v>
      </c>
      <c r="O339" s="7" t="s">
        <v>29</v>
      </c>
      <c r="P339" s="6">
        <v>16</v>
      </c>
      <c r="Q339" s="11">
        <v>4</v>
      </c>
      <c r="R339" s="7" t="b">
        <v>1</v>
      </c>
      <c r="S339" s="7" t="s">
        <v>30</v>
      </c>
      <c r="T339" s="6">
        <v>1522</v>
      </c>
      <c r="U339" s="7" t="s">
        <v>65</v>
      </c>
      <c r="V339" s="12" t="s">
        <v>39</v>
      </c>
      <c r="W339" s="7" t="s">
        <v>40</v>
      </c>
      <c r="X339" s="6">
        <f t="shared" si="23"/>
        <v>553</v>
      </c>
      <c r="Y339" t="str" cm="1">
        <f t="array" ref="Y339">_xlfn.IFS(E339=7.99,"BASIC",E339=11.99,"STANDARD",E339=15.99,"PREMIUM")</f>
        <v>BASIC</v>
      </c>
      <c r="Z339" s="4">
        <f t="shared" si="21"/>
        <v>1.518987341772152</v>
      </c>
      <c r="AA339" s="3" t="str" cm="1">
        <f t="array" ref="AA339">_xlfn.IFS(
(F339/(X339/7)) &lt; 5, "Casual",
AND((F339/(X339/7)) &gt;= 5, (F339/(X339/7)) &lt; 15), "Regular",
(F339/(X339/7)) &gt;= 15, "Power"
)</f>
        <v>Casual</v>
      </c>
      <c r="AB339" s="3">
        <f t="shared" si="24"/>
        <v>0.14405762304921968</v>
      </c>
      <c r="AC339" t="str">
        <f t="shared" si="22"/>
        <v xml:space="preserve"> Browsers</v>
      </c>
    </row>
    <row r="340" spans="1:29" x14ac:dyDescent="0.3">
      <c r="A340" s="6">
        <v>4985</v>
      </c>
      <c r="B340" s="7" t="s">
        <v>157</v>
      </c>
      <c r="C340" s="10">
        <v>45149</v>
      </c>
      <c r="D340" s="10">
        <v>45627</v>
      </c>
      <c r="E340" s="13">
        <v>7.99</v>
      </c>
      <c r="F340" s="6">
        <v>118</v>
      </c>
      <c r="G340" s="7" t="s">
        <v>48</v>
      </c>
      <c r="H340" s="6">
        <v>5</v>
      </c>
      <c r="I340" s="6">
        <v>4</v>
      </c>
      <c r="J340" s="7" t="b">
        <v>0</v>
      </c>
      <c r="K340" s="6">
        <v>522</v>
      </c>
      <c r="L340" s="6">
        <v>160</v>
      </c>
      <c r="M340" s="7" t="s">
        <v>49</v>
      </c>
      <c r="N340" s="7" t="s">
        <v>75</v>
      </c>
      <c r="O340" s="7" t="s">
        <v>45</v>
      </c>
      <c r="P340" s="6">
        <v>94</v>
      </c>
      <c r="Q340" s="11">
        <v>4.0999999999999996</v>
      </c>
      <c r="R340" s="7" t="b">
        <v>1</v>
      </c>
      <c r="S340" s="7" t="s">
        <v>30</v>
      </c>
      <c r="T340" s="6">
        <v>1756</v>
      </c>
      <c r="U340" s="7" t="s">
        <v>38</v>
      </c>
      <c r="V340" s="12" t="s">
        <v>59</v>
      </c>
      <c r="W340" s="7" t="s">
        <v>33</v>
      </c>
      <c r="X340" s="6">
        <f t="shared" si="23"/>
        <v>478</v>
      </c>
      <c r="Y340" t="str" cm="1">
        <f t="array" ref="Y340">_xlfn.IFS(E340=7.99,"BASIC",E340=11.99,"STANDARD",E340=15.99,"PREMIUM")</f>
        <v>BASIC</v>
      </c>
      <c r="Z340" s="4">
        <f t="shared" si="21"/>
        <v>1.7280334728033471</v>
      </c>
      <c r="AA340" s="3" t="str" cm="1">
        <f t="array" ref="AA340">_xlfn.IFS(
(F340/(X340/7)) &lt; 5, "Casual",
AND((F340/(X340/7)) &gt;= 5, (F340/(X340/7)) &lt; 15), "Regular",
(F340/(X340/7)) &gt;= 15, "Power"
)</f>
        <v>Casual</v>
      </c>
      <c r="AB340" s="3">
        <f t="shared" si="24"/>
        <v>0.17302052785923755</v>
      </c>
      <c r="AC340" t="str">
        <f t="shared" si="22"/>
        <v>Viewers</v>
      </c>
    </row>
    <row r="341" spans="1:29" x14ac:dyDescent="0.3">
      <c r="A341" s="6">
        <v>4486</v>
      </c>
      <c r="B341" s="7" t="s">
        <v>395</v>
      </c>
      <c r="C341" s="10">
        <v>45296</v>
      </c>
      <c r="D341" s="10">
        <v>45639</v>
      </c>
      <c r="E341" s="13">
        <v>7.99</v>
      </c>
      <c r="F341" s="6">
        <v>113</v>
      </c>
      <c r="G341" s="7" t="s">
        <v>36</v>
      </c>
      <c r="H341" s="6">
        <v>1</v>
      </c>
      <c r="I341" s="6">
        <v>1</v>
      </c>
      <c r="J341" s="7" t="b">
        <v>0</v>
      </c>
      <c r="K341" s="6">
        <v>177</v>
      </c>
      <c r="L341" s="6">
        <v>3</v>
      </c>
      <c r="M341" s="7" t="s">
        <v>68</v>
      </c>
      <c r="N341" s="7" t="s">
        <v>75</v>
      </c>
      <c r="O341" s="7" t="s">
        <v>64</v>
      </c>
      <c r="P341" s="6">
        <v>69</v>
      </c>
      <c r="Q341" s="11">
        <v>4.8</v>
      </c>
      <c r="R341" s="7" t="b">
        <v>0</v>
      </c>
      <c r="S341" s="7" t="s">
        <v>30</v>
      </c>
      <c r="T341" s="6">
        <v>1542</v>
      </c>
      <c r="U341" s="7" t="s">
        <v>38</v>
      </c>
      <c r="V341" s="12" t="s">
        <v>79</v>
      </c>
      <c r="W341" s="7" t="s">
        <v>33</v>
      </c>
      <c r="X341" s="6">
        <f t="shared" si="23"/>
        <v>343</v>
      </c>
      <c r="Y341" t="str" cm="1">
        <f t="array" ref="Y341">_xlfn.IFS(E341=7.99,"BASIC",E341=11.99,"STANDARD",E341=15.99,"PREMIUM")</f>
        <v>BASIC</v>
      </c>
      <c r="Z341" s="4">
        <f t="shared" si="21"/>
        <v>2.306122448979592</v>
      </c>
      <c r="AA341" s="3" t="str" cm="1">
        <f t="array" ref="AA341">_xlfn.IFS(
(F341/(X341/7)) &lt; 5, "Casual",
AND((F341/(X341/7)) &gt;= 5, (F341/(X341/7)) &lt; 15), "Regular",
(F341/(X341/7)) &gt;= 15, "Power"
)</f>
        <v>Casual</v>
      </c>
      <c r="AB341" s="3">
        <f t="shared" si="24"/>
        <v>0.62777777777777777</v>
      </c>
      <c r="AC341" t="str">
        <f t="shared" si="22"/>
        <v>Viewers</v>
      </c>
    </row>
    <row r="342" spans="1:29" x14ac:dyDescent="0.3">
      <c r="A342" s="6">
        <v>8756</v>
      </c>
      <c r="B342" s="7" t="s">
        <v>143</v>
      </c>
      <c r="C342" s="10">
        <v>45282</v>
      </c>
      <c r="D342" s="10">
        <v>45635</v>
      </c>
      <c r="E342" s="13">
        <v>7.99</v>
      </c>
      <c r="F342" s="6">
        <v>138</v>
      </c>
      <c r="G342" s="7" t="s">
        <v>36</v>
      </c>
      <c r="H342" s="6">
        <v>3</v>
      </c>
      <c r="I342" s="6">
        <v>2</v>
      </c>
      <c r="J342" s="7" t="b">
        <v>1</v>
      </c>
      <c r="K342" s="6">
        <v>811</v>
      </c>
      <c r="L342" s="6">
        <v>37</v>
      </c>
      <c r="M342" s="7" t="s">
        <v>68</v>
      </c>
      <c r="N342" s="7" t="s">
        <v>44</v>
      </c>
      <c r="O342" s="7" t="s">
        <v>45</v>
      </c>
      <c r="P342" s="6">
        <v>36</v>
      </c>
      <c r="Q342" s="11">
        <v>3.6</v>
      </c>
      <c r="R342" s="7" t="b">
        <v>0</v>
      </c>
      <c r="S342" s="7" t="s">
        <v>30</v>
      </c>
      <c r="T342" s="6">
        <v>77</v>
      </c>
      <c r="U342" s="7" t="s">
        <v>31</v>
      </c>
      <c r="V342" s="12" t="s">
        <v>32</v>
      </c>
      <c r="W342" s="7" t="s">
        <v>40</v>
      </c>
      <c r="X342" s="6">
        <f t="shared" si="23"/>
        <v>353</v>
      </c>
      <c r="Y342" t="str" cm="1">
        <f t="array" ref="Y342">_xlfn.IFS(E342=7.99,"BASIC",E342=11.99,"STANDARD",E342=15.99,"PREMIUM")</f>
        <v>BASIC</v>
      </c>
      <c r="Z342" s="4">
        <f t="shared" si="21"/>
        <v>2.7365439093484416</v>
      </c>
      <c r="AA342" s="3" t="str" cm="1">
        <f t="array" ref="AA342">_xlfn.IFS(
(F342/(X342/7)) &lt; 5, "Casual",
AND((F342/(X342/7)) &gt;= 5, (F342/(X342/7)) &lt; 15), "Regular",
(F342/(X342/7)) &gt;= 15, "Power"
)</f>
        <v>Casual</v>
      </c>
      <c r="AB342" s="3">
        <f t="shared" si="24"/>
        <v>0.16273584905660377</v>
      </c>
      <c r="AC342" t="str">
        <f t="shared" si="22"/>
        <v>Viewers</v>
      </c>
    </row>
    <row r="343" spans="1:29" x14ac:dyDescent="0.3">
      <c r="A343" s="6">
        <v>9121</v>
      </c>
      <c r="B343" s="7" t="s">
        <v>262</v>
      </c>
      <c r="C343" s="10">
        <v>45095</v>
      </c>
      <c r="D343" s="10">
        <v>45638</v>
      </c>
      <c r="E343" s="13">
        <v>7.99</v>
      </c>
      <c r="F343" s="6">
        <v>178</v>
      </c>
      <c r="G343" s="7" t="s">
        <v>63</v>
      </c>
      <c r="H343" s="6">
        <v>1</v>
      </c>
      <c r="I343" s="6">
        <v>4</v>
      </c>
      <c r="J343" s="7" t="b">
        <v>0</v>
      </c>
      <c r="K343" s="6">
        <v>239</v>
      </c>
      <c r="L343" s="6">
        <v>126</v>
      </c>
      <c r="M343" s="7" t="s">
        <v>43</v>
      </c>
      <c r="N343" s="7" t="s">
        <v>75</v>
      </c>
      <c r="O343" s="7" t="s">
        <v>64</v>
      </c>
      <c r="P343" s="6">
        <v>86</v>
      </c>
      <c r="Q343" s="11">
        <v>3.9</v>
      </c>
      <c r="R343" s="7" t="b">
        <v>0</v>
      </c>
      <c r="S343" s="7" t="s">
        <v>30</v>
      </c>
      <c r="T343" s="6">
        <v>4356</v>
      </c>
      <c r="U343" s="7" t="s">
        <v>65</v>
      </c>
      <c r="V343" s="12" t="s">
        <v>69</v>
      </c>
      <c r="W343" s="7" t="s">
        <v>40</v>
      </c>
      <c r="X343" s="6">
        <f t="shared" si="23"/>
        <v>543</v>
      </c>
      <c r="Y343" t="str" cm="1">
        <f t="array" ref="Y343">_xlfn.IFS(E343=7.99,"BASIC",E343=11.99,"STANDARD",E343=15.99,"PREMIUM")</f>
        <v>BASIC</v>
      </c>
      <c r="Z343" s="4">
        <f t="shared" si="21"/>
        <v>2.2946593001841622</v>
      </c>
      <c r="AA343" s="3" t="str" cm="1">
        <f t="array" ref="AA343">_xlfn.IFS(
(F343/(X343/7)) &lt; 5, "Casual",
AND((F343/(X343/7)) &gt;= 5, (F343/(X343/7)) &lt; 15), "Regular",
(F343/(X343/7)) &gt;= 15, "Power"
)</f>
        <v>Casual</v>
      </c>
      <c r="AB343" s="3">
        <f t="shared" si="24"/>
        <v>0.48767123287671232</v>
      </c>
      <c r="AC343" t="str">
        <f t="shared" si="22"/>
        <v>Viewers</v>
      </c>
    </row>
    <row r="344" spans="1:29" x14ac:dyDescent="0.3">
      <c r="A344" s="6">
        <v>6471</v>
      </c>
      <c r="B344" s="7" t="s">
        <v>88</v>
      </c>
      <c r="C344" s="10">
        <v>45288</v>
      </c>
      <c r="D344" s="10">
        <v>45621</v>
      </c>
      <c r="E344" s="13">
        <v>7.99</v>
      </c>
      <c r="F344" s="6">
        <v>105</v>
      </c>
      <c r="G344" s="7" t="s">
        <v>73</v>
      </c>
      <c r="H344" s="6">
        <v>4</v>
      </c>
      <c r="I344" s="6">
        <v>3</v>
      </c>
      <c r="J344" s="7" t="b">
        <v>1</v>
      </c>
      <c r="K344" s="6">
        <v>49</v>
      </c>
      <c r="L344" s="6">
        <v>71</v>
      </c>
      <c r="M344" s="7" t="s">
        <v>68</v>
      </c>
      <c r="N344" s="7" t="s">
        <v>56</v>
      </c>
      <c r="O344" s="7" t="s">
        <v>78</v>
      </c>
      <c r="P344" s="6">
        <v>8</v>
      </c>
      <c r="Q344" s="11">
        <v>3.6</v>
      </c>
      <c r="R344" s="7" t="b">
        <v>0</v>
      </c>
      <c r="S344" s="7" t="s">
        <v>30</v>
      </c>
      <c r="T344" s="6">
        <v>1989</v>
      </c>
      <c r="U344" s="7" t="s">
        <v>38</v>
      </c>
      <c r="V344" s="12" t="s">
        <v>69</v>
      </c>
      <c r="W344" s="7" t="s">
        <v>93</v>
      </c>
      <c r="X344" s="6">
        <f t="shared" si="23"/>
        <v>333</v>
      </c>
      <c r="Y344" t="str" cm="1">
        <f t="array" ref="Y344">_xlfn.IFS(E344=7.99,"BASIC",E344=11.99,"STANDARD",E344=15.99,"PREMIUM")</f>
        <v>BASIC</v>
      </c>
      <c r="Z344" s="4">
        <f t="shared" si="21"/>
        <v>2.2072072072072073</v>
      </c>
      <c r="AA344" s="3" t="str" cm="1">
        <f t="array" ref="AA344">_xlfn.IFS(
(F344/(X344/7)) &lt; 5, "Casual",
AND((F344/(X344/7)) &gt;= 5, (F344/(X344/7)) &lt; 15), "Regular",
(F344/(X344/7)) &gt;= 15, "Power"
)</f>
        <v>Casual</v>
      </c>
      <c r="AB344" s="3">
        <f t="shared" si="24"/>
        <v>0.875</v>
      </c>
      <c r="AC344" t="str">
        <f t="shared" si="22"/>
        <v>Viewers</v>
      </c>
    </row>
    <row r="345" spans="1:29" x14ac:dyDescent="0.3">
      <c r="A345" s="6">
        <v>6601</v>
      </c>
      <c r="B345" s="7" t="s">
        <v>434</v>
      </c>
      <c r="C345" s="10">
        <v>45069</v>
      </c>
      <c r="D345" s="10">
        <v>45644</v>
      </c>
      <c r="E345" s="13">
        <v>7.99</v>
      </c>
      <c r="F345" s="6">
        <v>283</v>
      </c>
      <c r="G345" s="7" t="s">
        <v>26</v>
      </c>
      <c r="H345" s="6">
        <v>1</v>
      </c>
      <c r="I345" s="6">
        <v>5</v>
      </c>
      <c r="J345" s="7" t="b">
        <v>1</v>
      </c>
      <c r="K345" s="6">
        <v>407</v>
      </c>
      <c r="L345" s="6">
        <v>15</v>
      </c>
      <c r="M345" s="7" t="s">
        <v>92</v>
      </c>
      <c r="N345" s="7" t="s">
        <v>44</v>
      </c>
      <c r="O345" s="7" t="s">
        <v>78</v>
      </c>
      <c r="P345" s="6">
        <v>26</v>
      </c>
      <c r="Q345" s="11">
        <v>3.1</v>
      </c>
      <c r="R345" s="7" t="b">
        <v>1</v>
      </c>
      <c r="S345" s="7" t="s">
        <v>30</v>
      </c>
      <c r="T345" s="6">
        <v>906</v>
      </c>
      <c r="U345" s="7" t="s">
        <v>58</v>
      </c>
      <c r="V345" s="12" t="s">
        <v>79</v>
      </c>
      <c r="W345" s="7" t="s">
        <v>93</v>
      </c>
      <c r="X345" s="6">
        <f t="shared" si="23"/>
        <v>575</v>
      </c>
      <c r="Y345" t="str" cm="1">
        <f t="array" ref="Y345">_xlfn.IFS(E345=7.99,"BASIC",E345=11.99,"STANDARD",E345=15.99,"PREMIUM")</f>
        <v>BASIC</v>
      </c>
      <c r="Z345" s="4">
        <f t="shared" si="21"/>
        <v>3.445217391304348</v>
      </c>
      <c r="AA345" s="3" t="str" cm="1">
        <f t="array" ref="AA345">_xlfn.IFS(
(F345/(X345/7)) &lt; 5, "Casual",
AND((F345/(X345/7)) &gt;= 5, (F345/(X345/7)) &lt; 15), "Regular",
(F345/(X345/7)) &gt;= 15, "Power"
)</f>
        <v>Casual</v>
      </c>
      <c r="AB345" s="3">
        <f t="shared" si="24"/>
        <v>0.67061611374407581</v>
      </c>
      <c r="AC345" t="str">
        <f t="shared" si="22"/>
        <v>Viewers</v>
      </c>
    </row>
    <row r="346" spans="1:29" x14ac:dyDescent="0.3">
      <c r="A346" s="6">
        <v>4340</v>
      </c>
      <c r="B346" s="7" t="s">
        <v>435</v>
      </c>
      <c r="C346" s="10">
        <v>45003</v>
      </c>
      <c r="D346" s="10">
        <v>45633</v>
      </c>
      <c r="E346" s="13">
        <v>15.99</v>
      </c>
      <c r="F346" s="6">
        <v>154</v>
      </c>
      <c r="G346" s="7" t="s">
        <v>48</v>
      </c>
      <c r="H346" s="6">
        <v>4</v>
      </c>
      <c r="I346" s="6">
        <v>5</v>
      </c>
      <c r="J346" s="7" t="b">
        <v>1</v>
      </c>
      <c r="K346" s="6">
        <v>804</v>
      </c>
      <c r="L346" s="6">
        <v>106</v>
      </c>
      <c r="M346" s="7" t="s">
        <v>49</v>
      </c>
      <c r="N346" s="7" t="s">
        <v>28</v>
      </c>
      <c r="O346" s="7" t="s">
        <v>64</v>
      </c>
      <c r="P346" s="6">
        <v>60</v>
      </c>
      <c r="Q346" s="11">
        <v>4.8</v>
      </c>
      <c r="R346" s="7" t="b">
        <v>0</v>
      </c>
      <c r="S346" s="7" t="s">
        <v>30</v>
      </c>
      <c r="T346" s="6">
        <v>4108</v>
      </c>
      <c r="U346" s="7" t="s">
        <v>65</v>
      </c>
      <c r="V346" s="12" t="s">
        <v>79</v>
      </c>
      <c r="W346" s="7" t="s">
        <v>33</v>
      </c>
      <c r="X346" s="6">
        <f t="shared" si="23"/>
        <v>630</v>
      </c>
      <c r="Y346" t="str" cm="1">
        <f t="array" ref="Y346">_xlfn.IFS(E346=7.99,"BASIC",E346=11.99,"STANDARD",E346=15.99,"PREMIUM")</f>
        <v>PREMIUM</v>
      </c>
      <c r="Z346" s="4">
        <f t="shared" si="21"/>
        <v>1.711111111111111</v>
      </c>
      <c r="AA346" s="3" t="str" cm="1">
        <f t="array" ref="AA346">_xlfn.IFS(
(F346/(X346/7)) &lt; 5, "Casual",
AND((F346/(X346/7)) &gt;= 5, (F346/(X346/7)) &lt; 15), "Regular",
(F346/(X346/7)) &gt;= 15, "Power"
)</f>
        <v>Casual</v>
      </c>
      <c r="AB346" s="3">
        <f t="shared" si="24"/>
        <v>0.16923076923076924</v>
      </c>
      <c r="AC346" t="str">
        <f t="shared" si="22"/>
        <v>Viewers</v>
      </c>
    </row>
    <row r="347" spans="1:29" x14ac:dyDescent="0.3">
      <c r="A347" s="6">
        <v>5112</v>
      </c>
      <c r="B347" s="7" t="s">
        <v>228</v>
      </c>
      <c r="C347" s="10">
        <v>45601</v>
      </c>
      <c r="D347" s="10">
        <v>45640</v>
      </c>
      <c r="E347" s="13">
        <v>15.99</v>
      </c>
      <c r="F347" s="6">
        <v>240</v>
      </c>
      <c r="G347" s="7" t="s">
        <v>63</v>
      </c>
      <c r="H347" s="6">
        <v>2</v>
      </c>
      <c r="I347" s="6">
        <v>6</v>
      </c>
      <c r="J347" s="7" t="b">
        <v>1</v>
      </c>
      <c r="K347" s="6">
        <v>564</v>
      </c>
      <c r="L347" s="6">
        <v>121</v>
      </c>
      <c r="M347" s="7" t="s">
        <v>27</v>
      </c>
      <c r="N347" s="7" t="s">
        <v>75</v>
      </c>
      <c r="O347" s="7" t="s">
        <v>29</v>
      </c>
      <c r="P347" s="6">
        <v>40</v>
      </c>
      <c r="Q347" s="11">
        <v>3.5</v>
      </c>
      <c r="R347" s="7" t="b">
        <v>1</v>
      </c>
      <c r="S347" s="7" t="s">
        <v>30</v>
      </c>
      <c r="T347" s="6">
        <v>333</v>
      </c>
      <c r="U347" s="7" t="s">
        <v>58</v>
      </c>
      <c r="V347" s="12" t="s">
        <v>39</v>
      </c>
      <c r="W347" s="7" t="s">
        <v>40</v>
      </c>
      <c r="X347" s="6">
        <f t="shared" si="23"/>
        <v>39</v>
      </c>
      <c r="Y347" t="str" cm="1">
        <f t="array" ref="Y347">_xlfn.IFS(E347=7.99,"BASIC",E347=11.99,"STANDARD",E347=15.99,"PREMIUM")</f>
        <v>PREMIUM</v>
      </c>
      <c r="Z347" s="4">
        <f t="shared" si="21"/>
        <v>43.07692307692308</v>
      </c>
      <c r="AA347" s="3" t="str" cm="1">
        <f t="array" ref="AA347">_xlfn.IFS(
(F347/(X347/7)) &lt; 5, "Casual",
AND((F347/(X347/7)) &gt;= 5, (F347/(X347/7)) &lt; 15), "Regular",
(F347/(X347/7)) &gt;= 15, "Power"
)</f>
        <v>Power</v>
      </c>
      <c r="AB347" s="3">
        <f t="shared" si="24"/>
        <v>0.35036496350364965</v>
      </c>
      <c r="AC347" t="str">
        <f t="shared" si="22"/>
        <v>Viewers</v>
      </c>
    </row>
    <row r="348" spans="1:29" x14ac:dyDescent="0.3">
      <c r="A348" s="6">
        <v>5700</v>
      </c>
      <c r="B348" s="7" t="s">
        <v>242</v>
      </c>
      <c r="C348" s="10">
        <v>45072</v>
      </c>
      <c r="D348" s="10">
        <v>45635</v>
      </c>
      <c r="E348" s="13">
        <v>11.99</v>
      </c>
      <c r="F348" s="6">
        <v>29</v>
      </c>
      <c r="G348" s="7" t="s">
        <v>48</v>
      </c>
      <c r="H348" s="6">
        <v>1</v>
      </c>
      <c r="I348" s="6">
        <v>5</v>
      </c>
      <c r="J348" s="7" t="b">
        <v>1</v>
      </c>
      <c r="K348" s="6">
        <v>625</v>
      </c>
      <c r="L348" s="6">
        <v>165</v>
      </c>
      <c r="M348" s="7" t="s">
        <v>92</v>
      </c>
      <c r="N348" s="7" t="s">
        <v>56</v>
      </c>
      <c r="O348" s="7" t="s">
        <v>57</v>
      </c>
      <c r="P348" s="6">
        <v>41</v>
      </c>
      <c r="Q348" s="11">
        <v>4.3</v>
      </c>
      <c r="R348" s="7" t="b">
        <v>0</v>
      </c>
      <c r="S348" s="7" t="s">
        <v>30</v>
      </c>
      <c r="T348" s="6">
        <v>3847</v>
      </c>
      <c r="U348" s="7" t="s">
        <v>65</v>
      </c>
      <c r="V348" s="12" t="s">
        <v>59</v>
      </c>
      <c r="W348" s="7" t="s">
        <v>93</v>
      </c>
      <c r="X348" s="6">
        <f t="shared" si="23"/>
        <v>563</v>
      </c>
      <c r="Y348" t="str" cm="1">
        <f t="array" ref="Y348">_xlfn.IFS(E348=7.99,"BASIC",E348=11.99,"STANDARD",E348=15.99,"PREMIUM")</f>
        <v>STANDARD</v>
      </c>
      <c r="Z348" s="4">
        <f t="shared" si="21"/>
        <v>0.36056838365896982</v>
      </c>
      <c r="AA348" s="3" t="str" cm="1">
        <f t="array" ref="AA348">_xlfn.IFS(
(F348/(X348/7)) &lt; 5, "Casual",
AND((F348/(X348/7)) &gt;= 5, (F348/(X348/7)) &lt; 15), "Regular",
(F348/(X348/7)) &gt;= 15, "Power"
)</f>
        <v>Casual</v>
      </c>
      <c r="AB348" s="3">
        <f t="shared" si="24"/>
        <v>3.6708860759493672E-2</v>
      </c>
      <c r="AC348" t="str">
        <f t="shared" si="22"/>
        <v xml:space="preserve"> Browsers</v>
      </c>
    </row>
    <row r="349" spans="1:29" x14ac:dyDescent="0.3">
      <c r="A349" s="6">
        <v>8617</v>
      </c>
      <c r="B349" s="7" t="s">
        <v>140</v>
      </c>
      <c r="C349" s="10">
        <v>45579</v>
      </c>
      <c r="D349" s="10">
        <v>45637</v>
      </c>
      <c r="E349" s="13">
        <v>15.99</v>
      </c>
      <c r="F349" s="6">
        <v>202</v>
      </c>
      <c r="G349" s="7" t="s">
        <v>73</v>
      </c>
      <c r="H349" s="6">
        <v>1</v>
      </c>
      <c r="I349" s="6">
        <v>2</v>
      </c>
      <c r="J349" s="7" t="b">
        <v>1</v>
      </c>
      <c r="K349" s="6">
        <v>260</v>
      </c>
      <c r="L349" s="6">
        <v>53</v>
      </c>
      <c r="M349" s="7" t="s">
        <v>68</v>
      </c>
      <c r="N349" s="7" t="s">
        <v>75</v>
      </c>
      <c r="O349" s="7" t="s">
        <v>64</v>
      </c>
      <c r="P349" s="6">
        <v>13</v>
      </c>
      <c r="Q349" s="11">
        <v>3.9</v>
      </c>
      <c r="R349" s="7" t="b">
        <v>1</v>
      </c>
      <c r="S349" s="7" t="s">
        <v>30</v>
      </c>
      <c r="T349" s="6">
        <v>1423</v>
      </c>
      <c r="U349" s="7" t="s">
        <v>65</v>
      </c>
      <c r="V349" s="12" t="s">
        <v>79</v>
      </c>
      <c r="W349" s="7" t="s">
        <v>40</v>
      </c>
      <c r="X349" s="6">
        <f t="shared" si="23"/>
        <v>58</v>
      </c>
      <c r="Y349" t="str" cm="1">
        <f t="array" ref="Y349">_xlfn.IFS(E349=7.99,"BASIC",E349=11.99,"STANDARD",E349=15.99,"PREMIUM")</f>
        <v>PREMIUM</v>
      </c>
      <c r="Z349" s="4">
        <f t="shared" si="21"/>
        <v>24.379310344827584</v>
      </c>
      <c r="AA349" s="3" t="str" cm="1">
        <f t="array" ref="AA349">_xlfn.IFS(
(F349/(X349/7)) &lt; 5, "Casual",
AND((F349/(X349/7)) &gt;= 5, (F349/(X349/7)) &lt; 15), "Regular",
(F349/(X349/7)) &gt;= 15, "Power"
)</f>
        <v>Power</v>
      </c>
      <c r="AB349" s="3">
        <f t="shared" si="24"/>
        <v>0.64536741214057503</v>
      </c>
      <c r="AC349" t="str">
        <f t="shared" si="22"/>
        <v>Viewers</v>
      </c>
    </row>
    <row r="350" spans="1:29" x14ac:dyDescent="0.3">
      <c r="A350" s="6">
        <v>9149</v>
      </c>
      <c r="B350" s="7" t="s">
        <v>439</v>
      </c>
      <c r="C350" s="10">
        <v>44931</v>
      </c>
      <c r="D350" s="10">
        <v>45643</v>
      </c>
      <c r="E350" s="13">
        <v>15.99</v>
      </c>
      <c r="F350" s="6">
        <v>348</v>
      </c>
      <c r="G350" s="7" t="s">
        <v>51</v>
      </c>
      <c r="H350" s="6">
        <v>2</v>
      </c>
      <c r="I350" s="6">
        <v>6</v>
      </c>
      <c r="J350" s="7" t="b">
        <v>1</v>
      </c>
      <c r="K350" s="6">
        <v>378</v>
      </c>
      <c r="L350" s="6">
        <v>56</v>
      </c>
      <c r="M350" s="7" t="s">
        <v>68</v>
      </c>
      <c r="N350" s="7" t="s">
        <v>44</v>
      </c>
      <c r="O350" s="7" t="s">
        <v>57</v>
      </c>
      <c r="P350" s="6">
        <v>9</v>
      </c>
      <c r="Q350" s="11">
        <v>4.5</v>
      </c>
      <c r="R350" s="7" t="b">
        <v>1</v>
      </c>
      <c r="S350" s="7" t="s">
        <v>30</v>
      </c>
      <c r="T350" s="6">
        <v>595</v>
      </c>
      <c r="U350" s="7" t="s">
        <v>58</v>
      </c>
      <c r="V350" s="12" t="s">
        <v>59</v>
      </c>
      <c r="W350" s="7" t="s">
        <v>93</v>
      </c>
      <c r="X350" s="6">
        <f t="shared" si="23"/>
        <v>712</v>
      </c>
      <c r="Y350" t="str" cm="1">
        <f t="array" ref="Y350">_xlfn.IFS(E350=7.99,"BASIC",E350=11.99,"STANDARD",E350=15.99,"PREMIUM")</f>
        <v>PREMIUM</v>
      </c>
      <c r="Z350" s="4">
        <f t="shared" si="21"/>
        <v>3.4213483146067416</v>
      </c>
      <c r="AA350" s="3" t="str" cm="1">
        <f t="array" ref="AA350">_xlfn.IFS(
(F350/(X350/7)) &lt; 5, "Casual",
AND((F350/(X350/7)) &gt;= 5, (F350/(X350/7)) &lt; 15), "Regular",
(F350/(X350/7)) &gt;= 15, "Power"
)</f>
        <v>Casual</v>
      </c>
      <c r="AB350" s="3">
        <f t="shared" si="24"/>
        <v>0.8018433179723502</v>
      </c>
      <c r="AC350" t="str">
        <f t="shared" si="22"/>
        <v>Viewers</v>
      </c>
    </row>
    <row r="351" spans="1:29" x14ac:dyDescent="0.3">
      <c r="A351" s="6">
        <v>8651</v>
      </c>
      <c r="B351" s="7" t="s">
        <v>283</v>
      </c>
      <c r="C351" s="10">
        <v>45523</v>
      </c>
      <c r="D351" s="10">
        <v>45622</v>
      </c>
      <c r="E351" s="13">
        <v>15.99</v>
      </c>
      <c r="F351" s="6">
        <v>380</v>
      </c>
      <c r="G351" s="7" t="s">
        <v>100</v>
      </c>
      <c r="H351" s="6">
        <v>5</v>
      </c>
      <c r="I351" s="6">
        <v>5</v>
      </c>
      <c r="J351" s="7" t="b">
        <v>0</v>
      </c>
      <c r="K351" s="6">
        <v>334</v>
      </c>
      <c r="L351" s="6">
        <v>175</v>
      </c>
      <c r="M351" s="7" t="s">
        <v>92</v>
      </c>
      <c r="N351" s="7" t="s">
        <v>56</v>
      </c>
      <c r="O351" s="7" t="s">
        <v>37</v>
      </c>
      <c r="P351" s="6">
        <v>69</v>
      </c>
      <c r="Q351" s="11">
        <v>3.1</v>
      </c>
      <c r="R351" s="7" t="b">
        <v>0</v>
      </c>
      <c r="S351" s="7" t="s">
        <v>30</v>
      </c>
      <c r="T351" s="6">
        <v>4445</v>
      </c>
      <c r="U351" s="7" t="s">
        <v>76</v>
      </c>
      <c r="V351" s="12" t="s">
        <v>79</v>
      </c>
      <c r="W351" s="7" t="s">
        <v>33</v>
      </c>
      <c r="X351" s="6">
        <f t="shared" si="23"/>
        <v>99</v>
      </c>
      <c r="Y351" t="str" cm="1">
        <f t="array" ref="Y351">_xlfn.IFS(E351=7.99,"BASIC",E351=11.99,"STANDARD",E351=15.99,"PREMIUM")</f>
        <v>PREMIUM</v>
      </c>
      <c r="Z351" s="4">
        <f t="shared" si="21"/>
        <v>26.868686868686869</v>
      </c>
      <c r="AA351" s="3" t="str" cm="1">
        <f t="array" ref="AA351">_xlfn.IFS(
(F351/(X351/7)) &lt; 5, "Casual",
AND((F351/(X351/7)) &gt;= 5, (F351/(X351/7)) &lt; 15), "Regular",
(F351/(X351/7)) &gt;= 15, "Power"
)</f>
        <v>Power</v>
      </c>
      <c r="AB351" s="3">
        <f t="shared" si="24"/>
        <v>0.74656188605108054</v>
      </c>
      <c r="AC351" t="str">
        <f t="shared" si="22"/>
        <v>Viewers</v>
      </c>
    </row>
    <row r="352" spans="1:29" x14ac:dyDescent="0.3">
      <c r="A352" s="6">
        <v>1495</v>
      </c>
      <c r="B352" s="7" t="s">
        <v>441</v>
      </c>
      <c r="C352" s="10">
        <v>45523</v>
      </c>
      <c r="D352" s="10">
        <v>45618</v>
      </c>
      <c r="E352" s="13">
        <v>15.99</v>
      </c>
      <c r="F352" s="6">
        <v>254</v>
      </c>
      <c r="G352" s="7" t="s">
        <v>100</v>
      </c>
      <c r="H352" s="6">
        <v>3</v>
      </c>
      <c r="I352" s="6">
        <v>2</v>
      </c>
      <c r="J352" s="7" t="b">
        <v>0</v>
      </c>
      <c r="K352" s="6">
        <v>544</v>
      </c>
      <c r="L352" s="6">
        <v>89</v>
      </c>
      <c r="M352" s="7" t="s">
        <v>92</v>
      </c>
      <c r="N352" s="7" t="s">
        <v>44</v>
      </c>
      <c r="O352" s="7" t="s">
        <v>64</v>
      </c>
      <c r="P352" s="6">
        <v>97</v>
      </c>
      <c r="Q352" s="11">
        <v>3.1</v>
      </c>
      <c r="R352" s="7" t="b">
        <v>0</v>
      </c>
      <c r="S352" s="7" t="s">
        <v>30</v>
      </c>
      <c r="T352" s="6">
        <v>144</v>
      </c>
      <c r="U352" s="7" t="s">
        <v>31</v>
      </c>
      <c r="V352" s="12" t="s">
        <v>39</v>
      </c>
      <c r="W352" s="7" t="s">
        <v>33</v>
      </c>
      <c r="X352" s="6">
        <f t="shared" si="23"/>
        <v>95</v>
      </c>
      <c r="Y352" t="str" cm="1">
        <f t="array" ref="Y352">_xlfn.IFS(E352=7.99,"BASIC",E352=11.99,"STANDARD",E352=15.99,"PREMIUM")</f>
        <v>PREMIUM</v>
      </c>
      <c r="Z352" s="4">
        <f t="shared" si="21"/>
        <v>18.715789473684211</v>
      </c>
      <c r="AA352" s="3" t="str" cm="1">
        <f t="array" ref="AA352">_xlfn.IFS(
(F352/(X352/7)) &lt; 5, "Casual",
AND((F352/(X352/7)) &gt;= 5, (F352/(X352/7)) &lt; 15), "Regular",
(F352/(X352/7)) &gt;= 15, "Power"
)</f>
        <v>Power</v>
      </c>
      <c r="AB352" s="3">
        <f t="shared" si="24"/>
        <v>0.40126382306477093</v>
      </c>
      <c r="AC352" t="str">
        <f t="shared" si="22"/>
        <v>Viewers</v>
      </c>
    </row>
    <row r="353" spans="1:29" x14ac:dyDescent="0.3">
      <c r="A353" s="6">
        <v>7359</v>
      </c>
      <c r="B353" s="7" t="s">
        <v>190</v>
      </c>
      <c r="C353" s="10">
        <v>45005</v>
      </c>
      <c r="D353" s="10">
        <v>45643</v>
      </c>
      <c r="E353" s="13">
        <v>15.99</v>
      </c>
      <c r="F353" s="6">
        <v>477</v>
      </c>
      <c r="G353" s="7" t="s">
        <v>26</v>
      </c>
      <c r="H353" s="6">
        <v>2</v>
      </c>
      <c r="I353" s="6">
        <v>3</v>
      </c>
      <c r="J353" s="7" t="b">
        <v>1</v>
      </c>
      <c r="K353" s="6">
        <v>899</v>
      </c>
      <c r="L353" s="6">
        <v>97</v>
      </c>
      <c r="M353" s="7" t="s">
        <v>27</v>
      </c>
      <c r="N353" s="7" t="s">
        <v>56</v>
      </c>
      <c r="O353" s="7" t="s">
        <v>64</v>
      </c>
      <c r="P353" s="6">
        <v>42</v>
      </c>
      <c r="Q353" s="11">
        <v>4.7</v>
      </c>
      <c r="R353" s="7" t="b">
        <v>1</v>
      </c>
      <c r="S353" s="7" t="s">
        <v>30</v>
      </c>
      <c r="T353" s="6">
        <v>3428</v>
      </c>
      <c r="U353" s="7" t="s">
        <v>65</v>
      </c>
      <c r="V353" s="12" t="s">
        <v>69</v>
      </c>
      <c r="W353" s="7" t="s">
        <v>60</v>
      </c>
      <c r="X353" s="6">
        <f t="shared" si="23"/>
        <v>638</v>
      </c>
      <c r="Y353" t="str" cm="1">
        <f t="array" ref="Y353">_xlfn.IFS(E353=7.99,"BASIC",E353=11.99,"STANDARD",E353=15.99,"PREMIUM")</f>
        <v>PREMIUM</v>
      </c>
      <c r="Z353" s="4">
        <f t="shared" si="21"/>
        <v>5.2335423197492164</v>
      </c>
      <c r="AA353" s="3" t="str" cm="1">
        <f t="array" ref="AA353">_xlfn.IFS(
(F353/(X353/7)) &lt; 5, "Casual",
AND((F353/(X353/7)) &gt;= 5, (F353/(X353/7)) &lt; 15), "Regular",
(F353/(X353/7)) &gt;= 15, "Power"
)</f>
        <v>Regular</v>
      </c>
      <c r="AB353" s="3">
        <f t="shared" si="24"/>
        <v>0.47891566265060243</v>
      </c>
      <c r="AC353" t="str">
        <f t="shared" si="22"/>
        <v>Viewers</v>
      </c>
    </row>
    <row r="354" spans="1:29" x14ac:dyDescent="0.3">
      <c r="A354" s="6">
        <v>6525</v>
      </c>
      <c r="B354" s="7" t="s">
        <v>284</v>
      </c>
      <c r="C354" s="10">
        <v>44951</v>
      </c>
      <c r="D354" s="10">
        <v>45618</v>
      </c>
      <c r="E354" s="13">
        <v>15.99</v>
      </c>
      <c r="F354" s="6">
        <v>385</v>
      </c>
      <c r="G354" s="7" t="s">
        <v>73</v>
      </c>
      <c r="H354" s="6">
        <v>3</v>
      </c>
      <c r="I354" s="6">
        <v>1</v>
      </c>
      <c r="J354" s="7" t="b">
        <v>0</v>
      </c>
      <c r="K354" s="6">
        <v>807</v>
      </c>
      <c r="L354" s="6">
        <v>188</v>
      </c>
      <c r="M354" s="7" t="s">
        <v>27</v>
      </c>
      <c r="N354" s="7" t="s">
        <v>56</v>
      </c>
      <c r="O354" s="7" t="s">
        <v>78</v>
      </c>
      <c r="P354" s="6">
        <v>3</v>
      </c>
      <c r="Q354" s="11">
        <v>3.4</v>
      </c>
      <c r="R354" s="7" t="b">
        <v>0</v>
      </c>
      <c r="S354" s="7" t="s">
        <v>30</v>
      </c>
      <c r="T354" s="6">
        <v>4919</v>
      </c>
      <c r="U354" s="7" t="s">
        <v>76</v>
      </c>
      <c r="V354" s="12" t="s">
        <v>32</v>
      </c>
      <c r="W354" s="7" t="s">
        <v>93</v>
      </c>
      <c r="X354" s="6">
        <f t="shared" si="23"/>
        <v>667</v>
      </c>
      <c r="Y354" t="str" cm="1">
        <f t="array" ref="Y354">_xlfn.IFS(E354=7.99,"BASIC",E354=11.99,"STANDARD",E354=15.99,"PREMIUM")</f>
        <v>PREMIUM</v>
      </c>
      <c r="Z354" s="4">
        <f t="shared" si="21"/>
        <v>4.0404797601199398</v>
      </c>
      <c r="AA354" s="3" t="str" cm="1">
        <f t="array" ref="AA354">_xlfn.IFS(
(F354/(X354/7)) &lt; 5, "Casual",
AND((F354/(X354/7)) &gt;= 5, (F354/(X354/7)) &lt; 15), "Regular",
(F354/(X354/7)) &gt;= 15, "Power"
)</f>
        <v>Casual</v>
      </c>
      <c r="AB354" s="3">
        <f t="shared" si="24"/>
        <v>0.38693467336683418</v>
      </c>
      <c r="AC354" t="str">
        <f t="shared" si="22"/>
        <v>Viewers</v>
      </c>
    </row>
    <row r="355" spans="1:29" x14ac:dyDescent="0.3">
      <c r="A355" s="6">
        <v>7207</v>
      </c>
      <c r="B355" s="7" t="s">
        <v>383</v>
      </c>
      <c r="C355" s="10">
        <v>45523</v>
      </c>
      <c r="D355" s="10">
        <v>45643</v>
      </c>
      <c r="E355" s="13">
        <v>7.99</v>
      </c>
      <c r="F355" s="6">
        <v>336</v>
      </c>
      <c r="G355" s="7" t="s">
        <v>48</v>
      </c>
      <c r="H355" s="6">
        <v>1</v>
      </c>
      <c r="I355" s="6">
        <v>2</v>
      </c>
      <c r="J355" s="7" t="b">
        <v>0</v>
      </c>
      <c r="K355" s="6">
        <v>235</v>
      </c>
      <c r="L355" s="6">
        <v>25</v>
      </c>
      <c r="M355" s="7" t="s">
        <v>68</v>
      </c>
      <c r="N355" s="7" t="s">
        <v>56</v>
      </c>
      <c r="O355" s="7" t="s">
        <v>78</v>
      </c>
      <c r="P355" s="6">
        <v>31</v>
      </c>
      <c r="Q355" s="11">
        <v>3.9</v>
      </c>
      <c r="R355" s="7" t="b">
        <v>0</v>
      </c>
      <c r="S355" s="7" t="s">
        <v>30</v>
      </c>
      <c r="T355" s="6">
        <v>4905</v>
      </c>
      <c r="U355" s="7" t="s">
        <v>65</v>
      </c>
      <c r="V355" s="12" t="s">
        <v>32</v>
      </c>
      <c r="W355" s="7" t="s">
        <v>33</v>
      </c>
      <c r="X355" s="6">
        <f t="shared" si="23"/>
        <v>120</v>
      </c>
      <c r="Y355" t="str" cm="1">
        <f t="array" ref="Y355">_xlfn.IFS(E355=7.99,"BASIC",E355=11.99,"STANDARD",E355=15.99,"PREMIUM")</f>
        <v>BASIC</v>
      </c>
      <c r="Z355" s="4">
        <f t="shared" si="21"/>
        <v>19.600000000000001</v>
      </c>
      <c r="AA355" s="3" t="str" cm="1">
        <f t="array" ref="AA355">_xlfn.IFS(
(F355/(X355/7)) &lt; 5, "Casual",
AND((F355/(X355/7)) &gt;= 5, (F355/(X355/7)) &lt; 15), "Regular",
(F355/(X355/7)) &gt;= 15, "Power"
)</f>
        <v>Power</v>
      </c>
      <c r="AB355" s="3">
        <f t="shared" si="24"/>
        <v>1.2923076923076924</v>
      </c>
      <c r="AC355" t="str">
        <f t="shared" si="22"/>
        <v>Viewers</v>
      </c>
    </row>
    <row r="356" spans="1:29" x14ac:dyDescent="0.3">
      <c r="A356" s="6">
        <v>2361</v>
      </c>
      <c r="B356" s="7" t="s">
        <v>444</v>
      </c>
      <c r="C356" s="10">
        <v>45003</v>
      </c>
      <c r="D356" s="10">
        <v>45621</v>
      </c>
      <c r="E356" s="13">
        <v>15.99</v>
      </c>
      <c r="F356" s="6">
        <v>171</v>
      </c>
      <c r="G356" s="7" t="s">
        <v>26</v>
      </c>
      <c r="H356" s="6">
        <v>2</v>
      </c>
      <c r="I356" s="6">
        <v>3</v>
      </c>
      <c r="J356" s="7" t="b">
        <v>0</v>
      </c>
      <c r="K356" s="6">
        <v>763</v>
      </c>
      <c r="L356" s="6">
        <v>16</v>
      </c>
      <c r="M356" s="7" t="s">
        <v>49</v>
      </c>
      <c r="N356" s="7" t="s">
        <v>28</v>
      </c>
      <c r="O356" s="7" t="s">
        <v>57</v>
      </c>
      <c r="P356" s="6">
        <v>17</v>
      </c>
      <c r="Q356" s="11">
        <v>3.4</v>
      </c>
      <c r="R356" s="7" t="b">
        <v>1</v>
      </c>
      <c r="S356" s="7" t="s">
        <v>30</v>
      </c>
      <c r="T356" s="6">
        <v>428</v>
      </c>
      <c r="U356" s="7" t="s">
        <v>76</v>
      </c>
      <c r="V356" s="12" t="s">
        <v>39</v>
      </c>
      <c r="W356" s="7" t="s">
        <v>40</v>
      </c>
      <c r="X356" s="6">
        <f t="shared" si="23"/>
        <v>618</v>
      </c>
      <c r="Y356" t="str" cm="1">
        <f t="array" ref="Y356">_xlfn.IFS(E356=7.99,"BASIC",E356=11.99,"STANDARD",E356=15.99,"PREMIUM")</f>
        <v>PREMIUM</v>
      </c>
      <c r="Z356" s="4">
        <f t="shared" si="21"/>
        <v>1.936893203883495</v>
      </c>
      <c r="AA356" s="3" t="str" cm="1">
        <f t="array" ref="AA356">_xlfn.IFS(
(F356/(X356/7)) &lt; 5, "Casual",
AND((F356/(X356/7)) &gt;= 5, (F356/(X356/7)) &lt; 15), "Regular",
(F356/(X356/7)) &gt;= 15, "Power"
)</f>
        <v>Casual</v>
      </c>
      <c r="AB356" s="3">
        <f t="shared" si="24"/>
        <v>0.21951219512195122</v>
      </c>
      <c r="AC356" t="str">
        <f t="shared" si="22"/>
        <v>Viewers</v>
      </c>
    </row>
    <row r="357" spans="1:29" x14ac:dyDescent="0.3">
      <c r="A357" s="6">
        <v>8766</v>
      </c>
      <c r="B357" s="7" t="s">
        <v>445</v>
      </c>
      <c r="C357" s="10">
        <v>45198</v>
      </c>
      <c r="D357" s="10">
        <v>45623</v>
      </c>
      <c r="E357" s="13">
        <v>15.99</v>
      </c>
      <c r="F357" s="6">
        <v>33</v>
      </c>
      <c r="G357" s="7" t="s">
        <v>51</v>
      </c>
      <c r="H357" s="6">
        <v>1</v>
      </c>
      <c r="I357" s="6">
        <v>4</v>
      </c>
      <c r="J357" s="7" t="b">
        <v>1</v>
      </c>
      <c r="K357" s="6">
        <v>475</v>
      </c>
      <c r="L357" s="6">
        <v>151</v>
      </c>
      <c r="M357" s="7" t="s">
        <v>43</v>
      </c>
      <c r="N357" s="7" t="s">
        <v>56</v>
      </c>
      <c r="O357" s="7" t="s">
        <v>78</v>
      </c>
      <c r="P357" s="6">
        <v>16</v>
      </c>
      <c r="Q357" s="11">
        <v>4.7</v>
      </c>
      <c r="R357" s="7" t="b">
        <v>1</v>
      </c>
      <c r="S357" s="7" t="s">
        <v>30</v>
      </c>
      <c r="T357" s="6">
        <v>1634</v>
      </c>
      <c r="U357" s="7" t="s">
        <v>58</v>
      </c>
      <c r="V357" s="12" t="s">
        <v>69</v>
      </c>
      <c r="W357" s="7" t="s">
        <v>33</v>
      </c>
      <c r="X357" s="6">
        <f t="shared" si="23"/>
        <v>425</v>
      </c>
      <c r="Y357" t="str" cm="1">
        <f t="array" ref="Y357">_xlfn.IFS(E357=7.99,"BASIC",E357=11.99,"STANDARD",E357=15.99,"PREMIUM")</f>
        <v>PREMIUM</v>
      </c>
      <c r="Z357" s="4">
        <f t="shared" si="21"/>
        <v>0.54352941176470593</v>
      </c>
      <c r="AA357" s="3" t="str" cm="1">
        <f t="array" ref="AA357">_xlfn.IFS(
(F357/(X357/7)) &lt; 5, "Casual",
AND((F357/(X357/7)) &gt;= 5, (F357/(X357/7)) &lt; 15), "Regular",
(F357/(X357/7)) &gt;= 15, "Power"
)</f>
        <v>Casual</v>
      </c>
      <c r="AB357" s="3">
        <f t="shared" si="24"/>
        <v>5.2715654952076675E-2</v>
      </c>
      <c r="AC357" t="str">
        <f t="shared" si="22"/>
        <v xml:space="preserve"> Browsers</v>
      </c>
    </row>
    <row r="358" spans="1:29" x14ac:dyDescent="0.3">
      <c r="A358" s="6">
        <v>7236</v>
      </c>
      <c r="B358" s="7" t="s">
        <v>52</v>
      </c>
      <c r="C358" s="10">
        <v>45395</v>
      </c>
      <c r="D358" s="10">
        <v>45636</v>
      </c>
      <c r="E358" s="13">
        <v>7.99</v>
      </c>
      <c r="F358" s="6">
        <v>193</v>
      </c>
      <c r="G358" s="7" t="s">
        <v>100</v>
      </c>
      <c r="H358" s="6">
        <v>3</v>
      </c>
      <c r="I358" s="6">
        <v>6</v>
      </c>
      <c r="J358" s="7" t="b">
        <v>1</v>
      </c>
      <c r="K358" s="6">
        <v>453</v>
      </c>
      <c r="L358" s="6">
        <v>113</v>
      </c>
      <c r="M358" s="7" t="s">
        <v>49</v>
      </c>
      <c r="N358" s="7" t="s">
        <v>75</v>
      </c>
      <c r="O358" s="7" t="s">
        <v>78</v>
      </c>
      <c r="P358" s="6">
        <v>74</v>
      </c>
      <c r="Q358" s="11">
        <v>3.5</v>
      </c>
      <c r="R358" s="7" t="b">
        <v>1</v>
      </c>
      <c r="S358" s="7" t="s">
        <v>30</v>
      </c>
      <c r="T358" s="6">
        <v>4085</v>
      </c>
      <c r="U358" s="7" t="s">
        <v>65</v>
      </c>
      <c r="V358" s="12" t="s">
        <v>39</v>
      </c>
      <c r="W358" s="7" t="s">
        <v>40</v>
      </c>
      <c r="X358" s="6">
        <f t="shared" si="23"/>
        <v>241</v>
      </c>
      <c r="Y358" t="str" cm="1">
        <f t="array" ref="Y358">_xlfn.IFS(E358=7.99,"BASIC",E358=11.99,"STANDARD",E358=15.99,"PREMIUM")</f>
        <v>BASIC</v>
      </c>
      <c r="Z358" s="4">
        <f t="shared" si="21"/>
        <v>5.605809128630705</v>
      </c>
      <c r="AA358" s="3" t="str" cm="1">
        <f t="array" ref="AA358">_xlfn.IFS(
(F358/(X358/7)) &lt; 5, "Casual",
AND((F358/(X358/7)) &gt;= 5, (F358/(X358/7)) &lt; 15), "Regular",
(F358/(X358/7)) &gt;= 15, "Power"
)</f>
        <v>Regular</v>
      </c>
      <c r="AB358" s="3">
        <f t="shared" si="24"/>
        <v>0.3409893992932862</v>
      </c>
      <c r="AC358" t="str">
        <f t="shared" si="22"/>
        <v>Viewers</v>
      </c>
    </row>
    <row r="359" spans="1:29" x14ac:dyDescent="0.3">
      <c r="A359" s="6">
        <v>8605</v>
      </c>
      <c r="B359" s="7" t="s">
        <v>143</v>
      </c>
      <c r="C359" s="10">
        <v>45077</v>
      </c>
      <c r="D359" s="10">
        <v>45627</v>
      </c>
      <c r="E359" s="13">
        <v>11.99</v>
      </c>
      <c r="F359" s="6">
        <v>153</v>
      </c>
      <c r="G359" s="7" t="s">
        <v>63</v>
      </c>
      <c r="H359" s="6">
        <v>2</v>
      </c>
      <c r="I359" s="6">
        <v>2</v>
      </c>
      <c r="J359" s="7" t="b">
        <v>1</v>
      </c>
      <c r="K359" s="6">
        <v>40</v>
      </c>
      <c r="L359" s="6">
        <v>106</v>
      </c>
      <c r="M359" s="7" t="s">
        <v>55</v>
      </c>
      <c r="N359" s="7" t="s">
        <v>44</v>
      </c>
      <c r="O359" s="7" t="s">
        <v>78</v>
      </c>
      <c r="P359" s="6">
        <v>44</v>
      </c>
      <c r="Q359" s="11">
        <v>4.4000000000000004</v>
      </c>
      <c r="R359" s="7" t="b">
        <v>1</v>
      </c>
      <c r="S359" s="7" t="s">
        <v>30</v>
      </c>
      <c r="T359" s="6">
        <v>2790</v>
      </c>
      <c r="U359" s="7" t="s">
        <v>76</v>
      </c>
      <c r="V359" s="12" t="s">
        <v>39</v>
      </c>
      <c r="W359" s="7" t="s">
        <v>93</v>
      </c>
      <c r="X359" s="6">
        <f t="shared" si="23"/>
        <v>550</v>
      </c>
      <c r="Y359" t="str" cm="1">
        <f t="array" ref="Y359">_xlfn.IFS(E359=7.99,"BASIC",E359=11.99,"STANDARD",E359=15.99,"PREMIUM")</f>
        <v>STANDARD</v>
      </c>
      <c r="Z359" s="4">
        <f t="shared" si="21"/>
        <v>1.9472727272727273</v>
      </c>
      <c r="AA359" s="3" t="str" cm="1">
        <f t="array" ref="AA359">_xlfn.IFS(
(F359/(X359/7)) &lt; 5, "Casual",
AND((F359/(X359/7)) &gt;= 5, (F359/(X359/7)) &lt; 15), "Regular",
(F359/(X359/7)) &gt;= 15, "Power"
)</f>
        <v>Casual</v>
      </c>
      <c r="AB359" s="3">
        <f t="shared" si="24"/>
        <v>1.047945205479452</v>
      </c>
      <c r="AC359" t="str">
        <f t="shared" si="22"/>
        <v>Viewers</v>
      </c>
    </row>
    <row r="360" spans="1:29" x14ac:dyDescent="0.3">
      <c r="A360" s="6">
        <v>1055</v>
      </c>
      <c r="B360" s="7" t="s">
        <v>275</v>
      </c>
      <c r="C360" s="10">
        <v>44977</v>
      </c>
      <c r="D360" s="10">
        <v>45638</v>
      </c>
      <c r="E360" s="13">
        <v>15.99</v>
      </c>
      <c r="F360" s="6">
        <v>140</v>
      </c>
      <c r="G360" s="7" t="s">
        <v>63</v>
      </c>
      <c r="H360" s="6">
        <v>5</v>
      </c>
      <c r="I360" s="6">
        <v>5</v>
      </c>
      <c r="J360" s="7" t="b">
        <v>1</v>
      </c>
      <c r="K360" s="6">
        <v>112</v>
      </c>
      <c r="L360" s="6">
        <v>30</v>
      </c>
      <c r="M360" s="7" t="s">
        <v>92</v>
      </c>
      <c r="N360" s="7" t="s">
        <v>56</v>
      </c>
      <c r="O360" s="7" t="s">
        <v>29</v>
      </c>
      <c r="P360" s="6">
        <v>60</v>
      </c>
      <c r="Q360" s="11">
        <v>3.1</v>
      </c>
      <c r="R360" s="7" t="b">
        <v>1</v>
      </c>
      <c r="S360" s="7" t="s">
        <v>30</v>
      </c>
      <c r="T360" s="6">
        <v>2440</v>
      </c>
      <c r="U360" s="7" t="s">
        <v>38</v>
      </c>
      <c r="V360" s="12" t="s">
        <v>32</v>
      </c>
      <c r="W360" s="7" t="s">
        <v>40</v>
      </c>
      <c r="X360" s="6">
        <f t="shared" si="23"/>
        <v>661</v>
      </c>
      <c r="Y360" t="str" cm="1">
        <f t="array" ref="Y360">_xlfn.IFS(E360=7.99,"BASIC",E360=11.99,"STANDARD",E360=15.99,"PREMIUM")</f>
        <v>PREMIUM</v>
      </c>
      <c r="Z360" s="4">
        <f t="shared" si="21"/>
        <v>1.4826021180030258</v>
      </c>
      <c r="AA360" s="3" t="str" cm="1">
        <f t="array" ref="AA360">_xlfn.IFS(
(F360/(X360/7)) &lt; 5, "Casual",
AND((F360/(X360/7)) &gt;= 5, (F360/(X360/7)) &lt; 15), "Regular",
(F360/(X360/7)) &gt;= 15, "Power"
)</f>
        <v>Casual</v>
      </c>
      <c r="AB360" s="3">
        <f t="shared" si="24"/>
        <v>0.9859154929577465</v>
      </c>
      <c r="AC360" t="str">
        <f t="shared" si="22"/>
        <v>Viewers</v>
      </c>
    </row>
    <row r="361" spans="1:29" x14ac:dyDescent="0.3">
      <c r="A361" s="6">
        <v>7986</v>
      </c>
      <c r="B361" s="7" t="s">
        <v>184</v>
      </c>
      <c r="C361" s="10">
        <v>44949</v>
      </c>
      <c r="D361" s="10">
        <v>45636</v>
      </c>
      <c r="E361" s="13">
        <v>15.99</v>
      </c>
      <c r="F361" s="6">
        <v>196</v>
      </c>
      <c r="G361" s="7" t="s">
        <v>73</v>
      </c>
      <c r="H361" s="6">
        <v>2</v>
      </c>
      <c r="I361" s="6">
        <v>2</v>
      </c>
      <c r="J361" s="7" t="b">
        <v>1</v>
      </c>
      <c r="K361" s="6">
        <v>102</v>
      </c>
      <c r="L361" s="6">
        <v>66</v>
      </c>
      <c r="M361" s="7" t="s">
        <v>68</v>
      </c>
      <c r="N361" s="7" t="s">
        <v>75</v>
      </c>
      <c r="O361" s="7" t="s">
        <v>57</v>
      </c>
      <c r="P361" s="6">
        <v>11</v>
      </c>
      <c r="Q361" s="11">
        <v>3.7</v>
      </c>
      <c r="R361" s="7" t="b">
        <v>0</v>
      </c>
      <c r="S361" s="7" t="s">
        <v>30</v>
      </c>
      <c r="T361" s="6">
        <v>2741</v>
      </c>
      <c r="U361" s="7" t="s">
        <v>76</v>
      </c>
      <c r="V361" s="12" t="s">
        <v>69</v>
      </c>
      <c r="W361" s="7" t="s">
        <v>93</v>
      </c>
      <c r="X361" s="6">
        <f t="shared" si="23"/>
        <v>687</v>
      </c>
      <c r="Y361" t="str" cm="1">
        <f t="array" ref="Y361">_xlfn.IFS(E361=7.99,"BASIC",E361=11.99,"STANDARD",E361=15.99,"PREMIUM")</f>
        <v>PREMIUM</v>
      </c>
      <c r="Z361" s="4">
        <f t="shared" si="21"/>
        <v>1.9970887918486173</v>
      </c>
      <c r="AA361" s="3" t="str" cm="1">
        <f t="array" ref="AA361">_xlfn.IFS(
(F361/(X361/7)) &lt; 5, "Casual",
AND((F361/(X361/7)) &gt;= 5, (F361/(X361/7)) &lt; 15), "Regular",
(F361/(X361/7)) &gt;= 15, "Power"
)</f>
        <v>Casual</v>
      </c>
      <c r="AB361" s="3">
        <f t="shared" si="24"/>
        <v>1.1666666666666667</v>
      </c>
      <c r="AC361" t="str">
        <f t="shared" si="22"/>
        <v>Viewers</v>
      </c>
    </row>
    <row r="362" spans="1:29" x14ac:dyDescent="0.3">
      <c r="A362" s="6">
        <v>6170</v>
      </c>
      <c r="B362" s="7" t="s">
        <v>244</v>
      </c>
      <c r="C362" s="10">
        <v>45464</v>
      </c>
      <c r="D362" s="10">
        <v>45618</v>
      </c>
      <c r="E362" s="13">
        <v>15.99</v>
      </c>
      <c r="F362" s="6">
        <v>298</v>
      </c>
      <c r="G362" s="7" t="s">
        <v>63</v>
      </c>
      <c r="H362" s="6">
        <v>5</v>
      </c>
      <c r="I362" s="6">
        <v>1</v>
      </c>
      <c r="J362" s="7" t="b">
        <v>1</v>
      </c>
      <c r="K362" s="6">
        <v>943</v>
      </c>
      <c r="L362" s="6">
        <v>187</v>
      </c>
      <c r="M362" s="7" t="s">
        <v>49</v>
      </c>
      <c r="N362" s="7" t="s">
        <v>75</v>
      </c>
      <c r="O362" s="7" t="s">
        <v>57</v>
      </c>
      <c r="P362" s="6">
        <v>60</v>
      </c>
      <c r="Q362" s="11">
        <v>3.7</v>
      </c>
      <c r="R362" s="7" t="b">
        <v>0</v>
      </c>
      <c r="S362" s="7" t="s">
        <v>30</v>
      </c>
      <c r="T362" s="6">
        <v>4338</v>
      </c>
      <c r="U362" s="7" t="s">
        <v>38</v>
      </c>
      <c r="V362" s="12" t="s">
        <v>69</v>
      </c>
      <c r="W362" s="7" t="s">
        <v>33</v>
      </c>
      <c r="X362" s="6">
        <f t="shared" si="23"/>
        <v>154</v>
      </c>
      <c r="Y362" t="str" cm="1">
        <f t="array" ref="Y362">_xlfn.IFS(E362=7.99,"BASIC",E362=11.99,"STANDARD",E362=15.99,"PREMIUM")</f>
        <v>PREMIUM</v>
      </c>
      <c r="Z362" s="4">
        <f t="shared" si="21"/>
        <v>13.545454545454545</v>
      </c>
      <c r="AA362" s="3" t="str" cm="1">
        <f t="array" ref="AA362">_xlfn.IFS(
(F362/(X362/7)) &lt; 5, "Casual",
AND((F362/(X362/7)) &gt;= 5, (F362/(X362/7)) &lt; 15), "Regular",
(F362/(X362/7)) &gt;= 15, "Power"
)</f>
        <v>Regular</v>
      </c>
      <c r="AB362" s="3">
        <f t="shared" si="24"/>
        <v>0.26371681415929205</v>
      </c>
      <c r="AC362" t="str">
        <f t="shared" si="22"/>
        <v>Viewers</v>
      </c>
    </row>
    <row r="363" spans="1:29" x14ac:dyDescent="0.3">
      <c r="A363" s="6">
        <v>7172</v>
      </c>
      <c r="B363" s="7" t="s">
        <v>448</v>
      </c>
      <c r="C363" s="10">
        <v>45116</v>
      </c>
      <c r="D363" s="10">
        <v>45618</v>
      </c>
      <c r="E363" s="13">
        <v>11.99</v>
      </c>
      <c r="F363" s="6">
        <v>477</v>
      </c>
      <c r="G363" s="7" t="s">
        <v>51</v>
      </c>
      <c r="H363" s="6">
        <v>5</v>
      </c>
      <c r="I363" s="6">
        <v>4</v>
      </c>
      <c r="J363" s="7" t="b">
        <v>0</v>
      </c>
      <c r="K363" s="6">
        <v>426</v>
      </c>
      <c r="L363" s="6">
        <v>137</v>
      </c>
      <c r="M363" s="7" t="s">
        <v>92</v>
      </c>
      <c r="N363" s="7" t="s">
        <v>56</v>
      </c>
      <c r="O363" s="7" t="s">
        <v>29</v>
      </c>
      <c r="P363" s="6">
        <v>31</v>
      </c>
      <c r="Q363" s="11">
        <v>5</v>
      </c>
      <c r="R363" s="7" t="b">
        <v>0</v>
      </c>
      <c r="S363" s="7" t="s">
        <v>30</v>
      </c>
      <c r="T363" s="6">
        <v>2039</v>
      </c>
      <c r="U363" s="7" t="s">
        <v>58</v>
      </c>
      <c r="V363" s="12" t="s">
        <v>69</v>
      </c>
      <c r="W363" s="7" t="s">
        <v>60</v>
      </c>
      <c r="X363" s="6">
        <f t="shared" si="23"/>
        <v>502</v>
      </c>
      <c r="Y363" t="str" cm="1">
        <f t="array" ref="Y363">_xlfn.IFS(E363=7.99,"BASIC",E363=11.99,"STANDARD",E363=15.99,"PREMIUM")</f>
        <v>STANDARD</v>
      </c>
      <c r="Z363" s="4">
        <f t="shared" si="21"/>
        <v>6.6513944223107577</v>
      </c>
      <c r="AA363" s="3" t="str" cm="1">
        <f t="array" ref="AA363">_xlfn.IFS(
(F363/(X363/7)) &lt; 5, "Casual",
AND((F363/(X363/7)) &gt;= 5, (F363/(X363/7)) &lt; 15), "Regular",
(F363/(X363/7)) &gt;= 15, "Power"
)</f>
        <v>Regular</v>
      </c>
      <c r="AB363" s="3">
        <f t="shared" si="24"/>
        <v>0.84724689165186506</v>
      </c>
      <c r="AC363" t="str">
        <f t="shared" si="22"/>
        <v>Viewers</v>
      </c>
    </row>
    <row r="364" spans="1:29" x14ac:dyDescent="0.3">
      <c r="A364" s="6">
        <v>7408</v>
      </c>
      <c r="B364" s="7" t="s">
        <v>236</v>
      </c>
      <c r="C364" s="10">
        <v>44922</v>
      </c>
      <c r="D364" s="10">
        <v>45620</v>
      </c>
      <c r="E364" s="13">
        <v>15.99</v>
      </c>
      <c r="F364" s="6">
        <v>308</v>
      </c>
      <c r="G364" s="7" t="s">
        <v>100</v>
      </c>
      <c r="H364" s="6">
        <v>1</v>
      </c>
      <c r="I364" s="6">
        <v>2</v>
      </c>
      <c r="J364" s="7" t="b">
        <v>1</v>
      </c>
      <c r="K364" s="6">
        <v>202</v>
      </c>
      <c r="L364" s="6">
        <v>12</v>
      </c>
      <c r="M364" s="7" t="s">
        <v>55</v>
      </c>
      <c r="N364" s="7" t="s">
        <v>75</v>
      </c>
      <c r="O364" s="7" t="s">
        <v>57</v>
      </c>
      <c r="P364" s="6">
        <v>21</v>
      </c>
      <c r="Q364" s="11">
        <v>4.5</v>
      </c>
      <c r="R364" s="7" t="b">
        <v>0</v>
      </c>
      <c r="S364" s="7" t="s">
        <v>30</v>
      </c>
      <c r="T364" s="6">
        <v>2097</v>
      </c>
      <c r="U364" s="7" t="s">
        <v>38</v>
      </c>
      <c r="V364" s="12" t="s">
        <v>39</v>
      </c>
      <c r="W364" s="7" t="s">
        <v>60</v>
      </c>
      <c r="X364" s="6">
        <f t="shared" si="23"/>
        <v>698</v>
      </c>
      <c r="Y364" t="str" cm="1">
        <f t="array" ref="Y364">_xlfn.IFS(E364=7.99,"BASIC",E364=11.99,"STANDARD",E364=15.99,"PREMIUM")</f>
        <v>PREMIUM</v>
      </c>
      <c r="Z364" s="4">
        <f t="shared" si="21"/>
        <v>3.0888252148997135</v>
      </c>
      <c r="AA364" s="3" t="str" cm="1">
        <f t="array" ref="AA364">_xlfn.IFS(
(F364/(X364/7)) &lt; 5, "Casual",
AND((F364/(X364/7)) &gt;= 5, (F364/(X364/7)) &lt; 15), "Regular",
(F364/(X364/7)) &gt;= 15, "Power"
)</f>
        <v>Casual</v>
      </c>
      <c r="AB364" s="3">
        <f t="shared" si="24"/>
        <v>1.4392523364485981</v>
      </c>
      <c r="AC364" t="str">
        <f t="shared" si="22"/>
        <v>Viewers</v>
      </c>
    </row>
    <row r="365" spans="1:29" x14ac:dyDescent="0.3">
      <c r="A365" s="6">
        <v>7274</v>
      </c>
      <c r="B365" s="7" t="s">
        <v>304</v>
      </c>
      <c r="C365" s="10">
        <v>45028</v>
      </c>
      <c r="D365" s="10">
        <v>45632</v>
      </c>
      <c r="E365" s="13">
        <v>11.99</v>
      </c>
      <c r="F365" s="6">
        <v>193</v>
      </c>
      <c r="G365" s="7" t="s">
        <v>51</v>
      </c>
      <c r="H365" s="6">
        <v>4</v>
      </c>
      <c r="I365" s="6">
        <v>4</v>
      </c>
      <c r="J365" s="7" t="b">
        <v>0</v>
      </c>
      <c r="K365" s="6">
        <v>364</v>
      </c>
      <c r="L365" s="6">
        <v>181</v>
      </c>
      <c r="M365" s="7" t="s">
        <v>92</v>
      </c>
      <c r="N365" s="7" t="s">
        <v>56</v>
      </c>
      <c r="O365" s="7" t="s">
        <v>64</v>
      </c>
      <c r="P365" s="6">
        <v>51</v>
      </c>
      <c r="Q365" s="11">
        <v>4.7</v>
      </c>
      <c r="R365" s="7" t="b">
        <v>0</v>
      </c>
      <c r="S365" s="7" t="s">
        <v>30</v>
      </c>
      <c r="T365" s="6">
        <v>2384</v>
      </c>
      <c r="U365" s="7" t="s">
        <v>38</v>
      </c>
      <c r="V365" s="12" t="s">
        <v>79</v>
      </c>
      <c r="W365" s="7" t="s">
        <v>93</v>
      </c>
      <c r="X365" s="6">
        <f t="shared" si="23"/>
        <v>604</v>
      </c>
      <c r="Y365" t="str" cm="1">
        <f t="array" ref="Y365">_xlfn.IFS(E365=7.99,"BASIC",E365=11.99,"STANDARD",E365=15.99,"PREMIUM")</f>
        <v>STANDARD</v>
      </c>
      <c r="Z365" s="4">
        <f t="shared" si="21"/>
        <v>2.2367549668874172</v>
      </c>
      <c r="AA365" s="3" t="str" cm="1">
        <f t="array" ref="AA365">_xlfn.IFS(
(F365/(X365/7)) &lt; 5, "Casual",
AND((F365/(X365/7)) &gt;= 5, (F365/(X365/7)) &lt; 15), "Regular",
(F365/(X365/7)) &gt;= 15, "Power"
)</f>
        <v>Casual</v>
      </c>
      <c r="AB365" s="3">
        <f t="shared" si="24"/>
        <v>0.3541284403669725</v>
      </c>
      <c r="AC365" t="str">
        <f t="shared" si="22"/>
        <v>Viewers</v>
      </c>
    </row>
    <row r="366" spans="1:29" x14ac:dyDescent="0.3">
      <c r="A366" s="6">
        <v>6001</v>
      </c>
      <c r="B366" s="7" t="s">
        <v>276</v>
      </c>
      <c r="C366" s="10">
        <v>45537</v>
      </c>
      <c r="D366" s="10">
        <v>45624</v>
      </c>
      <c r="E366" s="13">
        <v>15.99</v>
      </c>
      <c r="F366" s="6">
        <v>420</v>
      </c>
      <c r="G366" s="7" t="s">
        <v>51</v>
      </c>
      <c r="H366" s="6">
        <v>3</v>
      </c>
      <c r="I366" s="6">
        <v>3</v>
      </c>
      <c r="J366" s="7" t="b">
        <v>1</v>
      </c>
      <c r="K366" s="6">
        <v>562</v>
      </c>
      <c r="L366" s="6">
        <v>67</v>
      </c>
      <c r="M366" s="7" t="s">
        <v>27</v>
      </c>
      <c r="N366" s="7" t="s">
        <v>44</v>
      </c>
      <c r="O366" s="7" t="s">
        <v>64</v>
      </c>
      <c r="P366" s="6">
        <v>2</v>
      </c>
      <c r="Q366" s="11">
        <v>3.2</v>
      </c>
      <c r="R366" s="7" t="b">
        <v>1</v>
      </c>
      <c r="S366" s="7" t="s">
        <v>30</v>
      </c>
      <c r="T366" s="6">
        <v>4159</v>
      </c>
      <c r="U366" s="7" t="s">
        <v>58</v>
      </c>
      <c r="V366" s="12" t="s">
        <v>69</v>
      </c>
      <c r="W366" s="7" t="s">
        <v>40</v>
      </c>
      <c r="X366" s="6">
        <f t="shared" si="23"/>
        <v>87</v>
      </c>
      <c r="Y366" t="str" cm="1">
        <f t="array" ref="Y366">_xlfn.IFS(E366=7.99,"BASIC",E366=11.99,"STANDARD",E366=15.99,"PREMIUM")</f>
        <v>PREMIUM</v>
      </c>
      <c r="Z366" s="4">
        <f t="shared" si="21"/>
        <v>33.793103448275865</v>
      </c>
      <c r="AA366" s="3" t="str" cm="1">
        <f t="array" ref="AA366">_xlfn.IFS(
(F366/(X366/7)) &lt; 5, "Casual",
AND((F366/(X366/7)) &gt;= 5, (F366/(X366/7)) &lt; 15), "Regular",
(F366/(X366/7)) &gt;= 15, "Power"
)</f>
        <v>Power</v>
      </c>
      <c r="AB366" s="3">
        <f t="shared" si="24"/>
        <v>0.66772655007949122</v>
      </c>
      <c r="AC366" t="str">
        <f t="shared" si="22"/>
        <v>Viewers</v>
      </c>
    </row>
    <row r="367" spans="1:29" x14ac:dyDescent="0.3">
      <c r="A367" s="6">
        <v>9418</v>
      </c>
      <c r="B367" s="7" t="s">
        <v>450</v>
      </c>
      <c r="C367" s="10">
        <v>45494</v>
      </c>
      <c r="D367" s="10">
        <v>45622</v>
      </c>
      <c r="E367" s="13">
        <v>7.99</v>
      </c>
      <c r="F367" s="6">
        <v>128</v>
      </c>
      <c r="G367" s="7" t="s">
        <v>26</v>
      </c>
      <c r="H367" s="6">
        <v>5</v>
      </c>
      <c r="I367" s="6">
        <v>6</v>
      </c>
      <c r="J367" s="7" t="b">
        <v>1</v>
      </c>
      <c r="K367" s="6">
        <v>481</v>
      </c>
      <c r="L367" s="6">
        <v>128</v>
      </c>
      <c r="M367" s="7" t="s">
        <v>55</v>
      </c>
      <c r="N367" s="7" t="s">
        <v>56</v>
      </c>
      <c r="O367" s="7" t="s">
        <v>37</v>
      </c>
      <c r="P367" s="6">
        <v>89</v>
      </c>
      <c r="Q367" s="11">
        <v>3.3</v>
      </c>
      <c r="R367" s="7" t="b">
        <v>1</v>
      </c>
      <c r="S367" s="7" t="s">
        <v>30</v>
      </c>
      <c r="T367" s="6">
        <v>2002</v>
      </c>
      <c r="U367" s="7" t="s">
        <v>76</v>
      </c>
      <c r="V367" s="12" t="s">
        <v>59</v>
      </c>
      <c r="W367" s="7" t="s">
        <v>60</v>
      </c>
      <c r="X367" s="6">
        <f t="shared" si="23"/>
        <v>128</v>
      </c>
      <c r="Y367" t="str" cm="1">
        <f t="array" ref="Y367">_xlfn.IFS(E367=7.99,"BASIC",E367=11.99,"STANDARD",E367=15.99,"PREMIUM")</f>
        <v>BASIC</v>
      </c>
      <c r="Z367" s="4">
        <f t="shared" si="21"/>
        <v>7</v>
      </c>
      <c r="AA367" s="3" t="str" cm="1">
        <f t="array" ref="AA367">_xlfn.IFS(
(F367/(X367/7)) &lt; 5, "Casual",
AND((F367/(X367/7)) &gt;= 5, (F367/(X367/7)) &lt; 15), "Regular",
(F367/(X367/7)) &gt;= 15, "Power"
)</f>
        <v>Regular</v>
      </c>
      <c r="AB367" s="3">
        <f t="shared" si="24"/>
        <v>0.21018062397372742</v>
      </c>
      <c r="AC367" t="str">
        <f t="shared" si="22"/>
        <v>Viewers</v>
      </c>
    </row>
    <row r="368" spans="1:29" x14ac:dyDescent="0.3">
      <c r="A368" s="6">
        <v>9354</v>
      </c>
      <c r="B368" s="7" t="s">
        <v>441</v>
      </c>
      <c r="C368" s="10">
        <v>45128</v>
      </c>
      <c r="D368" s="10">
        <v>45626</v>
      </c>
      <c r="E368" s="13">
        <v>11.99</v>
      </c>
      <c r="F368" s="6">
        <v>133</v>
      </c>
      <c r="G368" s="7" t="s">
        <v>26</v>
      </c>
      <c r="H368" s="6">
        <v>4</v>
      </c>
      <c r="I368" s="6">
        <v>6</v>
      </c>
      <c r="J368" s="7" t="b">
        <v>0</v>
      </c>
      <c r="K368" s="6">
        <v>469</v>
      </c>
      <c r="L368" s="6">
        <v>182</v>
      </c>
      <c r="M368" s="7" t="s">
        <v>68</v>
      </c>
      <c r="N368" s="7" t="s">
        <v>28</v>
      </c>
      <c r="O368" s="7" t="s">
        <v>64</v>
      </c>
      <c r="P368" s="6">
        <v>85</v>
      </c>
      <c r="Q368" s="11">
        <v>4.4000000000000004</v>
      </c>
      <c r="R368" s="7" t="b">
        <v>0</v>
      </c>
      <c r="S368" s="7" t="s">
        <v>30</v>
      </c>
      <c r="T368" s="6">
        <v>782</v>
      </c>
      <c r="U368" s="7" t="s">
        <v>76</v>
      </c>
      <c r="V368" s="12" t="s">
        <v>32</v>
      </c>
      <c r="W368" s="7" t="s">
        <v>93</v>
      </c>
      <c r="X368" s="6">
        <f t="shared" si="23"/>
        <v>498</v>
      </c>
      <c r="Y368" t="str" cm="1">
        <f t="array" ref="Y368">_xlfn.IFS(E368=7.99,"BASIC",E368=11.99,"STANDARD",E368=15.99,"PREMIUM")</f>
        <v>STANDARD</v>
      </c>
      <c r="Z368" s="4">
        <f t="shared" si="21"/>
        <v>1.8694779116465865</v>
      </c>
      <c r="AA368" s="3" t="str" cm="1">
        <f t="array" ref="AA368">_xlfn.IFS(
(F368/(X368/7)) &lt; 5, "Casual",
AND((F368/(X368/7)) &gt;= 5, (F368/(X368/7)) &lt; 15), "Regular",
(F368/(X368/7)) &gt;= 15, "Power"
)</f>
        <v>Casual</v>
      </c>
      <c r="AB368" s="3">
        <f t="shared" si="24"/>
        <v>0.20430107526881722</v>
      </c>
      <c r="AC368" t="str">
        <f t="shared" si="22"/>
        <v>Viewers</v>
      </c>
    </row>
    <row r="369" spans="1:29" x14ac:dyDescent="0.3">
      <c r="A369" s="6">
        <v>8122</v>
      </c>
      <c r="B369" s="7" t="s">
        <v>452</v>
      </c>
      <c r="C369" s="10">
        <v>45546</v>
      </c>
      <c r="D369" s="10">
        <v>45625</v>
      </c>
      <c r="E369" s="13">
        <v>15.99</v>
      </c>
      <c r="F369" s="6">
        <v>413</v>
      </c>
      <c r="G369" s="7" t="s">
        <v>48</v>
      </c>
      <c r="H369" s="6">
        <v>5</v>
      </c>
      <c r="I369" s="6">
        <v>2</v>
      </c>
      <c r="J369" s="7" t="b">
        <v>0</v>
      </c>
      <c r="K369" s="6">
        <v>708</v>
      </c>
      <c r="L369" s="6">
        <v>4</v>
      </c>
      <c r="M369" s="7" t="s">
        <v>49</v>
      </c>
      <c r="N369" s="7" t="s">
        <v>56</v>
      </c>
      <c r="O369" s="7" t="s">
        <v>78</v>
      </c>
      <c r="P369" s="6">
        <v>62</v>
      </c>
      <c r="Q369" s="11">
        <v>4.3</v>
      </c>
      <c r="R369" s="7" t="b">
        <v>1</v>
      </c>
      <c r="S369" s="7" t="s">
        <v>30</v>
      </c>
      <c r="T369" s="6">
        <v>4056</v>
      </c>
      <c r="U369" s="7" t="s">
        <v>31</v>
      </c>
      <c r="V369" s="12" t="s">
        <v>79</v>
      </c>
      <c r="W369" s="7" t="s">
        <v>40</v>
      </c>
      <c r="X369" s="6">
        <f t="shared" si="23"/>
        <v>79</v>
      </c>
      <c r="Y369" t="str" cm="1">
        <f t="array" ref="Y369">_xlfn.IFS(E369=7.99,"BASIC",E369=11.99,"STANDARD",E369=15.99,"PREMIUM")</f>
        <v>PREMIUM</v>
      </c>
      <c r="Z369" s="4">
        <f t="shared" si="21"/>
        <v>36.594936708860757</v>
      </c>
      <c r="AA369" s="3" t="str" cm="1">
        <f t="array" ref="AA369">_xlfn.IFS(
(F369/(X369/7)) &lt; 5, "Casual",
AND((F369/(X369/7)) &gt;= 5, (F369/(X369/7)) &lt; 15), "Regular",
(F369/(X369/7)) &gt;= 15, "Power"
)</f>
        <v>Power</v>
      </c>
      <c r="AB369" s="3">
        <f t="shared" si="24"/>
        <v>0.5800561797752809</v>
      </c>
      <c r="AC369" t="str">
        <f t="shared" si="22"/>
        <v>Viewers</v>
      </c>
    </row>
    <row r="370" spans="1:29" x14ac:dyDescent="0.3">
      <c r="A370" s="6">
        <v>1765</v>
      </c>
      <c r="B370" s="7" t="s">
        <v>453</v>
      </c>
      <c r="C370" s="10">
        <v>45551</v>
      </c>
      <c r="D370" s="10">
        <v>45620</v>
      </c>
      <c r="E370" s="13">
        <v>11.99</v>
      </c>
      <c r="F370" s="6">
        <v>28</v>
      </c>
      <c r="G370" s="7" t="s">
        <v>51</v>
      </c>
      <c r="H370" s="6">
        <v>4</v>
      </c>
      <c r="I370" s="6">
        <v>1</v>
      </c>
      <c r="J370" s="7" t="b">
        <v>1</v>
      </c>
      <c r="K370" s="6">
        <v>990</v>
      </c>
      <c r="L370" s="6">
        <v>88</v>
      </c>
      <c r="M370" s="7" t="s">
        <v>49</v>
      </c>
      <c r="N370" s="7" t="s">
        <v>56</v>
      </c>
      <c r="O370" s="7" t="s">
        <v>78</v>
      </c>
      <c r="P370" s="6">
        <v>97</v>
      </c>
      <c r="Q370" s="11">
        <v>5</v>
      </c>
      <c r="R370" s="7" t="b">
        <v>0</v>
      </c>
      <c r="S370" s="7" t="s">
        <v>30</v>
      </c>
      <c r="T370" s="6">
        <v>1341</v>
      </c>
      <c r="U370" s="7" t="s">
        <v>76</v>
      </c>
      <c r="V370" s="12" t="s">
        <v>32</v>
      </c>
      <c r="W370" s="7" t="s">
        <v>33</v>
      </c>
      <c r="X370" s="6">
        <f t="shared" si="23"/>
        <v>69</v>
      </c>
      <c r="Y370" t="str" cm="1">
        <f t="array" ref="Y370">_xlfn.IFS(E370=7.99,"BASIC",E370=11.99,"STANDARD",E370=15.99,"PREMIUM")</f>
        <v>STANDARD</v>
      </c>
      <c r="Z370" s="4">
        <f t="shared" si="21"/>
        <v>2.8405797101449273</v>
      </c>
      <c r="AA370" s="3" t="str" cm="1">
        <f t="array" ref="AA370">_xlfn.IFS(
(F370/(X370/7)) &lt; 5, "Casual",
AND((F370/(X370/7)) &gt;= 5, (F370/(X370/7)) &lt; 15), "Regular",
(F370/(X370/7)) &gt;= 15, "Power"
)</f>
        <v>Casual</v>
      </c>
      <c r="AB370" s="3">
        <f t="shared" si="24"/>
        <v>2.5974025974025976E-2</v>
      </c>
      <c r="AC370" t="str">
        <f t="shared" si="22"/>
        <v xml:space="preserve"> Browsers</v>
      </c>
    </row>
    <row r="371" spans="1:29" x14ac:dyDescent="0.3">
      <c r="A371" s="6">
        <v>5352</v>
      </c>
      <c r="B371" s="7" t="s">
        <v>290</v>
      </c>
      <c r="C371" s="10">
        <v>45307</v>
      </c>
      <c r="D371" s="10">
        <v>45640</v>
      </c>
      <c r="E371" s="13">
        <v>15.99</v>
      </c>
      <c r="F371" s="6">
        <v>453</v>
      </c>
      <c r="G371" s="7" t="s">
        <v>36</v>
      </c>
      <c r="H371" s="6">
        <v>5</v>
      </c>
      <c r="I371" s="6">
        <v>3</v>
      </c>
      <c r="J371" s="7" t="b">
        <v>1</v>
      </c>
      <c r="K371" s="6">
        <v>236</v>
      </c>
      <c r="L371" s="6">
        <v>121</v>
      </c>
      <c r="M371" s="7" t="s">
        <v>27</v>
      </c>
      <c r="N371" s="7" t="s">
        <v>75</v>
      </c>
      <c r="O371" s="7" t="s">
        <v>45</v>
      </c>
      <c r="P371" s="6">
        <v>1</v>
      </c>
      <c r="Q371" s="11">
        <v>3.7</v>
      </c>
      <c r="R371" s="7" t="b">
        <v>0</v>
      </c>
      <c r="S371" s="7" t="s">
        <v>30</v>
      </c>
      <c r="T371" s="6">
        <v>3028</v>
      </c>
      <c r="U371" s="7" t="s">
        <v>38</v>
      </c>
      <c r="V371" s="12" t="s">
        <v>79</v>
      </c>
      <c r="W371" s="7" t="s">
        <v>60</v>
      </c>
      <c r="X371" s="6">
        <f t="shared" si="23"/>
        <v>333</v>
      </c>
      <c r="Y371" t="str" cm="1">
        <f t="array" ref="Y371">_xlfn.IFS(E371=7.99,"BASIC",E371=11.99,"STANDARD",E371=15.99,"PREMIUM")</f>
        <v>PREMIUM</v>
      </c>
      <c r="Z371" s="4">
        <f t="shared" si="21"/>
        <v>9.5225225225225234</v>
      </c>
      <c r="AA371" s="3" t="str" cm="1">
        <f t="array" ref="AA371">_xlfn.IFS(
(F371/(X371/7)) &lt; 5, "Casual",
AND((F371/(X371/7)) &gt;= 5, (F371/(X371/7)) &lt; 15), "Regular",
(F371/(X371/7)) &gt;= 15, "Power"
)</f>
        <v>Regular</v>
      </c>
      <c r="AB371" s="3">
        <f t="shared" si="24"/>
        <v>1.26890756302521</v>
      </c>
      <c r="AC371" t="str">
        <f t="shared" si="22"/>
        <v>Viewers</v>
      </c>
    </row>
    <row r="372" spans="1:29" x14ac:dyDescent="0.3">
      <c r="A372" s="6">
        <v>7578</v>
      </c>
      <c r="B372" s="7" t="s">
        <v>130</v>
      </c>
      <c r="C372" s="10">
        <v>45202</v>
      </c>
      <c r="D372" s="10">
        <v>45629</v>
      </c>
      <c r="E372" s="13">
        <v>11.99</v>
      </c>
      <c r="F372" s="6">
        <v>186</v>
      </c>
      <c r="G372" s="7" t="s">
        <v>36</v>
      </c>
      <c r="H372" s="6">
        <v>2</v>
      </c>
      <c r="I372" s="6">
        <v>5</v>
      </c>
      <c r="J372" s="7" t="b">
        <v>1</v>
      </c>
      <c r="K372" s="6">
        <v>784</v>
      </c>
      <c r="L372" s="6">
        <v>29</v>
      </c>
      <c r="M372" s="7" t="s">
        <v>27</v>
      </c>
      <c r="N372" s="7" t="s">
        <v>44</v>
      </c>
      <c r="O372" s="7" t="s">
        <v>37</v>
      </c>
      <c r="P372" s="6">
        <v>76</v>
      </c>
      <c r="Q372" s="11">
        <v>4.3</v>
      </c>
      <c r="R372" s="7" t="b">
        <v>1</v>
      </c>
      <c r="S372" s="7" t="s">
        <v>30</v>
      </c>
      <c r="T372" s="6">
        <v>4799</v>
      </c>
      <c r="U372" s="7" t="s">
        <v>38</v>
      </c>
      <c r="V372" s="12" t="s">
        <v>59</v>
      </c>
      <c r="W372" s="7" t="s">
        <v>60</v>
      </c>
      <c r="X372" s="6">
        <f t="shared" si="23"/>
        <v>427</v>
      </c>
      <c r="Y372" t="str" cm="1">
        <f t="array" ref="Y372">_xlfn.IFS(E372=7.99,"BASIC",E372=11.99,"STANDARD",E372=15.99,"PREMIUM")</f>
        <v>STANDARD</v>
      </c>
      <c r="Z372" s="4">
        <f t="shared" si="21"/>
        <v>3.0491803278688523</v>
      </c>
      <c r="AA372" s="3" t="str" cm="1">
        <f t="array" ref="AA372">_xlfn.IFS(
(F372/(X372/7)) &lt; 5, "Casual",
AND((F372/(X372/7)) &gt;= 5, (F372/(X372/7)) &lt; 15), "Regular",
(F372/(X372/7)) &gt;= 15, "Power"
)</f>
        <v>Casual</v>
      </c>
      <c r="AB372" s="3">
        <f t="shared" si="24"/>
        <v>0.22878228782287824</v>
      </c>
      <c r="AC372" t="str">
        <f t="shared" si="22"/>
        <v>Viewers</v>
      </c>
    </row>
    <row r="373" spans="1:29" x14ac:dyDescent="0.3">
      <c r="A373" s="6">
        <v>8912</v>
      </c>
      <c r="B373" s="7" t="s">
        <v>169</v>
      </c>
      <c r="C373" s="10">
        <v>45540</v>
      </c>
      <c r="D373" s="10">
        <v>45617</v>
      </c>
      <c r="E373" s="13">
        <v>15.99</v>
      </c>
      <c r="F373" s="6">
        <v>287</v>
      </c>
      <c r="G373" s="7" t="s">
        <v>100</v>
      </c>
      <c r="H373" s="6">
        <v>3</v>
      </c>
      <c r="I373" s="6">
        <v>6</v>
      </c>
      <c r="J373" s="7" t="b">
        <v>0</v>
      </c>
      <c r="K373" s="6">
        <v>714</v>
      </c>
      <c r="L373" s="6">
        <v>3</v>
      </c>
      <c r="M373" s="7" t="s">
        <v>55</v>
      </c>
      <c r="N373" s="7" t="s">
        <v>44</v>
      </c>
      <c r="O373" s="7" t="s">
        <v>45</v>
      </c>
      <c r="P373" s="6">
        <v>45</v>
      </c>
      <c r="Q373" s="11">
        <v>4.3</v>
      </c>
      <c r="R373" s="7" t="b">
        <v>1</v>
      </c>
      <c r="S373" s="7" t="s">
        <v>30</v>
      </c>
      <c r="T373" s="6">
        <v>4556</v>
      </c>
      <c r="U373" s="7" t="s">
        <v>76</v>
      </c>
      <c r="V373" s="12" t="s">
        <v>69</v>
      </c>
      <c r="W373" s="7" t="s">
        <v>60</v>
      </c>
      <c r="X373" s="6">
        <f t="shared" si="23"/>
        <v>77</v>
      </c>
      <c r="Y373" t="str" cm="1">
        <f t="array" ref="Y373">_xlfn.IFS(E373=7.99,"BASIC",E373=11.99,"STANDARD",E373=15.99,"PREMIUM")</f>
        <v>PREMIUM</v>
      </c>
      <c r="Z373" s="4">
        <f t="shared" si="21"/>
        <v>26.09090909090909</v>
      </c>
      <c r="AA373" s="3" t="str" cm="1">
        <f t="array" ref="AA373">_xlfn.IFS(
(F373/(X373/7)) &lt; 5, "Casual",
AND((F373/(X373/7)) &gt;= 5, (F373/(X373/7)) &lt; 15), "Regular",
(F373/(X373/7)) &gt;= 15, "Power"
)</f>
        <v>Power</v>
      </c>
      <c r="AB373" s="3">
        <f t="shared" si="24"/>
        <v>0.40027894002789399</v>
      </c>
      <c r="AC373" t="str">
        <f t="shared" si="22"/>
        <v>Viewers</v>
      </c>
    </row>
    <row r="374" spans="1:29" x14ac:dyDescent="0.3">
      <c r="A374" s="6">
        <v>6641</v>
      </c>
      <c r="B374" s="7" t="s">
        <v>140</v>
      </c>
      <c r="C374" s="10">
        <v>45493</v>
      </c>
      <c r="D374" s="10">
        <v>45634</v>
      </c>
      <c r="E374" s="13">
        <v>7.99</v>
      </c>
      <c r="F374" s="6">
        <v>45</v>
      </c>
      <c r="G374" s="7" t="s">
        <v>63</v>
      </c>
      <c r="H374" s="6">
        <v>4</v>
      </c>
      <c r="I374" s="6">
        <v>3</v>
      </c>
      <c r="J374" s="7" t="b">
        <v>0</v>
      </c>
      <c r="K374" s="6">
        <v>420</v>
      </c>
      <c r="L374" s="6">
        <v>87</v>
      </c>
      <c r="M374" s="7" t="s">
        <v>49</v>
      </c>
      <c r="N374" s="7" t="s">
        <v>75</v>
      </c>
      <c r="O374" s="7" t="s">
        <v>45</v>
      </c>
      <c r="P374" s="6">
        <v>41</v>
      </c>
      <c r="Q374" s="11">
        <v>3.3</v>
      </c>
      <c r="R374" s="7" t="b">
        <v>1</v>
      </c>
      <c r="S374" s="7" t="s">
        <v>30</v>
      </c>
      <c r="T374" s="6">
        <v>2965</v>
      </c>
      <c r="U374" s="7" t="s">
        <v>65</v>
      </c>
      <c r="V374" s="12" t="s">
        <v>79</v>
      </c>
      <c r="W374" s="7" t="s">
        <v>40</v>
      </c>
      <c r="X374" s="6">
        <f t="shared" si="23"/>
        <v>141</v>
      </c>
      <c r="Y374" t="str" cm="1">
        <f t="array" ref="Y374">_xlfn.IFS(E374=7.99,"BASIC",E374=11.99,"STANDARD",E374=15.99,"PREMIUM")</f>
        <v>BASIC</v>
      </c>
      <c r="Z374" s="4">
        <f t="shared" si="21"/>
        <v>2.2340425531914896</v>
      </c>
      <c r="AA374" s="3" t="str" cm="1">
        <f t="array" ref="AA374">_xlfn.IFS(
(F374/(X374/7)) &lt; 5, "Casual",
AND((F374/(X374/7)) &gt;= 5, (F374/(X374/7)) &lt; 15), "Regular",
(F374/(X374/7)) &gt;= 15, "Power"
)</f>
        <v>Casual</v>
      </c>
      <c r="AB374" s="3">
        <f t="shared" si="24"/>
        <v>8.8757396449704137E-2</v>
      </c>
      <c r="AC374" t="str">
        <f t="shared" si="22"/>
        <v xml:space="preserve"> Browsers</v>
      </c>
    </row>
    <row r="375" spans="1:29" x14ac:dyDescent="0.3">
      <c r="A375" s="6">
        <v>9664</v>
      </c>
      <c r="B375" s="7" t="s">
        <v>456</v>
      </c>
      <c r="C375" s="10">
        <v>45118</v>
      </c>
      <c r="D375" s="10">
        <v>45618</v>
      </c>
      <c r="E375" s="13">
        <v>11.99</v>
      </c>
      <c r="F375" s="6">
        <v>463</v>
      </c>
      <c r="G375" s="7" t="s">
        <v>73</v>
      </c>
      <c r="H375" s="6">
        <v>5</v>
      </c>
      <c r="I375" s="6">
        <v>4</v>
      </c>
      <c r="J375" s="7" t="b">
        <v>0</v>
      </c>
      <c r="K375" s="6">
        <v>961</v>
      </c>
      <c r="L375" s="6">
        <v>9</v>
      </c>
      <c r="M375" s="7" t="s">
        <v>49</v>
      </c>
      <c r="N375" s="7" t="s">
        <v>75</v>
      </c>
      <c r="O375" s="7" t="s">
        <v>57</v>
      </c>
      <c r="P375" s="6">
        <v>62</v>
      </c>
      <c r="Q375" s="11">
        <v>3.4</v>
      </c>
      <c r="R375" s="7" t="b">
        <v>1</v>
      </c>
      <c r="S375" s="7" t="s">
        <v>30</v>
      </c>
      <c r="T375" s="6">
        <v>3556</v>
      </c>
      <c r="U375" s="7" t="s">
        <v>65</v>
      </c>
      <c r="V375" s="12" t="s">
        <v>59</v>
      </c>
      <c r="W375" s="7" t="s">
        <v>40</v>
      </c>
      <c r="X375" s="6">
        <f t="shared" si="23"/>
        <v>500</v>
      </c>
      <c r="Y375" t="str" cm="1">
        <f t="array" ref="Y375">_xlfn.IFS(E375=7.99,"BASIC",E375=11.99,"STANDARD",E375=15.99,"PREMIUM")</f>
        <v>STANDARD</v>
      </c>
      <c r="Z375" s="4">
        <f t="shared" si="21"/>
        <v>6.4820000000000002</v>
      </c>
      <c r="AA375" s="3" t="str" cm="1">
        <f t="array" ref="AA375">_xlfn.IFS(
(F375/(X375/7)) &lt; 5, "Casual",
AND((F375/(X375/7)) &gt;= 5, (F375/(X375/7)) &lt; 15), "Regular",
(F375/(X375/7)) &gt;= 15, "Power"
)</f>
        <v>Regular</v>
      </c>
      <c r="AB375" s="3">
        <f t="shared" si="24"/>
        <v>0.477319587628866</v>
      </c>
      <c r="AC375" t="str">
        <f t="shared" si="22"/>
        <v>Viewers</v>
      </c>
    </row>
    <row r="376" spans="1:29" x14ac:dyDescent="0.3">
      <c r="A376" s="6">
        <v>9134</v>
      </c>
      <c r="B376" s="7" t="s">
        <v>130</v>
      </c>
      <c r="C376" s="10">
        <v>44952</v>
      </c>
      <c r="D376" s="10">
        <v>45615</v>
      </c>
      <c r="E376" s="13">
        <v>15.99</v>
      </c>
      <c r="F376" s="6">
        <v>241</v>
      </c>
      <c r="G376" s="7" t="s">
        <v>48</v>
      </c>
      <c r="H376" s="6">
        <v>1</v>
      </c>
      <c r="I376" s="6">
        <v>5</v>
      </c>
      <c r="J376" s="7" t="b">
        <v>1</v>
      </c>
      <c r="K376" s="6">
        <v>775</v>
      </c>
      <c r="L376" s="6">
        <v>194</v>
      </c>
      <c r="M376" s="7" t="s">
        <v>92</v>
      </c>
      <c r="N376" s="7" t="s">
        <v>44</v>
      </c>
      <c r="O376" s="7" t="s">
        <v>29</v>
      </c>
      <c r="P376" s="6">
        <v>94</v>
      </c>
      <c r="Q376" s="11">
        <v>3.1</v>
      </c>
      <c r="R376" s="7" t="b">
        <v>0</v>
      </c>
      <c r="S376" s="7" t="s">
        <v>30</v>
      </c>
      <c r="T376" s="6">
        <v>2901</v>
      </c>
      <c r="U376" s="7" t="s">
        <v>65</v>
      </c>
      <c r="V376" s="12" t="s">
        <v>79</v>
      </c>
      <c r="W376" s="7" t="s">
        <v>60</v>
      </c>
      <c r="X376" s="6">
        <f t="shared" si="23"/>
        <v>663</v>
      </c>
      <c r="Y376" t="str" cm="1">
        <f t="array" ref="Y376">_xlfn.IFS(E376=7.99,"BASIC",E376=11.99,"STANDARD",E376=15.99,"PREMIUM")</f>
        <v>PREMIUM</v>
      </c>
      <c r="Z376" s="4">
        <f t="shared" si="21"/>
        <v>2.5444947209653095</v>
      </c>
      <c r="AA376" s="3" t="str" cm="1">
        <f t="array" ref="AA376">_xlfn.IFS(
(F376/(X376/7)) &lt; 5, "Casual",
AND((F376/(X376/7)) &gt;= 5, (F376/(X376/7)) &lt; 15), "Regular",
(F376/(X376/7)) &gt;= 15, "Power"
)</f>
        <v>Casual</v>
      </c>
      <c r="AB376" s="3">
        <f t="shared" si="24"/>
        <v>0.24871001031991744</v>
      </c>
      <c r="AC376" t="str">
        <f t="shared" si="22"/>
        <v>Viewers</v>
      </c>
    </row>
    <row r="377" spans="1:29" x14ac:dyDescent="0.3">
      <c r="A377" s="6">
        <v>6663</v>
      </c>
      <c r="B377" s="7" t="s">
        <v>184</v>
      </c>
      <c r="C377" s="10">
        <v>45431</v>
      </c>
      <c r="D377" s="10">
        <v>45633</v>
      </c>
      <c r="E377" s="13">
        <v>7.99</v>
      </c>
      <c r="F377" s="6">
        <v>11</v>
      </c>
      <c r="G377" s="7" t="s">
        <v>51</v>
      </c>
      <c r="H377" s="6">
        <v>4</v>
      </c>
      <c r="I377" s="6">
        <v>1</v>
      </c>
      <c r="J377" s="7" t="b">
        <v>1</v>
      </c>
      <c r="K377" s="6">
        <v>773</v>
      </c>
      <c r="L377" s="6">
        <v>139</v>
      </c>
      <c r="M377" s="7" t="s">
        <v>74</v>
      </c>
      <c r="N377" s="7" t="s">
        <v>44</v>
      </c>
      <c r="O377" s="7" t="s">
        <v>37</v>
      </c>
      <c r="P377" s="6">
        <v>45</v>
      </c>
      <c r="Q377" s="11">
        <v>4.0999999999999996</v>
      </c>
      <c r="R377" s="7" t="b">
        <v>0</v>
      </c>
      <c r="S377" s="7" t="s">
        <v>30</v>
      </c>
      <c r="T377" s="6">
        <v>3520</v>
      </c>
      <c r="U377" s="7" t="s">
        <v>76</v>
      </c>
      <c r="V377" s="12" t="s">
        <v>79</v>
      </c>
      <c r="W377" s="7" t="s">
        <v>40</v>
      </c>
      <c r="X377" s="6">
        <f t="shared" si="23"/>
        <v>202</v>
      </c>
      <c r="Y377" t="str" cm="1">
        <f t="array" ref="Y377">_xlfn.IFS(E377=7.99,"BASIC",E377=11.99,"STANDARD",E377=15.99,"PREMIUM")</f>
        <v>BASIC</v>
      </c>
      <c r="Z377" s="4">
        <f t="shared" si="21"/>
        <v>0.38118811881188119</v>
      </c>
      <c r="AA377" s="3" t="str" cm="1">
        <f t="array" ref="AA377">_xlfn.IFS(
(F377/(X377/7)) &lt; 5, "Casual",
AND((F377/(X377/7)) &gt;= 5, (F377/(X377/7)) &lt; 15), "Regular",
(F377/(X377/7)) &gt;= 15, "Power"
)</f>
        <v>Casual</v>
      </c>
      <c r="AB377" s="3">
        <f t="shared" si="24"/>
        <v>1.2061403508771929E-2</v>
      </c>
      <c r="AC377" t="str">
        <f t="shared" si="22"/>
        <v xml:space="preserve"> Browsers</v>
      </c>
    </row>
    <row r="378" spans="1:29" x14ac:dyDescent="0.3">
      <c r="A378" s="6">
        <v>9800</v>
      </c>
      <c r="B378" s="7" t="s">
        <v>458</v>
      </c>
      <c r="C378" s="10">
        <v>44926</v>
      </c>
      <c r="D378" s="10">
        <v>45631</v>
      </c>
      <c r="E378" s="13">
        <v>15.99</v>
      </c>
      <c r="F378" s="6">
        <v>123</v>
      </c>
      <c r="G378" s="7" t="s">
        <v>63</v>
      </c>
      <c r="H378" s="6">
        <v>1</v>
      </c>
      <c r="I378" s="6">
        <v>1</v>
      </c>
      <c r="J378" s="7" t="b">
        <v>1</v>
      </c>
      <c r="K378" s="6">
        <v>841</v>
      </c>
      <c r="L378" s="6">
        <v>45</v>
      </c>
      <c r="M378" s="7" t="s">
        <v>49</v>
      </c>
      <c r="N378" s="7" t="s">
        <v>28</v>
      </c>
      <c r="O378" s="7" t="s">
        <v>29</v>
      </c>
      <c r="P378" s="6">
        <v>76</v>
      </c>
      <c r="Q378" s="11">
        <v>4.3</v>
      </c>
      <c r="R378" s="7" t="b">
        <v>1</v>
      </c>
      <c r="S378" s="7" t="s">
        <v>30</v>
      </c>
      <c r="T378" s="6">
        <v>3983</v>
      </c>
      <c r="U378" s="7" t="s">
        <v>31</v>
      </c>
      <c r="V378" s="12" t="s">
        <v>32</v>
      </c>
      <c r="W378" s="7" t="s">
        <v>33</v>
      </c>
      <c r="X378" s="6">
        <f t="shared" si="23"/>
        <v>705</v>
      </c>
      <c r="Y378" t="str" cm="1">
        <f t="array" ref="Y378">_xlfn.IFS(E378=7.99,"BASIC",E378=11.99,"STANDARD",E378=15.99,"PREMIUM")</f>
        <v>PREMIUM</v>
      </c>
      <c r="Z378" s="4">
        <f t="shared" si="21"/>
        <v>1.2212765957446809</v>
      </c>
      <c r="AA378" s="3" t="str" cm="1">
        <f t="array" ref="AA378">_xlfn.IFS(
(F378/(X378/7)) &lt; 5, "Casual",
AND((F378/(X378/7)) &gt;= 5, (F378/(X378/7)) &lt; 15), "Regular",
(F378/(X378/7)) &gt;= 15, "Power"
)</f>
        <v>Casual</v>
      </c>
      <c r="AB378" s="3">
        <f t="shared" si="24"/>
        <v>0.13882618510158012</v>
      </c>
      <c r="AC378" t="str">
        <f t="shared" si="22"/>
        <v xml:space="preserve"> Browsers</v>
      </c>
    </row>
    <row r="379" spans="1:29" x14ac:dyDescent="0.3">
      <c r="A379" s="6">
        <v>2363</v>
      </c>
      <c r="B379" s="7" t="s">
        <v>408</v>
      </c>
      <c r="C379" s="10">
        <v>45067</v>
      </c>
      <c r="D379" s="10">
        <v>45627</v>
      </c>
      <c r="E379" s="13">
        <v>7.99</v>
      </c>
      <c r="F379" s="6">
        <v>411</v>
      </c>
      <c r="G379" s="7" t="s">
        <v>51</v>
      </c>
      <c r="H379" s="6">
        <v>3</v>
      </c>
      <c r="I379" s="6">
        <v>2</v>
      </c>
      <c r="J379" s="7" t="b">
        <v>1</v>
      </c>
      <c r="K379" s="6">
        <v>412</v>
      </c>
      <c r="L379" s="6">
        <v>20</v>
      </c>
      <c r="M379" s="7" t="s">
        <v>68</v>
      </c>
      <c r="N379" s="7" t="s">
        <v>28</v>
      </c>
      <c r="O379" s="7" t="s">
        <v>57</v>
      </c>
      <c r="P379" s="6">
        <v>94</v>
      </c>
      <c r="Q379" s="11">
        <v>4.7</v>
      </c>
      <c r="R379" s="7" t="b">
        <v>1</v>
      </c>
      <c r="S379" s="7" t="s">
        <v>30</v>
      </c>
      <c r="T379" s="6">
        <v>4632</v>
      </c>
      <c r="U379" s="7" t="s">
        <v>31</v>
      </c>
      <c r="V379" s="12" t="s">
        <v>39</v>
      </c>
      <c r="W379" s="7" t="s">
        <v>40</v>
      </c>
      <c r="X379" s="6">
        <f t="shared" si="23"/>
        <v>560</v>
      </c>
      <c r="Y379" t="str" cm="1">
        <f t="array" ref="Y379">_xlfn.IFS(E379=7.99,"BASIC",E379=11.99,"STANDARD",E379=15.99,"PREMIUM")</f>
        <v>BASIC</v>
      </c>
      <c r="Z379" s="4">
        <f t="shared" si="21"/>
        <v>5.1375000000000002</v>
      </c>
      <c r="AA379" s="3" t="str" cm="1">
        <f t="array" ref="AA379">_xlfn.IFS(
(F379/(X379/7)) &lt; 5, "Casual",
AND((F379/(X379/7)) &gt;= 5, (F379/(X379/7)) &lt; 15), "Regular",
(F379/(X379/7)) &gt;= 15, "Power"
)</f>
        <v>Regular</v>
      </c>
      <c r="AB379" s="3">
        <f t="shared" si="24"/>
        <v>0.95138888888888884</v>
      </c>
      <c r="AC379" t="str">
        <f t="shared" si="22"/>
        <v>Viewers</v>
      </c>
    </row>
    <row r="380" spans="1:29" x14ac:dyDescent="0.3">
      <c r="A380" s="6">
        <v>4875</v>
      </c>
      <c r="B380" s="7" t="s">
        <v>272</v>
      </c>
      <c r="C380" s="10">
        <v>45403</v>
      </c>
      <c r="D380" s="10">
        <v>45619</v>
      </c>
      <c r="E380" s="13">
        <v>7.99</v>
      </c>
      <c r="F380" s="6">
        <v>469</v>
      </c>
      <c r="G380" s="7" t="s">
        <v>73</v>
      </c>
      <c r="H380" s="6">
        <v>2</v>
      </c>
      <c r="I380" s="6">
        <v>1</v>
      </c>
      <c r="J380" s="7" t="b">
        <v>0</v>
      </c>
      <c r="K380" s="6">
        <v>160</v>
      </c>
      <c r="L380" s="6">
        <v>79</v>
      </c>
      <c r="M380" s="7" t="s">
        <v>74</v>
      </c>
      <c r="N380" s="7" t="s">
        <v>44</v>
      </c>
      <c r="O380" s="7" t="s">
        <v>78</v>
      </c>
      <c r="P380" s="6">
        <v>57</v>
      </c>
      <c r="Q380" s="11">
        <v>4.5</v>
      </c>
      <c r="R380" s="7" t="b">
        <v>1</v>
      </c>
      <c r="S380" s="7" t="s">
        <v>30</v>
      </c>
      <c r="T380" s="6">
        <v>314</v>
      </c>
      <c r="U380" s="7" t="s">
        <v>31</v>
      </c>
      <c r="V380" s="12" t="s">
        <v>39</v>
      </c>
      <c r="W380" s="7" t="s">
        <v>33</v>
      </c>
      <c r="X380" s="6">
        <f t="shared" si="23"/>
        <v>216</v>
      </c>
      <c r="Y380" t="str" cm="1">
        <f t="array" ref="Y380">_xlfn.IFS(E380=7.99,"BASIC",E380=11.99,"STANDARD",E380=15.99,"PREMIUM")</f>
        <v>BASIC</v>
      </c>
      <c r="Z380" s="4">
        <f t="shared" si="21"/>
        <v>15.199074074074074</v>
      </c>
      <c r="AA380" s="3" t="str" cm="1">
        <f t="array" ref="AA380">_xlfn.IFS(
(F380/(X380/7)) &lt; 5, "Casual",
AND((F380/(X380/7)) &gt;= 5, (F380/(X380/7)) &lt; 15), "Regular",
(F380/(X380/7)) &gt;= 15, "Power"
)</f>
        <v>Power</v>
      </c>
      <c r="AB380" s="3">
        <f t="shared" si="24"/>
        <v>1.9623430962343096</v>
      </c>
      <c r="AC380" t="str">
        <f t="shared" si="22"/>
        <v>Viewers</v>
      </c>
    </row>
    <row r="381" spans="1:29" x14ac:dyDescent="0.3">
      <c r="A381" s="6">
        <v>8961</v>
      </c>
      <c r="B381" s="7" t="s">
        <v>137</v>
      </c>
      <c r="C381" s="10">
        <v>45116</v>
      </c>
      <c r="D381" s="10">
        <v>45633</v>
      </c>
      <c r="E381" s="13">
        <v>11.99</v>
      </c>
      <c r="F381" s="6">
        <v>120</v>
      </c>
      <c r="G381" s="7" t="s">
        <v>63</v>
      </c>
      <c r="H381" s="6">
        <v>3</v>
      </c>
      <c r="I381" s="6">
        <v>6</v>
      </c>
      <c r="J381" s="7" t="b">
        <v>0</v>
      </c>
      <c r="K381" s="6">
        <v>346</v>
      </c>
      <c r="L381" s="6">
        <v>125</v>
      </c>
      <c r="M381" s="7" t="s">
        <v>27</v>
      </c>
      <c r="N381" s="7" t="s">
        <v>75</v>
      </c>
      <c r="O381" s="7" t="s">
        <v>37</v>
      </c>
      <c r="P381" s="6">
        <v>25</v>
      </c>
      <c r="Q381" s="11">
        <v>4.0999999999999996</v>
      </c>
      <c r="R381" s="7" t="b">
        <v>0</v>
      </c>
      <c r="S381" s="7" t="s">
        <v>30</v>
      </c>
      <c r="T381" s="6">
        <v>4012</v>
      </c>
      <c r="U381" s="7" t="s">
        <v>38</v>
      </c>
      <c r="V381" s="12" t="s">
        <v>39</v>
      </c>
      <c r="W381" s="7" t="s">
        <v>60</v>
      </c>
      <c r="X381" s="6">
        <f t="shared" si="23"/>
        <v>517</v>
      </c>
      <c r="Y381" t="str" cm="1">
        <f t="array" ref="Y381">_xlfn.IFS(E381=7.99,"BASIC",E381=11.99,"STANDARD",E381=15.99,"PREMIUM")</f>
        <v>STANDARD</v>
      </c>
      <c r="Z381" s="4">
        <f t="shared" si="21"/>
        <v>1.6247582205029012</v>
      </c>
      <c r="AA381" s="3" t="str" cm="1">
        <f t="array" ref="AA381">_xlfn.IFS(
(F381/(X381/7)) &lt; 5, "Casual",
AND((F381/(X381/7)) &gt;= 5, (F381/(X381/7)) &lt; 15), "Regular",
(F381/(X381/7)) &gt;= 15, "Power"
)</f>
        <v>Casual</v>
      </c>
      <c r="AB381" s="3">
        <f t="shared" si="24"/>
        <v>0.25477707006369427</v>
      </c>
      <c r="AC381" t="str">
        <f t="shared" si="22"/>
        <v>Viewers</v>
      </c>
    </row>
    <row r="382" spans="1:29" x14ac:dyDescent="0.3">
      <c r="A382" s="6">
        <v>1539</v>
      </c>
      <c r="B382" s="7" t="s">
        <v>77</v>
      </c>
      <c r="C382" s="10">
        <v>45533</v>
      </c>
      <c r="D382" s="10">
        <v>45625</v>
      </c>
      <c r="E382" s="13">
        <v>15.99</v>
      </c>
      <c r="F382" s="6">
        <v>348</v>
      </c>
      <c r="G382" s="7" t="s">
        <v>36</v>
      </c>
      <c r="H382" s="6">
        <v>1</v>
      </c>
      <c r="I382" s="6">
        <v>5</v>
      </c>
      <c r="J382" s="7" t="b">
        <v>1</v>
      </c>
      <c r="K382" s="6">
        <v>266</v>
      </c>
      <c r="L382" s="6">
        <v>94</v>
      </c>
      <c r="M382" s="7" t="s">
        <v>68</v>
      </c>
      <c r="N382" s="7" t="s">
        <v>44</v>
      </c>
      <c r="O382" s="7" t="s">
        <v>64</v>
      </c>
      <c r="P382" s="6">
        <v>82</v>
      </c>
      <c r="Q382" s="11">
        <v>4.3</v>
      </c>
      <c r="R382" s="7" t="b">
        <v>1</v>
      </c>
      <c r="S382" s="7" t="s">
        <v>30</v>
      </c>
      <c r="T382" s="6">
        <v>2356</v>
      </c>
      <c r="U382" s="7" t="s">
        <v>65</v>
      </c>
      <c r="V382" s="12" t="s">
        <v>69</v>
      </c>
      <c r="W382" s="7" t="s">
        <v>60</v>
      </c>
      <c r="X382" s="6">
        <f t="shared" si="23"/>
        <v>92</v>
      </c>
      <c r="Y382" t="str" cm="1">
        <f t="array" ref="Y382">_xlfn.IFS(E382=7.99,"BASIC",E382=11.99,"STANDARD",E382=15.99,"PREMIUM")</f>
        <v>PREMIUM</v>
      </c>
      <c r="Z382" s="4">
        <f t="shared" si="21"/>
        <v>26.478260869565219</v>
      </c>
      <c r="AA382" s="3" t="str" cm="1">
        <f t="array" ref="AA382">_xlfn.IFS(
(F382/(X382/7)) &lt; 5, "Casual",
AND((F382/(X382/7)) &gt;= 5, (F382/(X382/7)) &lt; 15), "Regular",
(F382/(X382/7)) &gt;= 15, "Power"
)</f>
        <v>Power</v>
      </c>
      <c r="AB382" s="3">
        <f t="shared" si="24"/>
        <v>0.96666666666666667</v>
      </c>
      <c r="AC382" t="str">
        <f t="shared" si="22"/>
        <v>Viewers</v>
      </c>
    </row>
    <row r="383" spans="1:29" x14ac:dyDescent="0.3">
      <c r="A383" s="6">
        <v>4037</v>
      </c>
      <c r="B383" s="7" t="s">
        <v>405</v>
      </c>
      <c r="C383" s="10">
        <v>45260</v>
      </c>
      <c r="D383" s="10">
        <v>45640</v>
      </c>
      <c r="E383" s="13">
        <v>11.99</v>
      </c>
      <c r="F383" s="6">
        <v>103</v>
      </c>
      <c r="G383" s="7" t="s">
        <v>100</v>
      </c>
      <c r="H383" s="6">
        <v>4</v>
      </c>
      <c r="I383" s="6">
        <v>4</v>
      </c>
      <c r="J383" s="7" t="b">
        <v>0</v>
      </c>
      <c r="K383" s="6">
        <v>305</v>
      </c>
      <c r="L383" s="6">
        <v>191</v>
      </c>
      <c r="M383" s="7" t="s">
        <v>43</v>
      </c>
      <c r="N383" s="7" t="s">
        <v>28</v>
      </c>
      <c r="O383" s="7" t="s">
        <v>78</v>
      </c>
      <c r="P383" s="6">
        <v>98</v>
      </c>
      <c r="Q383" s="11">
        <v>4.7</v>
      </c>
      <c r="R383" s="7" t="b">
        <v>1</v>
      </c>
      <c r="S383" s="7" t="s">
        <v>30</v>
      </c>
      <c r="T383" s="6">
        <v>1824</v>
      </c>
      <c r="U383" s="7" t="s">
        <v>76</v>
      </c>
      <c r="V383" s="12" t="s">
        <v>59</v>
      </c>
      <c r="W383" s="7" t="s">
        <v>93</v>
      </c>
      <c r="X383" s="6">
        <f t="shared" si="23"/>
        <v>380</v>
      </c>
      <c r="Y383" t="str" cm="1">
        <f t="array" ref="Y383">_xlfn.IFS(E383=7.99,"BASIC",E383=11.99,"STANDARD",E383=15.99,"PREMIUM")</f>
        <v>STANDARD</v>
      </c>
      <c r="Z383" s="4">
        <f t="shared" si="21"/>
        <v>1.8973684210526316</v>
      </c>
      <c r="AA383" s="3" t="str" cm="1">
        <f t="array" ref="AA383">_xlfn.IFS(
(F383/(X383/7)) &lt; 5, "Casual",
AND((F383/(X383/7)) &gt;= 5, (F383/(X383/7)) &lt; 15), "Regular",
(F383/(X383/7)) &gt;= 15, "Power"
)</f>
        <v>Casual</v>
      </c>
      <c r="AB383" s="3">
        <f t="shared" si="24"/>
        <v>0.20766129032258066</v>
      </c>
      <c r="AC383" t="str">
        <f t="shared" si="22"/>
        <v>Viewers</v>
      </c>
    </row>
    <row r="384" spans="1:29" x14ac:dyDescent="0.3">
      <c r="A384" s="6">
        <v>4239</v>
      </c>
      <c r="B384" s="7" t="s">
        <v>272</v>
      </c>
      <c r="C384" s="10">
        <v>45614</v>
      </c>
      <c r="D384" s="10">
        <v>45619</v>
      </c>
      <c r="E384" s="13">
        <v>7.99</v>
      </c>
      <c r="F384" s="6">
        <v>470</v>
      </c>
      <c r="G384" s="7" t="s">
        <v>73</v>
      </c>
      <c r="H384" s="6">
        <v>2</v>
      </c>
      <c r="I384" s="6">
        <v>3</v>
      </c>
      <c r="J384" s="7" t="b">
        <v>0</v>
      </c>
      <c r="K384" s="6">
        <v>89</v>
      </c>
      <c r="L384" s="6">
        <v>135</v>
      </c>
      <c r="M384" s="7" t="s">
        <v>55</v>
      </c>
      <c r="N384" s="7" t="s">
        <v>44</v>
      </c>
      <c r="O384" s="7" t="s">
        <v>45</v>
      </c>
      <c r="P384" s="6">
        <v>45</v>
      </c>
      <c r="Q384" s="11">
        <v>4.5</v>
      </c>
      <c r="R384" s="7" t="b">
        <v>0</v>
      </c>
      <c r="S384" s="7" t="s">
        <v>30</v>
      </c>
      <c r="T384" s="6">
        <v>4236</v>
      </c>
      <c r="U384" s="7" t="s">
        <v>31</v>
      </c>
      <c r="V384" s="12" t="s">
        <v>59</v>
      </c>
      <c r="W384" s="7" t="s">
        <v>60</v>
      </c>
      <c r="X384" s="6">
        <f t="shared" si="23"/>
        <v>5</v>
      </c>
      <c r="Y384" t="str" cm="1">
        <f t="array" ref="Y384">_xlfn.IFS(E384=7.99,"BASIC",E384=11.99,"STANDARD",E384=15.99,"PREMIUM")</f>
        <v>BASIC</v>
      </c>
      <c r="Z384" s="4">
        <f t="shared" si="21"/>
        <v>658</v>
      </c>
      <c r="AA384" s="3" t="str" cm="1">
        <f t="array" ref="AA384">_xlfn.IFS(
(F384/(X384/7)) &lt; 5, "Casual",
AND((F384/(X384/7)) &gt;= 5, (F384/(X384/7)) &lt; 15), "Regular",
(F384/(X384/7)) &gt;= 15, "Power"
)</f>
        <v>Power</v>
      </c>
      <c r="AB384" s="3">
        <f t="shared" si="24"/>
        <v>2.0982142857142856</v>
      </c>
      <c r="AC384" t="str">
        <f t="shared" si="22"/>
        <v>Viewers</v>
      </c>
    </row>
    <row r="385" spans="1:29" x14ac:dyDescent="0.3">
      <c r="A385" s="6">
        <v>4364</v>
      </c>
      <c r="B385" s="7" t="s">
        <v>355</v>
      </c>
      <c r="C385" s="10">
        <v>45592</v>
      </c>
      <c r="D385" s="10">
        <v>45627</v>
      </c>
      <c r="E385" s="13">
        <v>7.99</v>
      </c>
      <c r="F385" s="6">
        <v>241</v>
      </c>
      <c r="G385" s="7" t="s">
        <v>100</v>
      </c>
      <c r="H385" s="6">
        <v>3</v>
      </c>
      <c r="I385" s="6">
        <v>6</v>
      </c>
      <c r="J385" s="7" t="b">
        <v>0</v>
      </c>
      <c r="K385" s="6">
        <v>905</v>
      </c>
      <c r="L385" s="6">
        <v>127</v>
      </c>
      <c r="M385" s="7" t="s">
        <v>55</v>
      </c>
      <c r="N385" s="7" t="s">
        <v>28</v>
      </c>
      <c r="O385" s="7" t="s">
        <v>57</v>
      </c>
      <c r="P385" s="6">
        <v>93</v>
      </c>
      <c r="Q385" s="11">
        <v>4</v>
      </c>
      <c r="R385" s="7" t="b">
        <v>0</v>
      </c>
      <c r="S385" s="7" t="s">
        <v>30</v>
      </c>
      <c r="T385" s="6">
        <v>2102</v>
      </c>
      <c r="U385" s="7" t="s">
        <v>38</v>
      </c>
      <c r="V385" s="12" t="s">
        <v>32</v>
      </c>
      <c r="W385" s="7" t="s">
        <v>60</v>
      </c>
      <c r="X385" s="6">
        <f t="shared" si="23"/>
        <v>35</v>
      </c>
      <c r="Y385" t="str" cm="1">
        <f t="array" ref="Y385">_xlfn.IFS(E385=7.99,"BASIC",E385=11.99,"STANDARD",E385=15.99,"PREMIUM")</f>
        <v>BASIC</v>
      </c>
      <c r="Z385" s="4">
        <f t="shared" si="21"/>
        <v>48.2</v>
      </c>
      <c r="AA385" s="3" t="str" cm="1">
        <f t="array" ref="AA385">_xlfn.IFS(
(F385/(X385/7)) &lt; 5, "Casual",
AND((F385/(X385/7)) &gt;= 5, (F385/(X385/7)) &lt; 15), "Regular",
(F385/(X385/7)) &gt;= 15, "Power"
)</f>
        <v>Power</v>
      </c>
      <c r="AB385" s="3">
        <f t="shared" si="24"/>
        <v>0.23352713178294573</v>
      </c>
      <c r="AC385" t="str">
        <f t="shared" si="22"/>
        <v>Viewers</v>
      </c>
    </row>
    <row r="386" spans="1:29" x14ac:dyDescent="0.3">
      <c r="A386" s="6">
        <v>8946</v>
      </c>
      <c r="B386" s="7" t="s">
        <v>463</v>
      </c>
      <c r="C386" s="10">
        <v>45430</v>
      </c>
      <c r="D386" s="10">
        <v>45640</v>
      </c>
      <c r="E386" s="13">
        <v>15.99</v>
      </c>
      <c r="F386" s="6">
        <v>277</v>
      </c>
      <c r="G386" s="7" t="s">
        <v>100</v>
      </c>
      <c r="H386" s="6">
        <v>3</v>
      </c>
      <c r="I386" s="6">
        <v>5</v>
      </c>
      <c r="J386" s="7" t="b">
        <v>0</v>
      </c>
      <c r="K386" s="6">
        <v>959</v>
      </c>
      <c r="L386" s="6">
        <v>174</v>
      </c>
      <c r="M386" s="7" t="s">
        <v>27</v>
      </c>
      <c r="N386" s="7" t="s">
        <v>28</v>
      </c>
      <c r="O386" s="7" t="s">
        <v>78</v>
      </c>
      <c r="P386" s="6">
        <v>51</v>
      </c>
      <c r="Q386" s="11">
        <v>3.4</v>
      </c>
      <c r="R386" s="7" t="b">
        <v>1</v>
      </c>
      <c r="S386" s="7" t="s">
        <v>30</v>
      </c>
      <c r="T386" s="6">
        <v>1876</v>
      </c>
      <c r="U386" s="7" t="s">
        <v>31</v>
      </c>
      <c r="V386" s="12" t="s">
        <v>39</v>
      </c>
      <c r="W386" s="7" t="s">
        <v>33</v>
      </c>
      <c r="X386" s="6">
        <f t="shared" si="23"/>
        <v>210</v>
      </c>
      <c r="Y386" t="str" cm="1">
        <f t="array" ref="Y386">_xlfn.IFS(E386=7.99,"BASIC",E386=11.99,"STANDARD",E386=15.99,"PREMIUM")</f>
        <v>PREMIUM</v>
      </c>
      <c r="Z386" s="4">
        <f t="shared" ref="Z386:Z449" si="25">F386/(X386/7)</f>
        <v>9.2333333333333325</v>
      </c>
      <c r="AA386" s="3" t="str" cm="1">
        <f t="array" ref="AA386">_xlfn.IFS(
(F386/(X386/7)) &lt; 5, "Casual",
AND((F386/(X386/7)) &gt;= 5, (F386/(X386/7)) &lt; 15), "Regular",
(F386/(X386/7)) &gt;= 15, "Power"
)</f>
        <v>Regular</v>
      </c>
      <c r="AB386" s="3">
        <f t="shared" si="24"/>
        <v>0.2444836716681377</v>
      </c>
      <c r="AC386" t="str">
        <f t="shared" ref="AC386:AC449" si="26">IF(F386/(K386+L386) &lt; 0.15," Browsers","Viewers")</f>
        <v>Viewers</v>
      </c>
    </row>
    <row r="387" spans="1:29" x14ac:dyDescent="0.3">
      <c r="A387" s="6">
        <v>5911</v>
      </c>
      <c r="B387" s="7" t="s">
        <v>130</v>
      </c>
      <c r="C387" s="10">
        <v>45293</v>
      </c>
      <c r="D387" s="10">
        <v>45636</v>
      </c>
      <c r="E387" s="13">
        <v>7.99</v>
      </c>
      <c r="F387" s="6">
        <v>158</v>
      </c>
      <c r="G387" s="7" t="s">
        <v>100</v>
      </c>
      <c r="H387" s="6">
        <v>3</v>
      </c>
      <c r="I387" s="6">
        <v>1</v>
      </c>
      <c r="J387" s="7" t="b">
        <v>1</v>
      </c>
      <c r="K387" s="6">
        <v>426</v>
      </c>
      <c r="L387" s="6">
        <v>7</v>
      </c>
      <c r="M387" s="7" t="s">
        <v>92</v>
      </c>
      <c r="N387" s="7" t="s">
        <v>75</v>
      </c>
      <c r="O387" s="7" t="s">
        <v>78</v>
      </c>
      <c r="P387" s="6">
        <v>36</v>
      </c>
      <c r="Q387" s="11">
        <v>3.6</v>
      </c>
      <c r="R387" s="7" t="b">
        <v>0</v>
      </c>
      <c r="S387" s="7" t="s">
        <v>30</v>
      </c>
      <c r="T387" s="6">
        <v>242</v>
      </c>
      <c r="U387" s="7" t="s">
        <v>76</v>
      </c>
      <c r="V387" s="12" t="s">
        <v>79</v>
      </c>
      <c r="W387" s="7" t="s">
        <v>60</v>
      </c>
      <c r="X387" s="6">
        <f t="shared" ref="X387:X450" si="27">D387-C387</f>
        <v>343</v>
      </c>
      <c r="Y387" t="str" cm="1">
        <f t="array" ref="Y387">_xlfn.IFS(E387=7.99,"BASIC",E387=11.99,"STANDARD",E387=15.99,"PREMIUM")</f>
        <v>BASIC</v>
      </c>
      <c r="Z387" s="4">
        <f t="shared" si="25"/>
        <v>3.2244897959183674</v>
      </c>
      <c r="AA387" s="3" t="str" cm="1">
        <f t="array" ref="AA387">_xlfn.IFS(
(F387/(X387/7)) &lt; 5, "Casual",
AND((F387/(X387/7)) &gt;= 5, (F387/(X387/7)) &lt; 15), "Regular",
(F387/(X387/7)) &gt;= 15, "Power"
)</f>
        <v>Casual</v>
      </c>
      <c r="AB387" s="3">
        <f t="shared" si="24"/>
        <v>0.36489607390300233</v>
      </c>
      <c r="AC387" t="str">
        <f t="shared" si="26"/>
        <v>Viewers</v>
      </c>
    </row>
    <row r="388" spans="1:29" x14ac:dyDescent="0.3">
      <c r="A388" s="6">
        <v>8033</v>
      </c>
      <c r="B388" s="7" t="s">
        <v>379</v>
      </c>
      <c r="C388" s="10">
        <v>45309</v>
      </c>
      <c r="D388" s="10">
        <v>45624</v>
      </c>
      <c r="E388" s="13">
        <v>15.99</v>
      </c>
      <c r="F388" s="6">
        <v>23</v>
      </c>
      <c r="G388" s="7" t="s">
        <v>100</v>
      </c>
      <c r="H388" s="6">
        <v>1</v>
      </c>
      <c r="I388" s="6">
        <v>1</v>
      </c>
      <c r="J388" s="7" t="b">
        <v>0</v>
      </c>
      <c r="K388" s="6">
        <v>585</v>
      </c>
      <c r="L388" s="6">
        <v>97</v>
      </c>
      <c r="M388" s="7" t="s">
        <v>68</v>
      </c>
      <c r="N388" s="7" t="s">
        <v>44</v>
      </c>
      <c r="O388" s="7" t="s">
        <v>29</v>
      </c>
      <c r="P388" s="6">
        <v>23</v>
      </c>
      <c r="Q388" s="11">
        <v>3.4</v>
      </c>
      <c r="R388" s="7" t="b">
        <v>1</v>
      </c>
      <c r="S388" s="7" t="s">
        <v>30</v>
      </c>
      <c r="T388" s="6">
        <v>4531</v>
      </c>
      <c r="U388" s="7" t="s">
        <v>76</v>
      </c>
      <c r="V388" s="12" t="s">
        <v>39</v>
      </c>
      <c r="W388" s="7" t="s">
        <v>40</v>
      </c>
      <c r="X388" s="6">
        <f t="shared" si="27"/>
        <v>315</v>
      </c>
      <c r="Y388" t="str" cm="1">
        <f t="array" ref="Y388">_xlfn.IFS(E388=7.99,"BASIC",E388=11.99,"STANDARD",E388=15.99,"PREMIUM")</f>
        <v>PREMIUM</v>
      </c>
      <c r="Z388" s="4">
        <f t="shared" si="25"/>
        <v>0.51111111111111107</v>
      </c>
      <c r="AA388" s="3" t="str" cm="1">
        <f t="array" ref="AA388">_xlfn.IFS(
(F388/(X388/7)) &lt; 5, "Casual",
AND((F388/(X388/7)) &gt;= 5, (F388/(X388/7)) &lt; 15), "Regular",
(F388/(X388/7)) &gt;= 15, "Power"
)</f>
        <v>Casual</v>
      </c>
      <c r="AB388" s="3">
        <f t="shared" si="24"/>
        <v>3.3724340175953077E-2</v>
      </c>
      <c r="AC388" t="str">
        <f t="shared" si="26"/>
        <v xml:space="preserve"> Browsers</v>
      </c>
    </row>
    <row r="389" spans="1:29" x14ac:dyDescent="0.3">
      <c r="A389" s="6">
        <v>6603</v>
      </c>
      <c r="B389" s="7" t="s">
        <v>280</v>
      </c>
      <c r="C389" s="10">
        <v>45321</v>
      </c>
      <c r="D389" s="10">
        <v>45633</v>
      </c>
      <c r="E389" s="13">
        <v>11.99</v>
      </c>
      <c r="F389" s="6">
        <v>200</v>
      </c>
      <c r="G389" s="7" t="s">
        <v>100</v>
      </c>
      <c r="H389" s="6">
        <v>4</v>
      </c>
      <c r="I389" s="6">
        <v>5</v>
      </c>
      <c r="J389" s="7" t="b">
        <v>0</v>
      </c>
      <c r="K389" s="6">
        <v>65</v>
      </c>
      <c r="L389" s="6">
        <v>11</v>
      </c>
      <c r="M389" s="7" t="s">
        <v>68</v>
      </c>
      <c r="N389" s="7" t="s">
        <v>75</v>
      </c>
      <c r="O389" s="7" t="s">
        <v>78</v>
      </c>
      <c r="P389" s="6">
        <v>30</v>
      </c>
      <c r="Q389" s="11">
        <v>3.2</v>
      </c>
      <c r="R389" s="7" t="b">
        <v>1</v>
      </c>
      <c r="S389" s="7" t="s">
        <v>30</v>
      </c>
      <c r="T389" s="6">
        <v>959</v>
      </c>
      <c r="U389" s="7" t="s">
        <v>38</v>
      </c>
      <c r="V389" s="12" t="s">
        <v>39</v>
      </c>
      <c r="W389" s="7" t="s">
        <v>93</v>
      </c>
      <c r="X389" s="6">
        <f t="shared" si="27"/>
        <v>312</v>
      </c>
      <c r="Y389" t="str" cm="1">
        <f t="array" ref="Y389">_xlfn.IFS(E389=7.99,"BASIC",E389=11.99,"STANDARD",E389=15.99,"PREMIUM")</f>
        <v>STANDARD</v>
      </c>
      <c r="Z389" s="4">
        <f t="shared" si="25"/>
        <v>4.4871794871794872</v>
      </c>
      <c r="AA389" s="3" t="str" cm="1">
        <f t="array" ref="AA389">_xlfn.IFS(
(F389/(X389/7)) &lt; 5, "Casual",
AND((F389/(X389/7)) &gt;= 5, (F389/(X389/7)) &lt; 15), "Regular",
(F389/(X389/7)) &gt;= 15, "Power"
)</f>
        <v>Casual</v>
      </c>
      <c r="AB389" s="3">
        <f t="shared" si="24"/>
        <v>2.6315789473684212</v>
      </c>
      <c r="AC389" t="str">
        <f t="shared" si="26"/>
        <v>Viewers</v>
      </c>
    </row>
    <row r="390" spans="1:29" x14ac:dyDescent="0.3">
      <c r="A390" s="6">
        <v>9630</v>
      </c>
      <c r="B390" s="7" t="s">
        <v>101</v>
      </c>
      <c r="C390" s="10">
        <v>45078</v>
      </c>
      <c r="D390" s="10">
        <v>45622</v>
      </c>
      <c r="E390" s="13">
        <v>7.99</v>
      </c>
      <c r="F390" s="6">
        <v>264</v>
      </c>
      <c r="G390" s="7" t="s">
        <v>36</v>
      </c>
      <c r="H390" s="6">
        <v>5</v>
      </c>
      <c r="I390" s="6">
        <v>6</v>
      </c>
      <c r="J390" s="7" t="b">
        <v>0</v>
      </c>
      <c r="K390" s="6">
        <v>367</v>
      </c>
      <c r="L390" s="6">
        <v>163</v>
      </c>
      <c r="M390" s="7" t="s">
        <v>74</v>
      </c>
      <c r="N390" s="7" t="s">
        <v>75</v>
      </c>
      <c r="O390" s="7" t="s">
        <v>78</v>
      </c>
      <c r="P390" s="6">
        <v>88</v>
      </c>
      <c r="Q390" s="11">
        <v>3.5</v>
      </c>
      <c r="R390" s="7" t="b">
        <v>1</v>
      </c>
      <c r="S390" s="7" t="s">
        <v>30</v>
      </c>
      <c r="T390" s="6">
        <v>2156</v>
      </c>
      <c r="U390" s="7" t="s">
        <v>65</v>
      </c>
      <c r="V390" s="12" t="s">
        <v>69</v>
      </c>
      <c r="W390" s="7" t="s">
        <v>33</v>
      </c>
      <c r="X390" s="6">
        <f t="shared" si="27"/>
        <v>544</v>
      </c>
      <c r="Y390" t="str" cm="1">
        <f t="array" ref="Y390">_xlfn.IFS(E390=7.99,"BASIC",E390=11.99,"STANDARD",E390=15.99,"PREMIUM")</f>
        <v>BASIC</v>
      </c>
      <c r="Z390" s="4">
        <f t="shared" si="25"/>
        <v>3.3970588235294121</v>
      </c>
      <c r="AA390" s="3" t="str" cm="1">
        <f t="array" ref="AA390">_xlfn.IFS(
(F390/(X390/7)) &lt; 5, "Casual",
AND((F390/(X390/7)) &gt;= 5, (F390/(X390/7)) &lt; 15), "Regular",
(F390/(X390/7)) &gt;= 15, "Power"
)</f>
        <v>Casual</v>
      </c>
      <c r="AB390" s="3">
        <f t="shared" si="24"/>
        <v>0.49811320754716981</v>
      </c>
      <c r="AC390" t="str">
        <f t="shared" si="26"/>
        <v>Viewers</v>
      </c>
    </row>
    <row r="391" spans="1:29" x14ac:dyDescent="0.3">
      <c r="A391" s="6">
        <v>1691</v>
      </c>
      <c r="B391" s="7" t="s">
        <v>147</v>
      </c>
      <c r="C391" s="10">
        <v>45173</v>
      </c>
      <c r="D391" s="10">
        <v>45633</v>
      </c>
      <c r="E391" s="13">
        <v>11.99</v>
      </c>
      <c r="F391" s="6">
        <v>309</v>
      </c>
      <c r="G391" s="7" t="s">
        <v>48</v>
      </c>
      <c r="H391" s="6">
        <v>4</v>
      </c>
      <c r="I391" s="6">
        <v>4</v>
      </c>
      <c r="J391" s="7" t="b">
        <v>0</v>
      </c>
      <c r="K391" s="6">
        <v>891</v>
      </c>
      <c r="L391" s="6">
        <v>93</v>
      </c>
      <c r="M391" s="7" t="s">
        <v>43</v>
      </c>
      <c r="N391" s="7" t="s">
        <v>75</v>
      </c>
      <c r="O391" s="7" t="s">
        <v>57</v>
      </c>
      <c r="P391" s="6">
        <v>65</v>
      </c>
      <c r="Q391" s="11">
        <v>4</v>
      </c>
      <c r="R391" s="7" t="b">
        <v>1</v>
      </c>
      <c r="S391" s="7" t="s">
        <v>30</v>
      </c>
      <c r="T391" s="6">
        <v>1442</v>
      </c>
      <c r="U391" s="7" t="s">
        <v>58</v>
      </c>
      <c r="V391" s="12" t="s">
        <v>79</v>
      </c>
      <c r="W391" s="7" t="s">
        <v>60</v>
      </c>
      <c r="X391" s="6">
        <f t="shared" si="27"/>
        <v>460</v>
      </c>
      <c r="Y391" t="str" cm="1">
        <f t="array" ref="Y391">_xlfn.IFS(E391=7.99,"BASIC",E391=11.99,"STANDARD",E391=15.99,"PREMIUM")</f>
        <v>STANDARD</v>
      </c>
      <c r="Z391" s="4">
        <f t="shared" si="25"/>
        <v>4.7021739130434783</v>
      </c>
      <c r="AA391" s="3" t="str" cm="1">
        <f t="array" ref="AA391">_xlfn.IFS(
(F391/(X391/7)) &lt; 5, "Casual",
AND((F391/(X391/7)) &gt;= 5, (F391/(X391/7)) &lt; 15), "Regular",
(F391/(X391/7)) &gt;= 15, "Power"
)</f>
        <v>Casual</v>
      </c>
      <c r="AB391" s="3">
        <f t="shared" si="24"/>
        <v>0.31402439024390244</v>
      </c>
      <c r="AC391" t="str">
        <f t="shared" si="26"/>
        <v>Viewers</v>
      </c>
    </row>
    <row r="392" spans="1:29" x14ac:dyDescent="0.3">
      <c r="A392" s="6">
        <v>5590</v>
      </c>
      <c r="B392" s="7" t="s">
        <v>88</v>
      </c>
      <c r="C392" s="10">
        <v>45500</v>
      </c>
      <c r="D392" s="10">
        <v>45641</v>
      </c>
      <c r="E392" s="13">
        <v>7.99</v>
      </c>
      <c r="F392" s="6">
        <v>30</v>
      </c>
      <c r="G392" s="7" t="s">
        <v>51</v>
      </c>
      <c r="H392" s="6">
        <v>2</v>
      </c>
      <c r="I392" s="6">
        <v>6</v>
      </c>
      <c r="J392" s="7" t="b">
        <v>0</v>
      </c>
      <c r="K392" s="6">
        <v>468</v>
      </c>
      <c r="L392" s="6">
        <v>196</v>
      </c>
      <c r="M392" s="7" t="s">
        <v>49</v>
      </c>
      <c r="N392" s="7" t="s">
        <v>28</v>
      </c>
      <c r="O392" s="7" t="s">
        <v>29</v>
      </c>
      <c r="P392" s="6">
        <v>52</v>
      </c>
      <c r="Q392" s="11">
        <v>4.5</v>
      </c>
      <c r="R392" s="7" t="b">
        <v>0</v>
      </c>
      <c r="S392" s="7" t="s">
        <v>30</v>
      </c>
      <c r="T392" s="6">
        <v>4586</v>
      </c>
      <c r="U392" s="7" t="s">
        <v>31</v>
      </c>
      <c r="V392" s="12" t="s">
        <v>59</v>
      </c>
      <c r="W392" s="7" t="s">
        <v>93</v>
      </c>
      <c r="X392" s="6">
        <f t="shared" si="27"/>
        <v>141</v>
      </c>
      <c r="Y392" t="str" cm="1">
        <f t="array" ref="Y392">_xlfn.IFS(E392=7.99,"BASIC",E392=11.99,"STANDARD",E392=15.99,"PREMIUM")</f>
        <v>BASIC</v>
      </c>
      <c r="Z392" s="4">
        <f t="shared" si="25"/>
        <v>1.4893617021276595</v>
      </c>
      <c r="AA392" s="3" t="str" cm="1">
        <f t="array" ref="AA392">_xlfn.IFS(
(F392/(X392/7)) &lt; 5, "Casual",
AND((F392/(X392/7)) &gt;= 5, (F392/(X392/7)) &lt; 15), "Regular",
(F392/(X392/7)) &gt;= 15, "Power"
)</f>
        <v>Casual</v>
      </c>
      <c r="AB392" s="3">
        <f t="shared" si="24"/>
        <v>4.5180722891566265E-2</v>
      </c>
      <c r="AC392" t="str">
        <f t="shared" si="26"/>
        <v xml:space="preserve"> Browsers</v>
      </c>
    </row>
    <row r="393" spans="1:29" x14ac:dyDescent="0.3">
      <c r="A393" s="6">
        <v>8645</v>
      </c>
      <c r="B393" s="7" t="s">
        <v>257</v>
      </c>
      <c r="C393" s="10">
        <v>45399</v>
      </c>
      <c r="D393" s="10">
        <v>45625</v>
      </c>
      <c r="E393" s="13">
        <v>11.99</v>
      </c>
      <c r="F393" s="6">
        <v>289</v>
      </c>
      <c r="G393" s="7" t="s">
        <v>48</v>
      </c>
      <c r="H393" s="6">
        <v>4</v>
      </c>
      <c r="I393" s="6">
        <v>3</v>
      </c>
      <c r="J393" s="7" t="b">
        <v>1</v>
      </c>
      <c r="K393" s="6">
        <v>999</v>
      </c>
      <c r="L393" s="6">
        <v>22</v>
      </c>
      <c r="M393" s="7" t="s">
        <v>27</v>
      </c>
      <c r="N393" s="7" t="s">
        <v>28</v>
      </c>
      <c r="O393" s="7" t="s">
        <v>45</v>
      </c>
      <c r="P393" s="6">
        <v>50</v>
      </c>
      <c r="Q393" s="11">
        <v>4.3</v>
      </c>
      <c r="R393" s="7" t="b">
        <v>1</v>
      </c>
      <c r="S393" s="7" t="s">
        <v>30</v>
      </c>
      <c r="T393" s="6">
        <v>4170</v>
      </c>
      <c r="U393" s="7" t="s">
        <v>58</v>
      </c>
      <c r="V393" s="12" t="s">
        <v>79</v>
      </c>
      <c r="W393" s="7" t="s">
        <v>33</v>
      </c>
      <c r="X393" s="6">
        <f t="shared" si="27"/>
        <v>226</v>
      </c>
      <c r="Y393" t="str" cm="1">
        <f t="array" ref="Y393">_xlfn.IFS(E393=7.99,"BASIC",E393=11.99,"STANDARD",E393=15.99,"PREMIUM")</f>
        <v>STANDARD</v>
      </c>
      <c r="Z393" s="4">
        <f t="shared" si="25"/>
        <v>8.9513274336283182</v>
      </c>
      <c r="AA393" s="3" t="str" cm="1">
        <f t="array" ref="AA393">_xlfn.IFS(
(F393/(X393/7)) &lt; 5, "Casual",
AND((F393/(X393/7)) &gt;= 5, (F393/(X393/7)) &lt; 15), "Regular",
(F393/(X393/7)) &gt;= 15, "Power"
)</f>
        <v>Regular</v>
      </c>
      <c r="AB393" s="3">
        <f t="shared" ref="AB393:AB456" si="28">(F393/(K393+L393))</f>
        <v>0.28305582761998044</v>
      </c>
      <c r="AC393" t="str">
        <f t="shared" si="26"/>
        <v>Viewers</v>
      </c>
    </row>
    <row r="394" spans="1:29" x14ac:dyDescent="0.3">
      <c r="A394" s="6">
        <v>7663</v>
      </c>
      <c r="B394" s="7" t="s">
        <v>179</v>
      </c>
      <c r="C394" s="10">
        <v>45417</v>
      </c>
      <c r="D394" s="10">
        <v>45624</v>
      </c>
      <c r="E394" s="13">
        <v>7.99</v>
      </c>
      <c r="F394" s="6">
        <v>432</v>
      </c>
      <c r="G394" s="7" t="s">
        <v>51</v>
      </c>
      <c r="H394" s="6">
        <v>5</v>
      </c>
      <c r="I394" s="6">
        <v>4</v>
      </c>
      <c r="J394" s="7" t="b">
        <v>1</v>
      </c>
      <c r="K394" s="6">
        <v>263</v>
      </c>
      <c r="L394" s="6">
        <v>55</v>
      </c>
      <c r="M394" s="7" t="s">
        <v>92</v>
      </c>
      <c r="N394" s="7" t="s">
        <v>56</v>
      </c>
      <c r="O394" s="7" t="s">
        <v>64</v>
      </c>
      <c r="P394" s="6">
        <v>22</v>
      </c>
      <c r="Q394" s="11">
        <v>3.5</v>
      </c>
      <c r="R394" s="7" t="b">
        <v>1</v>
      </c>
      <c r="S394" s="7" t="s">
        <v>30</v>
      </c>
      <c r="T394" s="6">
        <v>1294</v>
      </c>
      <c r="U394" s="7" t="s">
        <v>38</v>
      </c>
      <c r="V394" s="12" t="s">
        <v>69</v>
      </c>
      <c r="W394" s="7" t="s">
        <v>60</v>
      </c>
      <c r="X394" s="6">
        <f t="shared" si="27"/>
        <v>207</v>
      </c>
      <c r="Y394" t="str" cm="1">
        <f t="array" ref="Y394">_xlfn.IFS(E394=7.99,"BASIC",E394=11.99,"STANDARD",E394=15.99,"PREMIUM")</f>
        <v>BASIC</v>
      </c>
      <c r="Z394" s="4">
        <f t="shared" si="25"/>
        <v>14.608695652173912</v>
      </c>
      <c r="AA394" s="3" t="str" cm="1">
        <f t="array" ref="AA394">_xlfn.IFS(
(F394/(X394/7)) &lt; 5, "Casual",
AND((F394/(X394/7)) &gt;= 5, (F394/(X394/7)) &lt; 15), "Regular",
(F394/(X394/7)) &gt;= 15, "Power"
)</f>
        <v>Regular</v>
      </c>
      <c r="AB394" s="3">
        <f t="shared" si="28"/>
        <v>1.3584905660377358</v>
      </c>
      <c r="AC394" t="str">
        <f t="shared" si="26"/>
        <v>Viewers</v>
      </c>
    </row>
    <row r="395" spans="1:29" x14ac:dyDescent="0.3">
      <c r="A395" s="6">
        <v>2647</v>
      </c>
      <c r="B395" s="7" t="s">
        <v>224</v>
      </c>
      <c r="C395" s="10">
        <v>45496</v>
      </c>
      <c r="D395" s="10">
        <v>45643</v>
      </c>
      <c r="E395" s="13">
        <v>7.99</v>
      </c>
      <c r="F395" s="6">
        <v>393</v>
      </c>
      <c r="G395" s="7" t="s">
        <v>63</v>
      </c>
      <c r="H395" s="6">
        <v>4</v>
      </c>
      <c r="I395" s="6">
        <v>2</v>
      </c>
      <c r="J395" s="7" t="b">
        <v>1</v>
      </c>
      <c r="K395" s="6">
        <v>487</v>
      </c>
      <c r="L395" s="6">
        <v>105</v>
      </c>
      <c r="M395" s="7" t="s">
        <v>43</v>
      </c>
      <c r="N395" s="7" t="s">
        <v>28</v>
      </c>
      <c r="O395" s="7" t="s">
        <v>78</v>
      </c>
      <c r="P395" s="6">
        <v>99</v>
      </c>
      <c r="Q395" s="11">
        <v>3.4</v>
      </c>
      <c r="R395" s="7" t="b">
        <v>0</v>
      </c>
      <c r="S395" s="7" t="s">
        <v>30</v>
      </c>
      <c r="T395" s="6">
        <v>2460</v>
      </c>
      <c r="U395" s="7" t="s">
        <v>76</v>
      </c>
      <c r="V395" s="12" t="s">
        <v>32</v>
      </c>
      <c r="W395" s="7" t="s">
        <v>60</v>
      </c>
      <c r="X395" s="6">
        <f t="shared" si="27"/>
        <v>147</v>
      </c>
      <c r="Y395" t="str" cm="1">
        <f t="array" ref="Y395">_xlfn.IFS(E395=7.99,"BASIC",E395=11.99,"STANDARD",E395=15.99,"PREMIUM")</f>
        <v>BASIC</v>
      </c>
      <c r="Z395" s="4">
        <f t="shared" si="25"/>
        <v>18.714285714285715</v>
      </c>
      <c r="AA395" s="3" t="str" cm="1">
        <f t="array" ref="AA395">_xlfn.IFS(
(F395/(X395/7)) &lt; 5, "Casual",
AND((F395/(X395/7)) &gt;= 5, (F395/(X395/7)) &lt; 15), "Regular",
(F395/(X395/7)) &gt;= 15, "Power"
)</f>
        <v>Power</v>
      </c>
      <c r="AB395" s="3">
        <f t="shared" si="28"/>
        <v>0.66385135135135132</v>
      </c>
      <c r="AC395" t="str">
        <f t="shared" si="26"/>
        <v>Viewers</v>
      </c>
    </row>
    <row r="396" spans="1:29" x14ac:dyDescent="0.3">
      <c r="A396" s="6">
        <v>6539</v>
      </c>
      <c r="B396" s="7" t="s">
        <v>201</v>
      </c>
      <c r="C396" s="10">
        <v>45401</v>
      </c>
      <c r="D396" s="10">
        <v>45627</v>
      </c>
      <c r="E396" s="13">
        <v>11.99</v>
      </c>
      <c r="F396" s="6">
        <v>203</v>
      </c>
      <c r="G396" s="7" t="s">
        <v>63</v>
      </c>
      <c r="H396" s="6">
        <v>1</v>
      </c>
      <c r="I396" s="6">
        <v>3</v>
      </c>
      <c r="J396" s="7" t="b">
        <v>0</v>
      </c>
      <c r="K396" s="6">
        <v>961</v>
      </c>
      <c r="L396" s="6">
        <v>41</v>
      </c>
      <c r="M396" s="7" t="s">
        <v>68</v>
      </c>
      <c r="N396" s="7" t="s">
        <v>44</v>
      </c>
      <c r="O396" s="7" t="s">
        <v>37</v>
      </c>
      <c r="P396" s="6">
        <v>76</v>
      </c>
      <c r="Q396" s="11">
        <v>4.2</v>
      </c>
      <c r="R396" s="7" t="b">
        <v>1</v>
      </c>
      <c r="S396" s="7" t="s">
        <v>30</v>
      </c>
      <c r="T396" s="6">
        <v>3276</v>
      </c>
      <c r="U396" s="7" t="s">
        <v>58</v>
      </c>
      <c r="V396" s="12" t="s">
        <v>79</v>
      </c>
      <c r="W396" s="7" t="s">
        <v>33</v>
      </c>
      <c r="X396" s="6">
        <f t="shared" si="27"/>
        <v>226</v>
      </c>
      <c r="Y396" t="str" cm="1">
        <f t="array" ref="Y396">_xlfn.IFS(E396=7.99,"BASIC",E396=11.99,"STANDARD",E396=15.99,"PREMIUM")</f>
        <v>STANDARD</v>
      </c>
      <c r="Z396" s="4">
        <f t="shared" si="25"/>
        <v>6.2876106194690271</v>
      </c>
      <c r="AA396" s="3" t="str" cm="1">
        <f t="array" ref="AA396">_xlfn.IFS(
(F396/(X396/7)) &lt; 5, "Casual",
AND((F396/(X396/7)) &gt;= 5, (F396/(X396/7)) &lt; 15), "Regular",
(F396/(X396/7)) &gt;= 15, "Power"
)</f>
        <v>Regular</v>
      </c>
      <c r="AB396" s="3">
        <f t="shared" si="28"/>
        <v>0.20259481037924151</v>
      </c>
      <c r="AC396" t="str">
        <f t="shared" si="26"/>
        <v>Viewers</v>
      </c>
    </row>
    <row r="397" spans="1:29" x14ac:dyDescent="0.3">
      <c r="A397" s="6">
        <v>3472</v>
      </c>
      <c r="B397" s="7" t="s">
        <v>153</v>
      </c>
      <c r="C397" s="10">
        <v>45188</v>
      </c>
      <c r="D397" s="10">
        <v>45619</v>
      </c>
      <c r="E397" s="13">
        <v>7.99</v>
      </c>
      <c r="F397" s="6">
        <v>43</v>
      </c>
      <c r="G397" s="7" t="s">
        <v>73</v>
      </c>
      <c r="H397" s="6">
        <v>4</v>
      </c>
      <c r="I397" s="6">
        <v>1</v>
      </c>
      <c r="J397" s="7" t="b">
        <v>0</v>
      </c>
      <c r="K397" s="6">
        <v>973</v>
      </c>
      <c r="L397" s="6">
        <v>7</v>
      </c>
      <c r="M397" s="7" t="s">
        <v>49</v>
      </c>
      <c r="N397" s="7" t="s">
        <v>56</v>
      </c>
      <c r="O397" s="7" t="s">
        <v>29</v>
      </c>
      <c r="P397" s="6">
        <v>76</v>
      </c>
      <c r="Q397" s="11">
        <v>4.0999999999999996</v>
      </c>
      <c r="R397" s="7" t="b">
        <v>1</v>
      </c>
      <c r="S397" s="7" t="s">
        <v>30</v>
      </c>
      <c r="T397" s="6">
        <v>941</v>
      </c>
      <c r="U397" s="7" t="s">
        <v>31</v>
      </c>
      <c r="V397" s="12" t="s">
        <v>79</v>
      </c>
      <c r="W397" s="7" t="s">
        <v>60</v>
      </c>
      <c r="X397" s="6">
        <f t="shared" si="27"/>
        <v>431</v>
      </c>
      <c r="Y397" t="str" cm="1">
        <f t="array" ref="Y397">_xlfn.IFS(E397=7.99,"BASIC",E397=11.99,"STANDARD",E397=15.99,"PREMIUM")</f>
        <v>BASIC</v>
      </c>
      <c r="Z397" s="4">
        <f t="shared" si="25"/>
        <v>0.69837587006960555</v>
      </c>
      <c r="AA397" s="3" t="str" cm="1">
        <f t="array" ref="AA397">_xlfn.IFS(
(F397/(X397/7)) &lt; 5, "Casual",
AND((F397/(X397/7)) &gt;= 5, (F397/(X397/7)) &lt; 15), "Regular",
(F397/(X397/7)) &gt;= 15, "Power"
)</f>
        <v>Casual</v>
      </c>
      <c r="AB397" s="3">
        <f t="shared" si="28"/>
        <v>4.3877551020408162E-2</v>
      </c>
      <c r="AC397" t="str">
        <f t="shared" si="26"/>
        <v xml:space="preserve"> Browsers</v>
      </c>
    </row>
    <row r="398" spans="1:29" x14ac:dyDescent="0.3">
      <c r="A398" s="6">
        <v>4314</v>
      </c>
      <c r="B398" s="7" t="s">
        <v>373</v>
      </c>
      <c r="C398" s="10">
        <v>45117</v>
      </c>
      <c r="D398" s="10">
        <v>45641</v>
      </c>
      <c r="E398" s="13">
        <v>7.99</v>
      </c>
      <c r="F398" s="6">
        <v>311</v>
      </c>
      <c r="G398" s="7" t="s">
        <v>100</v>
      </c>
      <c r="H398" s="6">
        <v>3</v>
      </c>
      <c r="I398" s="6">
        <v>5</v>
      </c>
      <c r="J398" s="7" t="b">
        <v>1</v>
      </c>
      <c r="K398" s="6">
        <v>724</v>
      </c>
      <c r="L398" s="6">
        <v>191</v>
      </c>
      <c r="M398" s="7" t="s">
        <v>27</v>
      </c>
      <c r="N398" s="7" t="s">
        <v>28</v>
      </c>
      <c r="O398" s="7" t="s">
        <v>29</v>
      </c>
      <c r="P398" s="6">
        <v>55</v>
      </c>
      <c r="Q398" s="11">
        <v>4.7</v>
      </c>
      <c r="R398" s="7" t="b">
        <v>1</v>
      </c>
      <c r="S398" s="7" t="s">
        <v>30</v>
      </c>
      <c r="T398" s="6">
        <v>4062</v>
      </c>
      <c r="U398" s="7" t="s">
        <v>58</v>
      </c>
      <c r="V398" s="12" t="s">
        <v>32</v>
      </c>
      <c r="W398" s="7" t="s">
        <v>60</v>
      </c>
      <c r="X398" s="6">
        <f t="shared" si="27"/>
        <v>524</v>
      </c>
      <c r="Y398" t="str" cm="1">
        <f t="array" ref="Y398">_xlfn.IFS(E398=7.99,"BASIC",E398=11.99,"STANDARD",E398=15.99,"PREMIUM")</f>
        <v>BASIC</v>
      </c>
      <c r="Z398" s="4">
        <f t="shared" si="25"/>
        <v>4.1545801526717554</v>
      </c>
      <c r="AA398" s="3" t="str" cm="1">
        <f t="array" ref="AA398">_xlfn.IFS(
(F398/(X398/7)) &lt; 5, "Casual",
AND((F398/(X398/7)) &gt;= 5, (F398/(X398/7)) &lt; 15), "Regular",
(F398/(X398/7)) &gt;= 15, "Power"
)</f>
        <v>Casual</v>
      </c>
      <c r="AB398" s="3">
        <f t="shared" si="28"/>
        <v>0.33989071038251367</v>
      </c>
      <c r="AC398" t="str">
        <f t="shared" si="26"/>
        <v>Viewers</v>
      </c>
    </row>
    <row r="399" spans="1:29" x14ac:dyDescent="0.3">
      <c r="A399" s="6">
        <v>6739</v>
      </c>
      <c r="B399" s="7" t="s">
        <v>357</v>
      </c>
      <c r="C399" s="10">
        <v>45503</v>
      </c>
      <c r="D399" s="10">
        <v>45627</v>
      </c>
      <c r="E399" s="13">
        <v>11.99</v>
      </c>
      <c r="F399" s="6">
        <v>23</v>
      </c>
      <c r="G399" s="7" t="s">
        <v>51</v>
      </c>
      <c r="H399" s="6">
        <v>5</v>
      </c>
      <c r="I399" s="6">
        <v>3</v>
      </c>
      <c r="J399" s="7" t="b">
        <v>0</v>
      </c>
      <c r="K399" s="6">
        <v>725</v>
      </c>
      <c r="L399" s="6">
        <v>168</v>
      </c>
      <c r="M399" s="7" t="s">
        <v>27</v>
      </c>
      <c r="N399" s="7" t="s">
        <v>44</v>
      </c>
      <c r="O399" s="7" t="s">
        <v>29</v>
      </c>
      <c r="P399" s="6">
        <v>25</v>
      </c>
      <c r="Q399" s="11">
        <v>3.6</v>
      </c>
      <c r="R399" s="7" t="b">
        <v>1</v>
      </c>
      <c r="S399" s="7" t="s">
        <v>30</v>
      </c>
      <c r="T399" s="6">
        <v>4322</v>
      </c>
      <c r="U399" s="7" t="s">
        <v>65</v>
      </c>
      <c r="V399" s="12" t="s">
        <v>59</v>
      </c>
      <c r="W399" s="7" t="s">
        <v>33</v>
      </c>
      <c r="X399" s="6">
        <f t="shared" si="27"/>
        <v>124</v>
      </c>
      <c r="Y399" t="str" cm="1">
        <f t="array" ref="Y399">_xlfn.IFS(E399=7.99,"BASIC",E399=11.99,"STANDARD",E399=15.99,"PREMIUM")</f>
        <v>STANDARD</v>
      </c>
      <c r="Z399" s="4">
        <f t="shared" si="25"/>
        <v>1.2983870967741935</v>
      </c>
      <c r="AA399" s="3" t="str" cm="1">
        <f t="array" ref="AA399">_xlfn.IFS(
(F399/(X399/7)) &lt; 5, "Casual",
AND((F399/(X399/7)) &gt;= 5, (F399/(X399/7)) &lt; 15), "Regular",
(F399/(X399/7)) &gt;= 15, "Power"
)</f>
        <v>Casual</v>
      </c>
      <c r="AB399" s="3">
        <f t="shared" si="28"/>
        <v>2.5755879059350503E-2</v>
      </c>
      <c r="AC399" t="str">
        <f t="shared" si="26"/>
        <v xml:space="preserve"> Browsers</v>
      </c>
    </row>
    <row r="400" spans="1:29" x14ac:dyDescent="0.3">
      <c r="A400" s="6">
        <v>6368</v>
      </c>
      <c r="B400" s="7" t="s">
        <v>41</v>
      </c>
      <c r="C400" s="10">
        <v>45166</v>
      </c>
      <c r="D400" s="10">
        <v>45640</v>
      </c>
      <c r="E400" s="13">
        <v>11.99</v>
      </c>
      <c r="F400" s="6">
        <v>370</v>
      </c>
      <c r="G400" s="7" t="s">
        <v>73</v>
      </c>
      <c r="H400" s="6">
        <v>3</v>
      </c>
      <c r="I400" s="6">
        <v>4</v>
      </c>
      <c r="J400" s="7" t="b">
        <v>1</v>
      </c>
      <c r="K400" s="6">
        <v>973</v>
      </c>
      <c r="L400" s="6">
        <v>152</v>
      </c>
      <c r="M400" s="7" t="s">
        <v>43</v>
      </c>
      <c r="N400" s="7" t="s">
        <v>56</v>
      </c>
      <c r="O400" s="7" t="s">
        <v>29</v>
      </c>
      <c r="P400" s="6">
        <v>98</v>
      </c>
      <c r="Q400" s="11">
        <v>3.1</v>
      </c>
      <c r="R400" s="7" t="b">
        <v>1</v>
      </c>
      <c r="S400" s="7" t="s">
        <v>30</v>
      </c>
      <c r="T400" s="6">
        <v>1456</v>
      </c>
      <c r="U400" s="7" t="s">
        <v>76</v>
      </c>
      <c r="V400" s="12" t="s">
        <v>69</v>
      </c>
      <c r="W400" s="7" t="s">
        <v>93</v>
      </c>
      <c r="X400" s="6">
        <f t="shared" si="27"/>
        <v>474</v>
      </c>
      <c r="Y400" t="str" cm="1">
        <f t="array" ref="Y400">_xlfn.IFS(E400=7.99,"BASIC",E400=11.99,"STANDARD",E400=15.99,"PREMIUM")</f>
        <v>STANDARD</v>
      </c>
      <c r="Z400" s="4">
        <f t="shared" si="25"/>
        <v>5.4641350210970465</v>
      </c>
      <c r="AA400" s="3" t="str" cm="1">
        <f t="array" ref="AA400">_xlfn.IFS(
(F400/(X400/7)) &lt; 5, "Casual",
AND((F400/(X400/7)) &gt;= 5, (F400/(X400/7)) &lt; 15), "Regular",
(F400/(X400/7)) &gt;= 15, "Power"
)</f>
        <v>Regular</v>
      </c>
      <c r="AB400" s="3">
        <f t="shared" si="28"/>
        <v>0.3288888888888889</v>
      </c>
      <c r="AC400" t="str">
        <f t="shared" si="26"/>
        <v>Viewers</v>
      </c>
    </row>
    <row r="401" spans="1:29" x14ac:dyDescent="0.3">
      <c r="A401" s="6">
        <v>7309</v>
      </c>
      <c r="B401" s="7" t="s">
        <v>176</v>
      </c>
      <c r="C401" s="10">
        <v>45473</v>
      </c>
      <c r="D401" s="10">
        <v>45615</v>
      </c>
      <c r="E401" s="13">
        <v>15.99</v>
      </c>
      <c r="F401" s="6">
        <v>343</v>
      </c>
      <c r="G401" s="7" t="s">
        <v>51</v>
      </c>
      <c r="H401" s="6">
        <v>2</v>
      </c>
      <c r="I401" s="6">
        <v>2</v>
      </c>
      <c r="J401" s="7" t="b">
        <v>0</v>
      </c>
      <c r="K401" s="6">
        <v>830</v>
      </c>
      <c r="L401" s="6">
        <v>172</v>
      </c>
      <c r="M401" s="7" t="s">
        <v>43</v>
      </c>
      <c r="N401" s="7" t="s">
        <v>56</v>
      </c>
      <c r="O401" s="7" t="s">
        <v>37</v>
      </c>
      <c r="P401" s="6">
        <v>99</v>
      </c>
      <c r="Q401" s="11">
        <v>4.9000000000000004</v>
      </c>
      <c r="R401" s="7" t="b">
        <v>0</v>
      </c>
      <c r="S401" s="7" t="s">
        <v>30</v>
      </c>
      <c r="T401" s="6">
        <v>1281</v>
      </c>
      <c r="U401" s="7" t="s">
        <v>58</v>
      </c>
      <c r="V401" s="12" t="s">
        <v>69</v>
      </c>
      <c r="W401" s="7" t="s">
        <v>60</v>
      </c>
      <c r="X401" s="6">
        <f t="shared" si="27"/>
        <v>142</v>
      </c>
      <c r="Y401" t="str" cm="1">
        <f t="array" ref="Y401">_xlfn.IFS(E401=7.99,"BASIC",E401=11.99,"STANDARD",E401=15.99,"PREMIUM")</f>
        <v>PREMIUM</v>
      </c>
      <c r="Z401" s="4">
        <f t="shared" si="25"/>
        <v>16.908450704225352</v>
      </c>
      <c r="AA401" s="3" t="str" cm="1">
        <f t="array" ref="AA401">_xlfn.IFS(
(F401/(X401/7)) &lt; 5, "Casual",
AND((F401/(X401/7)) &gt;= 5, (F401/(X401/7)) &lt; 15), "Regular",
(F401/(X401/7)) &gt;= 15, "Power"
)</f>
        <v>Power</v>
      </c>
      <c r="AB401" s="3">
        <f t="shared" si="28"/>
        <v>0.34231536926147704</v>
      </c>
      <c r="AC401" t="str">
        <f t="shared" si="26"/>
        <v>Viewers</v>
      </c>
    </row>
    <row r="402" spans="1:29" x14ac:dyDescent="0.3">
      <c r="A402" s="6">
        <v>3976</v>
      </c>
      <c r="B402" s="7" t="s">
        <v>297</v>
      </c>
      <c r="C402" s="10">
        <v>45237</v>
      </c>
      <c r="D402" s="10">
        <v>45629</v>
      </c>
      <c r="E402" s="13">
        <v>7.99</v>
      </c>
      <c r="F402" s="6">
        <v>391</v>
      </c>
      <c r="G402" s="7" t="s">
        <v>48</v>
      </c>
      <c r="H402" s="6">
        <v>4</v>
      </c>
      <c r="I402" s="6">
        <v>6</v>
      </c>
      <c r="J402" s="7" t="b">
        <v>0</v>
      </c>
      <c r="K402" s="6">
        <v>726</v>
      </c>
      <c r="L402" s="6">
        <v>176</v>
      </c>
      <c r="M402" s="7" t="s">
        <v>43</v>
      </c>
      <c r="N402" s="7" t="s">
        <v>44</v>
      </c>
      <c r="O402" s="7" t="s">
        <v>78</v>
      </c>
      <c r="P402" s="6">
        <v>65</v>
      </c>
      <c r="Q402" s="11">
        <v>3.8</v>
      </c>
      <c r="R402" s="7" t="b">
        <v>0</v>
      </c>
      <c r="S402" s="7" t="s">
        <v>30</v>
      </c>
      <c r="T402" s="6">
        <v>1926</v>
      </c>
      <c r="U402" s="7" t="s">
        <v>65</v>
      </c>
      <c r="V402" s="12" t="s">
        <v>69</v>
      </c>
      <c r="W402" s="7" t="s">
        <v>93</v>
      </c>
      <c r="X402" s="6">
        <f t="shared" si="27"/>
        <v>392</v>
      </c>
      <c r="Y402" t="str" cm="1">
        <f t="array" ref="Y402">_xlfn.IFS(E402=7.99,"BASIC",E402=11.99,"STANDARD",E402=15.99,"PREMIUM")</f>
        <v>BASIC</v>
      </c>
      <c r="Z402" s="4">
        <f t="shared" si="25"/>
        <v>6.9821428571428568</v>
      </c>
      <c r="AA402" s="3" t="str" cm="1">
        <f t="array" ref="AA402">_xlfn.IFS(
(F402/(X402/7)) &lt; 5, "Casual",
AND((F402/(X402/7)) &gt;= 5, (F402/(X402/7)) &lt; 15), "Regular",
(F402/(X402/7)) &gt;= 15, "Power"
)</f>
        <v>Regular</v>
      </c>
      <c r="AB402" s="3">
        <f t="shared" si="28"/>
        <v>0.43348115299334811</v>
      </c>
      <c r="AC402" t="str">
        <f t="shared" si="26"/>
        <v>Viewers</v>
      </c>
    </row>
    <row r="403" spans="1:29" x14ac:dyDescent="0.3">
      <c r="A403" s="6">
        <v>7230</v>
      </c>
      <c r="B403" s="7" t="s">
        <v>473</v>
      </c>
      <c r="C403" s="10">
        <v>45463</v>
      </c>
      <c r="D403" s="10">
        <v>45639</v>
      </c>
      <c r="E403" s="13">
        <v>11.99</v>
      </c>
      <c r="F403" s="6">
        <v>405</v>
      </c>
      <c r="G403" s="7" t="s">
        <v>36</v>
      </c>
      <c r="H403" s="6">
        <v>3</v>
      </c>
      <c r="I403" s="6">
        <v>3</v>
      </c>
      <c r="J403" s="7" t="b">
        <v>0</v>
      </c>
      <c r="K403" s="6">
        <v>90</v>
      </c>
      <c r="L403" s="6">
        <v>151</v>
      </c>
      <c r="M403" s="7" t="s">
        <v>43</v>
      </c>
      <c r="N403" s="7" t="s">
        <v>44</v>
      </c>
      <c r="O403" s="7" t="s">
        <v>37</v>
      </c>
      <c r="P403" s="6">
        <v>64</v>
      </c>
      <c r="Q403" s="11">
        <v>4.0999999999999996</v>
      </c>
      <c r="R403" s="7" t="b">
        <v>0</v>
      </c>
      <c r="S403" s="7" t="s">
        <v>30</v>
      </c>
      <c r="T403" s="6">
        <v>1368</v>
      </c>
      <c r="U403" s="7" t="s">
        <v>58</v>
      </c>
      <c r="V403" s="12" t="s">
        <v>32</v>
      </c>
      <c r="W403" s="7" t="s">
        <v>33</v>
      </c>
      <c r="X403" s="6">
        <f t="shared" si="27"/>
        <v>176</v>
      </c>
      <c r="Y403" t="str" cm="1">
        <f t="array" ref="Y403">_xlfn.IFS(E403=7.99,"BASIC",E403=11.99,"STANDARD",E403=15.99,"PREMIUM")</f>
        <v>STANDARD</v>
      </c>
      <c r="Z403" s="4">
        <f t="shared" si="25"/>
        <v>16.107954545454547</v>
      </c>
      <c r="AA403" s="3" t="str" cm="1">
        <f t="array" ref="AA403">_xlfn.IFS(
(F403/(X403/7)) &lt; 5, "Casual",
AND((F403/(X403/7)) &gt;= 5, (F403/(X403/7)) &lt; 15), "Regular",
(F403/(X403/7)) &gt;= 15, "Power"
)</f>
        <v>Power</v>
      </c>
      <c r="AB403" s="3">
        <f t="shared" si="28"/>
        <v>1.6804979253112033</v>
      </c>
      <c r="AC403" t="str">
        <f t="shared" si="26"/>
        <v>Viewers</v>
      </c>
    </row>
    <row r="404" spans="1:29" x14ac:dyDescent="0.3">
      <c r="A404" s="6">
        <v>8888</v>
      </c>
      <c r="B404" s="7" t="s">
        <v>344</v>
      </c>
      <c r="C404" s="10">
        <v>45404</v>
      </c>
      <c r="D404" s="10">
        <v>45639</v>
      </c>
      <c r="E404" s="13">
        <v>15.99</v>
      </c>
      <c r="F404" s="6">
        <v>14</v>
      </c>
      <c r="G404" s="7" t="s">
        <v>63</v>
      </c>
      <c r="H404" s="6">
        <v>5</v>
      </c>
      <c r="I404" s="6">
        <v>1</v>
      </c>
      <c r="J404" s="7" t="b">
        <v>0</v>
      </c>
      <c r="K404" s="6">
        <v>617</v>
      </c>
      <c r="L404" s="6">
        <v>128</v>
      </c>
      <c r="M404" s="7" t="s">
        <v>55</v>
      </c>
      <c r="N404" s="7" t="s">
        <v>44</v>
      </c>
      <c r="O404" s="7" t="s">
        <v>78</v>
      </c>
      <c r="P404" s="6">
        <v>31</v>
      </c>
      <c r="Q404" s="11">
        <v>3.5</v>
      </c>
      <c r="R404" s="7" t="b">
        <v>0</v>
      </c>
      <c r="S404" s="7" t="s">
        <v>30</v>
      </c>
      <c r="T404" s="6">
        <v>571</v>
      </c>
      <c r="U404" s="7" t="s">
        <v>31</v>
      </c>
      <c r="V404" s="12" t="s">
        <v>32</v>
      </c>
      <c r="W404" s="7" t="s">
        <v>40</v>
      </c>
      <c r="X404" s="6">
        <f t="shared" si="27"/>
        <v>235</v>
      </c>
      <c r="Y404" t="str" cm="1">
        <f t="array" ref="Y404">_xlfn.IFS(E404=7.99,"BASIC",E404=11.99,"STANDARD",E404=15.99,"PREMIUM")</f>
        <v>PREMIUM</v>
      </c>
      <c r="Z404" s="4">
        <f t="shared" si="25"/>
        <v>0.41702127659574473</v>
      </c>
      <c r="AA404" s="3" t="str" cm="1">
        <f t="array" ref="AA404">_xlfn.IFS(
(F404/(X404/7)) &lt; 5, "Casual",
AND((F404/(X404/7)) &gt;= 5, (F404/(X404/7)) &lt; 15), "Regular",
(F404/(X404/7)) &gt;= 15, "Power"
)</f>
        <v>Casual</v>
      </c>
      <c r="AB404" s="3">
        <f t="shared" si="28"/>
        <v>1.8791946308724831E-2</v>
      </c>
      <c r="AC404" t="str">
        <f t="shared" si="26"/>
        <v xml:space="preserve"> Browsers</v>
      </c>
    </row>
    <row r="405" spans="1:29" x14ac:dyDescent="0.3">
      <c r="A405" s="6">
        <v>1194</v>
      </c>
      <c r="B405" s="7" t="s">
        <v>357</v>
      </c>
      <c r="C405" s="10">
        <v>45585</v>
      </c>
      <c r="D405" s="10">
        <v>45628</v>
      </c>
      <c r="E405" s="13">
        <v>7.99</v>
      </c>
      <c r="F405" s="6">
        <v>11</v>
      </c>
      <c r="G405" s="7" t="s">
        <v>63</v>
      </c>
      <c r="H405" s="6">
        <v>4</v>
      </c>
      <c r="I405" s="6">
        <v>6</v>
      </c>
      <c r="J405" s="7" t="b">
        <v>0</v>
      </c>
      <c r="K405" s="6">
        <v>246</v>
      </c>
      <c r="L405" s="6">
        <v>96</v>
      </c>
      <c r="M405" s="7" t="s">
        <v>92</v>
      </c>
      <c r="N405" s="7" t="s">
        <v>28</v>
      </c>
      <c r="O405" s="7" t="s">
        <v>57</v>
      </c>
      <c r="P405" s="6">
        <v>56</v>
      </c>
      <c r="Q405" s="11">
        <v>4.5999999999999996</v>
      </c>
      <c r="R405" s="7" t="b">
        <v>1</v>
      </c>
      <c r="S405" s="7" t="s">
        <v>30</v>
      </c>
      <c r="T405" s="6">
        <v>3807</v>
      </c>
      <c r="U405" s="7" t="s">
        <v>65</v>
      </c>
      <c r="V405" s="12" t="s">
        <v>79</v>
      </c>
      <c r="W405" s="7" t="s">
        <v>60</v>
      </c>
      <c r="X405" s="6">
        <f t="shared" si="27"/>
        <v>43</v>
      </c>
      <c r="Y405" t="str" cm="1">
        <f t="array" ref="Y405">_xlfn.IFS(E405=7.99,"BASIC",E405=11.99,"STANDARD",E405=15.99,"PREMIUM")</f>
        <v>BASIC</v>
      </c>
      <c r="Z405" s="4">
        <f t="shared" si="25"/>
        <v>1.7906976744186045</v>
      </c>
      <c r="AA405" s="3" t="str" cm="1">
        <f t="array" ref="AA405">_xlfn.IFS(
(F405/(X405/7)) &lt; 5, "Casual",
AND((F405/(X405/7)) &gt;= 5, (F405/(X405/7)) &lt; 15), "Regular",
(F405/(X405/7)) &gt;= 15, "Power"
)</f>
        <v>Casual</v>
      </c>
      <c r="AB405" s="3">
        <f t="shared" si="28"/>
        <v>3.2163742690058478E-2</v>
      </c>
      <c r="AC405" t="str">
        <f t="shared" si="26"/>
        <v xml:space="preserve"> Browsers</v>
      </c>
    </row>
    <row r="406" spans="1:29" x14ac:dyDescent="0.3">
      <c r="A406" s="6">
        <v>6983</v>
      </c>
      <c r="B406" s="7" t="s">
        <v>88</v>
      </c>
      <c r="C406" s="10">
        <v>45532</v>
      </c>
      <c r="D406" s="10">
        <v>45633</v>
      </c>
      <c r="E406" s="13">
        <v>11.99</v>
      </c>
      <c r="F406" s="6">
        <v>335</v>
      </c>
      <c r="G406" s="7" t="s">
        <v>48</v>
      </c>
      <c r="H406" s="6">
        <v>1</v>
      </c>
      <c r="I406" s="6">
        <v>2</v>
      </c>
      <c r="J406" s="7" t="b">
        <v>1</v>
      </c>
      <c r="K406" s="6">
        <v>484</v>
      </c>
      <c r="L406" s="6">
        <v>54</v>
      </c>
      <c r="M406" s="7" t="s">
        <v>49</v>
      </c>
      <c r="N406" s="7" t="s">
        <v>28</v>
      </c>
      <c r="O406" s="7" t="s">
        <v>78</v>
      </c>
      <c r="P406" s="6">
        <v>51</v>
      </c>
      <c r="Q406" s="11">
        <v>4</v>
      </c>
      <c r="R406" s="7" t="b">
        <v>1</v>
      </c>
      <c r="S406" s="7" t="s">
        <v>30</v>
      </c>
      <c r="T406" s="6">
        <v>3424</v>
      </c>
      <c r="U406" s="7" t="s">
        <v>31</v>
      </c>
      <c r="V406" s="12" t="s">
        <v>69</v>
      </c>
      <c r="W406" s="7" t="s">
        <v>40</v>
      </c>
      <c r="X406" s="6">
        <f t="shared" si="27"/>
        <v>101</v>
      </c>
      <c r="Y406" t="str" cm="1">
        <f t="array" ref="Y406">_xlfn.IFS(E406=7.99,"BASIC",E406=11.99,"STANDARD",E406=15.99,"PREMIUM")</f>
        <v>STANDARD</v>
      </c>
      <c r="Z406" s="4">
        <f t="shared" si="25"/>
        <v>23.217821782178216</v>
      </c>
      <c r="AA406" s="3" t="str" cm="1">
        <f t="array" ref="AA406">_xlfn.IFS(
(F406/(X406/7)) &lt; 5, "Casual",
AND((F406/(X406/7)) &gt;= 5, (F406/(X406/7)) &lt; 15), "Regular",
(F406/(X406/7)) &gt;= 15, "Power"
)</f>
        <v>Power</v>
      </c>
      <c r="AB406" s="3">
        <f t="shared" si="28"/>
        <v>0.62267657992565051</v>
      </c>
      <c r="AC406" t="str">
        <f t="shared" si="26"/>
        <v>Viewers</v>
      </c>
    </row>
    <row r="407" spans="1:29" x14ac:dyDescent="0.3">
      <c r="A407" s="6">
        <v>1413</v>
      </c>
      <c r="B407" s="7" t="s">
        <v>98</v>
      </c>
      <c r="C407" s="10">
        <v>44915</v>
      </c>
      <c r="D407" s="10">
        <v>45626</v>
      </c>
      <c r="E407" s="13">
        <v>11.99</v>
      </c>
      <c r="F407" s="6">
        <v>408</v>
      </c>
      <c r="G407" s="7" t="s">
        <v>48</v>
      </c>
      <c r="H407" s="6">
        <v>3</v>
      </c>
      <c r="I407" s="6">
        <v>5</v>
      </c>
      <c r="J407" s="7" t="b">
        <v>1</v>
      </c>
      <c r="K407" s="6">
        <v>418</v>
      </c>
      <c r="L407" s="6">
        <v>198</v>
      </c>
      <c r="M407" s="7" t="s">
        <v>27</v>
      </c>
      <c r="N407" s="7" t="s">
        <v>28</v>
      </c>
      <c r="O407" s="7" t="s">
        <v>57</v>
      </c>
      <c r="P407" s="6">
        <v>0</v>
      </c>
      <c r="Q407" s="11">
        <v>3</v>
      </c>
      <c r="R407" s="7" t="b">
        <v>0</v>
      </c>
      <c r="S407" s="7" t="s">
        <v>30</v>
      </c>
      <c r="T407" s="6">
        <v>1428</v>
      </c>
      <c r="U407" s="7" t="s">
        <v>31</v>
      </c>
      <c r="V407" s="12" t="s">
        <v>59</v>
      </c>
      <c r="W407" s="7" t="s">
        <v>93</v>
      </c>
      <c r="X407" s="6">
        <f t="shared" si="27"/>
        <v>711</v>
      </c>
      <c r="Y407" t="str" cm="1">
        <f t="array" ref="Y407">_xlfn.IFS(E407=7.99,"BASIC",E407=11.99,"STANDARD",E407=15.99,"PREMIUM")</f>
        <v>STANDARD</v>
      </c>
      <c r="Z407" s="4">
        <f t="shared" si="25"/>
        <v>4.0168776371308015</v>
      </c>
      <c r="AA407" s="3" t="str" cm="1">
        <f t="array" ref="AA407">_xlfn.IFS(
(F407/(X407/7)) &lt; 5, "Casual",
AND((F407/(X407/7)) &gt;= 5, (F407/(X407/7)) &lt; 15), "Regular",
(F407/(X407/7)) &gt;= 15, "Power"
)</f>
        <v>Casual</v>
      </c>
      <c r="AB407" s="3">
        <f t="shared" si="28"/>
        <v>0.66233766233766234</v>
      </c>
      <c r="AC407" t="str">
        <f t="shared" si="26"/>
        <v>Viewers</v>
      </c>
    </row>
    <row r="408" spans="1:29" x14ac:dyDescent="0.3">
      <c r="A408" s="6">
        <v>9509</v>
      </c>
      <c r="B408" s="7" t="s">
        <v>232</v>
      </c>
      <c r="C408" s="10">
        <v>45501</v>
      </c>
      <c r="D408" s="10">
        <v>45622</v>
      </c>
      <c r="E408" s="13">
        <v>11.99</v>
      </c>
      <c r="F408" s="6">
        <v>302</v>
      </c>
      <c r="G408" s="7" t="s">
        <v>26</v>
      </c>
      <c r="H408" s="6">
        <v>2</v>
      </c>
      <c r="I408" s="6">
        <v>2</v>
      </c>
      <c r="J408" s="7" t="b">
        <v>0</v>
      </c>
      <c r="K408" s="6">
        <v>431</v>
      </c>
      <c r="L408" s="6">
        <v>116</v>
      </c>
      <c r="M408" s="7" t="s">
        <v>55</v>
      </c>
      <c r="N408" s="7" t="s">
        <v>44</v>
      </c>
      <c r="O408" s="7" t="s">
        <v>78</v>
      </c>
      <c r="P408" s="6">
        <v>15</v>
      </c>
      <c r="Q408" s="11">
        <v>3.9</v>
      </c>
      <c r="R408" s="7" t="b">
        <v>1</v>
      </c>
      <c r="S408" s="7" t="s">
        <v>30</v>
      </c>
      <c r="T408" s="6">
        <v>2387</v>
      </c>
      <c r="U408" s="7" t="s">
        <v>58</v>
      </c>
      <c r="V408" s="12" t="s">
        <v>69</v>
      </c>
      <c r="W408" s="7" t="s">
        <v>60</v>
      </c>
      <c r="X408" s="6">
        <f t="shared" si="27"/>
        <v>121</v>
      </c>
      <c r="Y408" t="str" cm="1">
        <f t="array" ref="Y408">_xlfn.IFS(E408=7.99,"BASIC",E408=11.99,"STANDARD",E408=15.99,"PREMIUM")</f>
        <v>STANDARD</v>
      </c>
      <c r="Z408" s="4">
        <f t="shared" si="25"/>
        <v>17.471074380165291</v>
      </c>
      <c r="AA408" s="3" t="str" cm="1">
        <f t="array" ref="AA408">_xlfn.IFS(
(F408/(X408/7)) &lt; 5, "Casual",
AND((F408/(X408/7)) &gt;= 5, (F408/(X408/7)) &lt; 15), "Regular",
(F408/(X408/7)) &gt;= 15, "Power"
)</f>
        <v>Power</v>
      </c>
      <c r="AB408" s="3">
        <f t="shared" si="28"/>
        <v>0.55210237659963435</v>
      </c>
      <c r="AC408" t="str">
        <f t="shared" si="26"/>
        <v>Viewers</v>
      </c>
    </row>
    <row r="409" spans="1:29" x14ac:dyDescent="0.3">
      <c r="A409" s="6">
        <v>6330</v>
      </c>
      <c r="B409" s="7" t="s">
        <v>478</v>
      </c>
      <c r="C409" s="10">
        <v>45316</v>
      </c>
      <c r="D409" s="10">
        <v>45630</v>
      </c>
      <c r="E409" s="13">
        <v>7.99</v>
      </c>
      <c r="F409" s="6">
        <v>329</v>
      </c>
      <c r="G409" s="7" t="s">
        <v>48</v>
      </c>
      <c r="H409" s="6">
        <v>4</v>
      </c>
      <c r="I409" s="6">
        <v>1</v>
      </c>
      <c r="J409" s="7" t="b">
        <v>1</v>
      </c>
      <c r="K409" s="6">
        <v>973</v>
      </c>
      <c r="L409" s="6">
        <v>163</v>
      </c>
      <c r="M409" s="7" t="s">
        <v>27</v>
      </c>
      <c r="N409" s="7" t="s">
        <v>75</v>
      </c>
      <c r="O409" s="7" t="s">
        <v>64</v>
      </c>
      <c r="P409" s="6">
        <v>78</v>
      </c>
      <c r="Q409" s="11">
        <v>4.2</v>
      </c>
      <c r="R409" s="7" t="b">
        <v>1</v>
      </c>
      <c r="S409" s="7" t="s">
        <v>30</v>
      </c>
      <c r="T409" s="6">
        <v>218</v>
      </c>
      <c r="U409" s="7" t="s">
        <v>76</v>
      </c>
      <c r="V409" s="12" t="s">
        <v>59</v>
      </c>
      <c r="W409" s="7" t="s">
        <v>40</v>
      </c>
      <c r="X409" s="6">
        <f t="shared" si="27"/>
        <v>314</v>
      </c>
      <c r="Y409" t="str" cm="1">
        <f t="array" ref="Y409">_xlfn.IFS(E409=7.99,"BASIC",E409=11.99,"STANDARD",E409=15.99,"PREMIUM")</f>
        <v>BASIC</v>
      </c>
      <c r="Z409" s="4">
        <f t="shared" si="25"/>
        <v>7.3343949044585992</v>
      </c>
      <c r="AA409" s="3" t="str" cm="1">
        <f t="array" ref="AA409">_xlfn.IFS(
(F409/(X409/7)) &lt; 5, "Casual",
AND((F409/(X409/7)) &gt;= 5, (F409/(X409/7)) &lt; 15), "Regular",
(F409/(X409/7)) &gt;= 15, "Power"
)</f>
        <v>Regular</v>
      </c>
      <c r="AB409" s="3">
        <f t="shared" si="28"/>
        <v>0.289612676056338</v>
      </c>
      <c r="AC409" t="str">
        <f t="shared" si="26"/>
        <v>Viewers</v>
      </c>
    </row>
    <row r="410" spans="1:29" x14ac:dyDescent="0.3">
      <c r="A410" s="6">
        <v>2504</v>
      </c>
      <c r="B410" s="7" t="s">
        <v>480</v>
      </c>
      <c r="C410" s="10">
        <v>45526</v>
      </c>
      <c r="D410" s="10">
        <v>45641</v>
      </c>
      <c r="E410" s="13">
        <v>11.99</v>
      </c>
      <c r="F410" s="6">
        <v>328</v>
      </c>
      <c r="G410" s="7" t="s">
        <v>73</v>
      </c>
      <c r="H410" s="6">
        <v>4</v>
      </c>
      <c r="I410" s="6">
        <v>6</v>
      </c>
      <c r="J410" s="7" t="b">
        <v>1</v>
      </c>
      <c r="K410" s="6">
        <v>858</v>
      </c>
      <c r="L410" s="6">
        <v>159</v>
      </c>
      <c r="M410" s="7" t="s">
        <v>49</v>
      </c>
      <c r="N410" s="7" t="s">
        <v>28</v>
      </c>
      <c r="O410" s="7" t="s">
        <v>37</v>
      </c>
      <c r="P410" s="6">
        <v>75</v>
      </c>
      <c r="Q410" s="11">
        <v>4.5999999999999996</v>
      </c>
      <c r="R410" s="7" t="b">
        <v>1</v>
      </c>
      <c r="S410" s="7" t="s">
        <v>30</v>
      </c>
      <c r="T410" s="6">
        <v>68</v>
      </c>
      <c r="U410" s="7" t="s">
        <v>31</v>
      </c>
      <c r="V410" s="12" t="s">
        <v>69</v>
      </c>
      <c r="W410" s="7" t="s">
        <v>93</v>
      </c>
      <c r="X410" s="6">
        <f t="shared" si="27"/>
        <v>115</v>
      </c>
      <c r="Y410" t="str" cm="1">
        <f t="array" ref="Y410">_xlfn.IFS(E410=7.99,"BASIC",E410=11.99,"STANDARD",E410=15.99,"PREMIUM")</f>
        <v>STANDARD</v>
      </c>
      <c r="Z410" s="4">
        <f t="shared" si="25"/>
        <v>19.96521739130435</v>
      </c>
      <c r="AA410" s="3" t="str" cm="1">
        <f t="array" ref="AA410">_xlfn.IFS(
(F410/(X410/7)) &lt; 5, "Casual",
AND((F410/(X410/7)) &gt;= 5, (F410/(X410/7)) &lt; 15), "Regular",
(F410/(X410/7)) &gt;= 15, "Power"
)</f>
        <v>Power</v>
      </c>
      <c r="AB410" s="3">
        <f t="shared" si="28"/>
        <v>0.3225172074729597</v>
      </c>
      <c r="AC410" t="str">
        <f t="shared" si="26"/>
        <v>Viewers</v>
      </c>
    </row>
    <row r="411" spans="1:29" x14ac:dyDescent="0.3">
      <c r="A411" s="6">
        <v>6593</v>
      </c>
      <c r="B411" s="7" t="s">
        <v>357</v>
      </c>
      <c r="C411" s="10">
        <v>45517</v>
      </c>
      <c r="D411" s="10">
        <v>45633</v>
      </c>
      <c r="E411" s="13">
        <v>11.99</v>
      </c>
      <c r="F411" s="6">
        <v>353</v>
      </c>
      <c r="G411" s="7" t="s">
        <v>36</v>
      </c>
      <c r="H411" s="6">
        <v>3</v>
      </c>
      <c r="I411" s="6">
        <v>6</v>
      </c>
      <c r="J411" s="7" t="b">
        <v>0</v>
      </c>
      <c r="K411" s="6">
        <v>637</v>
      </c>
      <c r="L411" s="6">
        <v>160</v>
      </c>
      <c r="M411" s="7" t="s">
        <v>49</v>
      </c>
      <c r="N411" s="7" t="s">
        <v>44</v>
      </c>
      <c r="O411" s="7" t="s">
        <v>64</v>
      </c>
      <c r="P411" s="6">
        <v>67</v>
      </c>
      <c r="Q411" s="11">
        <v>5</v>
      </c>
      <c r="R411" s="7" t="b">
        <v>1</v>
      </c>
      <c r="S411" s="7" t="s">
        <v>30</v>
      </c>
      <c r="T411" s="6">
        <v>2749</v>
      </c>
      <c r="U411" s="7" t="s">
        <v>38</v>
      </c>
      <c r="V411" s="12" t="s">
        <v>69</v>
      </c>
      <c r="W411" s="7" t="s">
        <v>33</v>
      </c>
      <c r="X411" s="6">
        <f t="shared" si="27"/>
        <v>116</v>
      </c>
      <c r="Y411" t="str" cm="1">
        <f t="array" ref="Y411">_xlfn.IFS(E411=7.99,"BASIC",E411=11.99,"STANDARD",E411=15.99,"PREMIUM")</f>
        <v>STANDARD</v>
      </c>
      <c r="Z411" s="4">
        <f t="shared" si="25"/>
        <v>21.301724137931032</v>
      </c>
      <c r="AA411" s="3" t="str" cm="1">
        <f t="array" ref="AA411">_xlfn.IFS(
(F411/(X411/7)) &lt; 5, "Casual",
AND((F411/(X411/7)) &gt;= 5, (F411/(X411/7)) &lt; 15), "Regular",
(F411/(X411/7)) &gt;= 15, "Power"
)</f>
        <v>Power</v>
      </c>
      <c r="AB411" s="3">
        <f t="shared" si="28"/>
        <v>0.44291091593475534</v>
      </c>
      <c r="AC411" t="str">
        <f t="shared" si="26"/>
        <v>Viewers</v>
      </c>
    </row>
    <row r="412" spans="1:29" x14ac:dyDescent="0.3">
      <c r="A412" s="6">
        <v>9537</v>
      </c>
      <c r="B412" s="7" t="s">
        <v>357</v>
      </c>
      <c r="C412" s="10">
        <v>45342</v>
      </c>
      <c r="D412" s="10">
        <v>45616</v>
      </c>
      <c r="E412" s="13">
        <v>11.99</v>
      </c>
      <c r="F412" s="6">
        <v>386</v>
      </c>
      <c r="G412" s="7" t="s">
        <v>73</v>
      </c>
      <c r="H412" s="6">
        <v>3</v>
      </c>
      <c r="I412" s="6">
        <v>3</v>
      </c>
      <c r="J412" s="7" t="b">
        <v>0</v>
      </c>
      <c r="K412" s="6">
        <v>693</v>
      </c>
      <c r="L412" s="6">
        <v>61</v>
      </c>
      <c r="M412" s="7" t="s">
        <v>49</v>
      </c>
      <c r="N412" s="7" t="s">
        <v>75</v>
      </c>
      <c r="O412" s="7" t="s">
        <v>29</v>
      </c>
      <c r="P412" s="6">
        <v>48</v>
      </c>
      <c r="Q412" s="11">
        <v>3.8</v>
      </c>
      <c r="R412" s="7" t="b">
        <v>0</v>
      </c>
      <c r="S412" s="7" t="s">
        <v>30</v>
      </c>
      <c r="T412" s="6">
        <v>4942</v>
      </c>
      <c r="U412" s="7" t="s">
        <v>58</v>
      </c>
      <c r="V412" s="12" t="s">
        <v>32</v>
      </c>
      <c r="W412" s="7" t="s">
        <v>93</v>
      </c>
      <c r="X412" s="6">
        <f t="shared" si="27"/>
        <v>274</v>
      </c>
      <c r="Y412" t="str" cm="1">
        <f t="array" ref="Y412">_xlfn.IFS(E412=7.99,"BASIC",E412=11.99,"STANDARD",E412=15.99,"PREMIUM")</f>
        <v>STANDARD</v>
      </c>
      <c r="Z412" s="4">
        <f t="shared" si="25"/>
        <v>9.8613138686131379</v>
      </c>
      <c r="AA412" s="3" t="str" cm="1">
        <f t="array" ref="AA412">_xlfn.IFS(
(F412/(X412/7)) &lt; 5, "Casual",
AND((F412/(X412/7)) &gt;= 5, (F412/(X412/7)) &lt; 15), "Regular",
(F412/(X412/7)) &gt;= 15, "Power"
)</f>
        <v>Regular</v>
      </c>
      <c r="AB412" s="3">
        <f t="shared" si="28"/>
        <v>0.51193633952254647</v>
      </c>
      <c r="AC412" t="str">
        <f t="shared" si="26"/>
        <v>Viewers</v>
      </c>
    </row>
    <row r="413" spans="1:29" x14ac:dyDescent="0.3">
      <c r="A413" s="6">
        <v>9628</v>
      </c>
      <c r="B413" s="7" t="s">
        <v>211</v>
      </c>
      <c r="C413" s="10">
        <v>45226</v>
      </c>
      <c r="D413" s="10">
        <v>45637</v>
      </c>
      <c r="E413" s="13">
        <v>7.99</v>
      </c>
      <c r="F413" s="6">
        <v>401</v>
      </c>
      <c r="G413" s="7" t="s">
        <v>73</v>
      </c>
      <c r="H413" s="6">
        <v>5</v>
      </c>
      <c r="I413" s="6">
        <v>6</v>
      </c>
      <c r="J413" s="7" t="b">
        <v>0</v>
      </c>
      <c r="K413" s="6">
        <v>308</v>
      </c>
      <c r="L413" s="6">
        <v>103</v>
      </c>
      <c r="M413" s="7" t="s">
        <v>27</v>
      </c>
      <c r="N413" s="7" t="s">
        <v>56</v>
      </c>
      <c r="O413" s="7" t="s">
        <v>45</v>
      </c>
      <c r="P413" s="6">
        <v>98</v>
      </c>
      <c r="Q413" s="11">
        <v>3.1</v>
      </c>
      <c r="R413" s="7" t="b">
        <v>1</v>
      </c>
      <c r="S413" s="7" t="s">
        <v>30</v>
      </c>
      <c r="T413" s="6">
        <v>1813</v>
      </c>
      <c r="U413" s="7" t="s">
        <v>65</v>
      </c>
      <c r="V413" s="12" t="s">
        <v>32</v>
      </c>
      <c r="W413" s="7" t="s">
        <v>60</v>
      </c>
      <c r="X413" s="6">
        <f t="shared" si="27"/>
        <v>411</v>
      </c>
      <c r="Y413" t="str" cm="1">
        <f t="array" ref="Y413">_xlfn.IFS(E413=7.99,"BASIC",E413=11.99,"STANDARD",E413=15.99,"PREMIUM")</f>
        <v>BASIC</v>
      </c>
      <c r="Z413" s="4">
        <f t="shared" si="25"/>
        <v>6.8296836982968365</v>
      </c>
      <c r="AA413" s="3" t="str" cm="1">
        <f t="array" ref="AA413">_xlfn.IFS(
(F413/(X413/7)) &lt; 5, "Casual",
AND((F413/(X413/7)) &gt;= 5, (F413/(X413/7)) &lt; 15), "Regular",
(F413/(X413/7)) &gt;= 15, "Power"
)</f>
        <v>Regular</v>
      </c>
      <c r="AB413" s="3">
        <f t="shared" si="28"/>
        <v>0.97566909975669103</v>
      </c>
      <c r="AC413" t="str">
        <f t="shared" si="26"/>
        <v>Viewers</v>
      </c>
    </row>
    <row r="414" spans="1:29" x14ac:dyDescent="0.3">
      <c r="A414" s="6">
        <v>4024</v>
      </c>
      <c r="B414" s="7" t="s">
        <v>244</v>
      </c>
      <c r="C414" s="10">
        <v>45037</v>
      </c>
      <c r="D414" s="10">
        <v>45633</v>
      </c>
      <c r="E414" s="13">
        <v>7.99</v>
      </c>
      <c r="F414" s="6">
        <v>286</v>
      </c>
      <c r="G414" s="7" t="s">
        <v>36</v>
      </c>
      <c r="H414" s="6">
        <v>3</v>
      </c>
      <c r="I414" s="6">
        <v>1</v>
      </c>
      <c r="J414" s="7" t="b">
        <v>0</v>
      </c>
      <c r="K414" s="6">
        <v>843</v>
      </c>
      <c r="L414" s="6">
        <v>26</v>
      </c>
      <c r="M414" s="7" t="s">
        <v>49</v>
      </c>
      <c r="N414" s="7" t="s">
        <v>28</v>
      </c>
      <c r="O414" s="7" t="s">
        <v>37</v>
      </c>
      <c r="P414" s="6">
        <v>11</v>
      </c>
      <c r="Q414" s="11">
        <v>3.5</v>
      </c>
      <c r="R414" s="7" t="b">
        <v>0</v>
      </c>
      <c r="S414" s="7" t="s">
        <v>30</v>
      </c>
      <c r="T414" s="6">
        <v>318</v>
      </c>
      <c r="U414" s="7" t="s">
        <v>76</v>
      </c>
      <c r="V414" s="12" t="s">
        <v>79</v>
      </c>
      <c r="W414" s="7" t="s">
        <v>60</v>
      </c>
      <c r="X414" s="6">
        <f t="shared" si="27"/>
        <v>596</v>
      </c>
      <c r="Y414" t="str" cm="1">
        <f t="array" ref="Y414">_xlfn.IFS(E414=7.99,"BASIC",E414=11.99,"STANDARD",E414=15.99,"PREMIUM")</f>
        <v>BASIC</v>
      </c>
      <c r="Z414" s="4">
        <f t="shared" si="25"/>
        <v>3.3590604026845639</v>
      </c>
      <c r="AA414" s="3" t="str" cm="1">
        <f t="array" ref="AA414">_xlfn.IFS(
(F414/(X414/7)) &lt; 5, "Casual",
AND((F414/(X414/7)) &gt;= 5, (F414/(X414/7)) &lt; 15), "Regular",
(F414/(X414/7)) &gt;= 15, "Power"
)</f>
        <v>Casual</v>
      </c>
      <c r="AB414" s="3">
        <f t="shared" si="28"/>
        <v>0.32911392405063289</v>
      </c>
      <c r="AC414" t="str">
        <f t="shared" si="26"/>
        <v>Viewers</v>
      </c>
    </row>
    <row r="415" spans="1:29" x14ac:dyDescent="0.3">
      <c r="A415" s="6">
        <v>5321</v>
      </c>
      <c r="B415" s="7" t="s">
        <v>304</v>
      </c>
      <c r="C415" s="10">
        <v>45290</v>
      </c>
      <c r="D415" s="10">
        <v>45636</v>
      </c>
      <c r="E415" s="13">
        <v>7.99</v>
      </c>
      <c r="F415" s="6">
        <v>20</v>
      </c>
      <c r="G415" s="7" t="s">
        <v>100</v>
      </c>
      <c r="H415" s="6">
        <v>5</v>
      </c>
      <c r="I415" s="6">
        <v>2</v>
      </c>
      <c r="J415" s="7" t="b">
        <v>0</v>
      </c>
      <c r="K415" s="6">
        <v>895</v>
      </c>
      <c r="L415" s="6">
        <v>40</v>
      </c>
      <c r="M415" s="7" t="s">
        <v>43</v>
      </c>
      <c r="N415" s="7" t="s">
        <v>75</v>
      </c>
      <c r="O415" s="7" t="s">
        <v>64</v>
      </c>
      <c r="P415" s="6">
        <v>97</v>
      </c>
      <c r="Q415" s="11">
        <v>3.8</v>
      </c>
      <c r="R415" s="7" t="b">
        <v>0</v>
      </c>
      <c r="S415" s="7" t="s">
        <v>30</v>
      </c>
      <c r="T415" s="6">
        <v>4216</v>
      </c>
      <c r="U415" s="7" t="s">
        <v>38</v>
      </c>
      <c r="V415" s="12" t="s">
        <v>79</v>
      </c>
      <c r="W415" s="7" t="s">
        <v>93</v>
      </c>
      <c r="X415" s="6">
        <f t="shared" si="27"/>
        <v>346</v>
      </c>
      <c r="Y415" t="str" cm="1">
        <f t="array" ref="Y415">_xlfn.IFS(E415=7.99,"BASIC",E415=11.99,"STANDARD",E415=15.99,"PREMIUM")</f>
        <v>BASIC</v>
      </c>
      <c r="Z415" s="4">
        <f t="shared" si="25"/>
        <v>0.40462427745664736</v>
      </c>
      <c r="AA415" s="3" t="str" cm="1">
        <f t="array" ref="AA415">_xlfn.IFS(
(F415/(X415/7)) &lt; 5, "Casual",
AND((F415/(X415/7)) &gt;= 5, (F415/(X415/7)) &lt; 15), "Regular",
(F415/(X415/7)) &gt;= 15, "Power"
)</f>
        <v>Casual</v>
      </c>
      <c r="AB415" s="3">
        <f t="shared" si="28"/>
        <v>2.1390374331550801E-2</v>
      </c>
      <c r="AC415" t="str">
        <f t="shared" si="26"/>
        <v xml:space="preserve"> Browsers</v>
      </c>
    </row>
    <row r="416" spans="1:29" x14ac:dyDescent="0.3">
      <c r="A416" s="6">
        <v>3926</v>
      </c>
      <c r="B416" s="7" t="s">
        <v>485</v>
      </c>
      <c r="C416" s="10">
        <v>45616</v>
      </c>
      <c r="D416" s="10">
        <v>45621</v>
      </c>
      <c r="E416" s="13">
        <v>7.99</v>
      </c>
      <c r="F416" s="6">
        <v>167</v>
      </c>
      <c r="G416" s="7" t="s">
        <v>100</v>
      </c>
      <c r="H416" s="6">
        <v>3</v>
      </c>
      <c r="I416" s="6">
        <v>1</v>
      </c>
      <c r="J416" s="7" t="b">
        <v>1</v>
      </c>
      <c r="K416" s="6">
        <v>466</v>
      </c>
      <c r="L416" s="6">
        <v>69</v>
      </c>
      <c r="M416" s="7" t="s">
        <v>92</v>
      </c>
      <c r="N416" s="7" t="s">
        <v>75</v>
      </c>
      <c r="O416" s="7" t="s">
        <v>45</v>
      </c>
      <c r="P416" s="6">
        <v>86</v>
      </c>
      <c r="Q416" s="11">
        <v>4.3</v>
      </c>
      <c r="R416" s="7" t="b">
        <v>0</v>
      </c>
      <c r="S416" s="7" t="s">
        <v>30</v>
      </c>
      <c r="T416" s="6">
        <v>3003</v>
      </c>
      <c r="U416" s="7" t="s">
        <v>58</v>
      </c>
      <c r="V416" s="12" t="s">
        <v>32</v>
      </c>
      <c r="W416" s="7" t="s">
        <v>40</v>
      </c>
      <c r="X416" s="6">
        <f t="shared" si="27"/>
        <v>5</v>
      </c>
      <c r="Y416" t="str" cm="1">
        <f t="array" ref="Y416">_xlfn.IFS(E416=7.99,"BASIC",E416=11.99,"STANDARD",E416=15.99,"PREMIUM")</f>
        <v>BASIC</v>
      </c>
      <c r="Z416" s="4">
        <f t="shared" si="25"/>
        <v>233.79999999999998</v>
      </c>
      <c r="AA416" s="3" t="str" cm="1">
        <f t="array" ref="AA416">_xlfn.IFS(
(F416/(X416/7)) &lt; 5, "Casual",
AND((F416/(X416/7)) &gt;= 5, (F416/(X416/7)) &lt; 15), "Regular",
(F416/(X416/7)) &gt;= 15, "Power"
)</f>
        <v>Power</v>
      </c>
      <c r="AB416" s="3">
        <f t="shared" si="28"/>
        <v>0.3121495327102804</v>
      </c>
      <c r="AC416" t="str">
        <f t="shared" si="26"/>
        <v>Viewers</v>
      </c>
    </row>
    <row r="417" spans="1:30" x14ac:dyDescent="0.3">
      <c r="A417" s="6">
        <v>8738</v>
      </c>
      <c r="B417" s="7" t="s">
        <v>140</v>
      </c>
      <c r="C417" s="10">
        <v>45556</v>
      </c>
      <c r="D417" s="10">
        <v>45625</v>
      </c>
      <c r="E417" s="13">
        <v>7.99</v>
      </c>
      <c r="F417" s="6">
        <v>427</v>
      </c>
      <c r="G417" s="7" t="s">
        <v>100</v>
      </c>
      <c r="H417" s="6">
        <v>1</v>
      </c>
      <c r="I417" s="6">
        <v>1</v>
      </c>
      <c r="J417" s="7" t="b">
        <v>1</v>
      </c>
      <c r="K417" s="6">
        <v>886</v>
      </c>
      <c r="L417" s="6">
        <v>17</v>
      </c>
      <c r="M417" s="7" t="s">
        <v>49</v>
      </c>
      <c r="N417" s="7" t="s">
        <v>44</v>
      </c>
      <c r="O417" s="7" t="s">
        <v>45</v>
      </c>
      <c r="P417" s="6">
        <v>41</v>
      </c>
      <c r="Q417" s="11">
        <v>4.0999999999999996</v>
      </c>
      <c r="R417" s="7" t="b">
        <v>0</v>
      </c>
      <c r="S417" s="7" t="s">
        <v>30</v>
      </c>
      <c r="T417" s="6">
        <v>342</v>
      </c>
      <c r="U417" s="7" t="s">
        <v>58</v>
      </c>
      <c r="V417" s="12" t="s">
        <v>69</v>
      </c>
      <c r="W417" s="7" t="s">
        <v>93</v>
      </c>
      <c r="X417" s="6">
        <f t="shared" si="27"/>
        <v>69</v>
      </c>
      <c r="Y417" t="str" cm="1">
        <f t="array" ref="Y417">_xlfn.IFS(E417=7.99,"BASIC",E417=11.99,"STANDARD",E417=15.99,"PREMIUM")</f>
        <v>BASIC</v>
      </c>
      <c r="Z417" s="4">
        <f t="shared" si="25"/>
        <v>43.318840579710141</v>
      </c>
      <c r="AA417" s="3" t="str" cm="1">
        <f t="array" ref="AA417">_xlfn.IFS(
(F417/(X417/7)) &lt; 5, "Casual",
AND((F417/(X417/7)) &gt;= 5, (F417/(X417/7)) &lt; 15), "Regular",
(F417/(X417/7)) &gt;= 15, "Power"
)</f>
        <v>Power</v>
      </c>
      <c r="AB417" s="3">
        <f t="shared" si="28"/>
        <v>0.47286821705426357</v>
      </c>
      <c r="AC417" t="str">
        <f t="shared" si="26"/>
        <v>Viewers</v>
      </c>
    </row>
    <row r="418" spans="1:30" x14ac:dyDescent="0.3">
      <c r="A418" s="6">
        <v>2701</v>
      </c>
      <c r="B418" s="7" t="s">
        <v>355</v>
      </c>
      <c r="C418" s="10">
        <v>45417</v>
      </c>
      <c r="D418" s="10">
        <v>45627</v>
      </c>
      <c r="E418" s="13">
        <v>11.99</v>
      </c>
      <c r="F418" s="6">
        <v>13</v>
      </c>
      <c r="G418" s="7" t="s">
        <v>36</v>
      </c>
      <c r="H418" s="6">
        <v>4</v>
      </c>
      <c r="I418" s="6">
        <v>6</v>
      </c>
      <c r="J418" s="7" t="b">
        <v>1</v>
      </c>
      <c r="K418" s="6">
        <v>537</v>
      </c>
      <c r="L418" s="6">
        <v>121</v>
      </c>
      <c r="M418" s="7" t="s">
        <v>68</v>
      </c>
      <c r="N418" s="7" t="s">
        <v>75</v>
      </c>
      <c r="O418" s="7" t="s">
        <v>57</v>
      </c>
      <c r="P418" s="6">
        <v>17</v>
      </c>
      <c r="Q418" s="11">
        <v>3.1</v>
      </c>
      <c r="R418" s="7" t="b">
        <v>1</v>
      </c>
      <c r="S418" s="7" t="s">
        <v>30</v>
      </c>
      <c r="T418" s="6">
        <v>2124</v>
      </c>
      <c r="U418" s="7" t="s">
        <v>38</v>
      </c>
      <c r="V418" s="12" t="s">
        <v>79</v>
      </c>
      <c r="W418" s="7" t="s">
        <v>60</v>
      </c>
      <c r="X418" s="6">
        <f t="shared" si="27"/>
        <v>210</v>
      </c>
      <c r="Y418" t="str" cm="1">
        <f t="array" ref="Y418">_xlfn.IFS(E418=7.99,"BASIC",E418=11.99,"STANDARD",E418=15.99,"PREMIUM")</f>
        <v>STANDARD</v>
      </c>
      <c r="Z418" s="4">
        <f t="shared" si="25"/>
        <v>0.43333333333333335</v>
      </c>
      <c r="AA418" s="3" t="str" cm="1">
        <f t="array" ref="AA418">_xlfn.IFS(
(F418/(X418/7)) &lt; 5, "Casual",
AND((F418/(X418/7)) &gt;= 5, (F418/(X418/7)) &lt; 15), "Regular",
(F418/(X418/7)) &gt;= 15, "Power"
)</f>
        <v>Casual</v>
      </c>
      <c r="AB418" s="3">
        <f t="shared" si="28"/>
        <v>1.9756838905775075E-2</v>
      </c>
      <c r="AC418" t="str">
        <f t="shared" si="26"/>
        <v xml:space="preserve"> Browsers</v>
      </c>
    </row>
    <row r="419" spans="1:30" x14ac:dyDescent="0.3">
      <c r="A419" s="6">
        <v>5339</v>
      </c>
      <c r="B419" s="7" t="s">
        <v>486</v>
      </c>
      <c r="C419" s="10">
        <v>45341</v>
      </c>
      <c r="D419" s="10">
        <v>45640</v>
      </c>
      <c r="E419" s="13">
        <v>15.99</v>
      </c>
      <c r="F419" s="6">
        <v>53</v>
      </c>
      <c r="G419" s="7" t="s">
        <v>26</v>
      </c>
      <c r="H419" s="6">
        <v>5</v>
      </c>
      <c r="I419" s="6">
        <v>5</v>
      </c>
      <c r="J419" s="7" t="b">
        <v>0</v>
      </c>
      <c r="K419" s="6">
        <v>524</v>
      </c>
      <c r="L419" s="6">
        <v>161</v>
      </c>
      <c r="M419" s="7" t="s">
        <v>92</v>
      </c>
      <c r="N419" s="7" t="s">
        <v>75</v>
      </c>
      <c r="O419" s="7" t="s">
        <v>37</v>
      </c>
      <c r="P419" s="6">
        <v>65</v>
      </c>
      <c r="Q419" s="11">
        <v>4.9000000000000004</v>
      </c>
      <c r="R419" s="7" t="b">
        <v>0</v>
      </c>
      <c r="S419" s="7" t="s">
        <v>30</v>
      </c>
      <c r="T419" s="6">
        <v>1016</v>
      </c>
      <c r="U419" s="7" t="s">
        <v>38</v>
      </c>
      <c r="V419" s="12" t="s">
        <v>69</v>
      </c>
      <c r="W419" s="7" t="s">
        <v>93</v>
      </c>
      <c r="X419" s="6">
        <f t="shared" si="27"/>
        <v>299</v>
      </c>
      <c r="Y419" t="str" cm="1">
        <f t="array" ref="Y419">_xlfn.IFS(E419=7.99,"BASIC",E419=11.99,"STANDARD",E419=15.99,"PREMIUM")</f>
        <v>PREMIUM</v>
      </c>
      <c r="Z419" s="4">
        <f t="shared" si="25"/>
        <v>1.2408026755852843</v>
      </c>
      <c r="AA419" s="3" t="str" cm="1">
        <f t="array" ref="AA419">_xlfn.IFS(
(F419/(X419/7)) &lt; 5, "Casual",
AND((F419/(X419/7)) &gt;= 5, (F419/(X419/7)) &lt; 15), "Regular",
(F419/(X419/7)) &gt;= 15, "Power"
)</f>
        <v>Casual</v>
      </c>
      <c r="AB419" s="3">
        <f t="shared" si="28"/>
        <v>7.7372262773722625E-2</v>
      </c>
      <c r="AC419" t="str">
        <f t="shared" si="26"/>
        <v xml:space="preserve"> Browsers</v>
      </c>
    </row>
    <row r="420" spans="1:30" x14ac:dyDescent="0.3">
      <c r="A420" s="6">
        <v>1612</v>
      </c>
      <c r="B420" s="7" t="s">
        <v>488</v>
      </c>
      <c r="C420" s="10">
        <v>45069</v>
      </c>
      <c r="D420" s="10">
        <v>45630</v>
      </c>
      <c r="E420" s="13">
        <v>7.99</v>
      </c>
      <c r="F420" s="6">
        <v>197</v>
      </c>
      <c r="G420" s="7" t="s">
        <v>26</v>
      </c>
      <c r="H420" s="6">
        <v>1</v>
      </c>
      <c r="I420" s="6">
        <v>2</v>
      </c>
      <c r="J420" s="7" t="b">
        <v>1</v>
      </c>
      <c r="K420" s="6">
        <v>409</v>
      </c>
      <c r="L420" s="6">
        <v>22</v>
      </c>
      <c r="M420" s="7" t="s">
        <v>55</v>
      </c>
      <c r="N420" s="7" t="s">
        <v>44</v>
      </c>
      <c r="O420" s="7" t="s">
        <v>37</v>
      </c>
      <c r="P420" s="6">
        <v>64</v>
      </c>
      <c r="Q420" s="11">
        <v>4.3</v>
      </c>
      <c r="R420" s="7" t="b">
        <v>1</v>
      </c>
      <c r="S420" s="7" t="s">
        <v>30</v>
      </c>
      <c r="T420" s="6">
        <v>1925</v>
      </c>
      <c r="U420" s="7" t="s">
        <v>76</v>
      </c>
      <c r="V420" s="12" t="s">
        <v>32</v>
      </c>
      <c r="W420" s="7" t="s">
        <v>60</v>
      </c>
      <c r="X420" s="6">
        <f t="shared" si="27"/>
        <v>561</v>
      </c>
      <c r="Y420" t="str" cm="1">
        <f t="array" ref="Y420">_xlfn.IFS(E420=7.99,"BASIC",E420=11.99,"STANDARD",E420=15.99,"PREMIUM")</f>
        <v>BASIC</v>
      </c>
      <c r="Z420" s="4">
        <f t="shared" si="25"/>
        <v>2.4581105169340463</v>
      </c>
      <c r="AA420" s="3" t="str" cm="1">
        <f t="array" ref="AA420">_xlfn.IFS(
(F420/(X420/7)) &lt; 5, "Casual",
AND((F420/(X420/7)) &gt;= 5, (F420/(X420/7)) &lt; 15), "Regular",
(F420/(X420/7)) &gt;= 15, "Power"
)</f>
        <v>Casual</v>
      </c>
      <c r="AB420" s="3">
        <f t="shared" si="28"/>
        <v>0.45707656612529002</v>
      </c>
      <c r="AC420" t="str">
        <f t="shared" si="26"/>
        <v>Viewers</v>
      </c>
    </row>
    <row r="421" spans="1:30" x14ac:dyDescent="0.3">
      <c r="A421" s="6">
        <v>5407</v>
      </c>
      <c r="B421" s="7" t="s">
        <v>101</v>
      </c>
      <c r="C421" s="10">
        <v>45212</v>
      </c>
      <c r="D421" s="10">
        <v>45630</v>
      </c>
      <c r="E421" s="13">
        <v>7.99</v>
      </c>
      <c r="F421" s="6">
        <v>429</v>
      </c>
      <c r="G421" s="7" t="s">
        <v>63</v>
      </c>
      <c r="H421" s="6">
        <v>3</v>
      </c>
      <c r="I421" s="6">
        <v>5</v>
      </c>
      <c r="J421" s="7" t="b">
        <v>0</v>
      </c>
      <c r="K421" s="6">
        <v>988</v>
      </c>
      <c r="L421" s="6">
        <v>115</v>
      </c>
      <c r="M421" s="7" t="s">
        <v>27</v>
      </c>
      <c r="N421" s="7" t="s">
        <v>56</v>
      </c>
      <c r="O421" s="7" t="s">
        <v>57</v>
      </c>
      <c r="P421" s="6">
        <v>19</v>
      </c>
      <c r="Q421" s="11">
        <v>4.3</v>
      </c>
      <c r="R421" s="7" t="b">
        <v>1</v>
      </c>
      <c r="S421" s="7" t="s">
        <v>30</v>
      </c>
      <c r="T421" s="6">
        <v>3773</v>
      </c>
      <c r="U421" s="7" t="s">
        <v>65</v>
      </c>
      <c r="V421" s="12" t="s">
        <v>39</v>
      </c>
      <c r="W421" s="7" t="s">
        <v>33</v>
      </c>
      <c r="X421" s="6">
        <f t="shared" si="27"/>
        <v>418</v>
      </c>
      <c r="Y421" t="str" cm="1">
        <f t="array" ref="Y421">_xlfn.IFS(E421=7.99,"BASIC",E421=11.99,"STANDARD",E421=15.99,"PREMIUM")</f>
        <v>BASIC</v>
      </c>
      <c r="Z421" s="4">
        <f t="shared" si="25"/>
        <v>7.1842105263157894</v>
      </c>
      <c r="AA421" s="3" t="str" cm="1">
        <f t="array" ref="AA421">_xlfn.IFS(
(F421/(X421/7)) &lt; 5, "Casual",
AND((F421/(X421/7)) &gt;= 5, (F421/(X421/7)) &lt; 15), "Regular",
(F421/(X421/7)) &gt;= 15, "Power"
)</f>
        <v>Regular</v>
      </c>
      <c r="AB421" s="3">
        <f t="shared" si="28"/>
        <v>0.38893925657298278</v>
      </c>
      <c r="AC421" t="str">
        <f t="shared" si="26"/>
        <v>Viewers</v>
      </c>
    </row>
    <row r="422" spans="1:30" x14ac:dyDescent="0.3">
      <c r="A422" s="6">
        <v>8225</v>
      </c>
      <c r="B422" s="7" t="s">
        <v>380</v>
      </c>
      <c r="C422" s="10">
        <v>45420</v>
      </c>
      <c r="D422" s="10">
        <v>45620</v>
      </c>
      <c r="E422" s="13">
        <v>15.99</v>
      </c>
      <c r="F422" s="6">
        <v>282</v>
      </c>
      <c r="G422" s="7" t="s">
        <v>63</v>
      </c>
      <c r="H422" s="6">
        <v>1</v>
      </c>
      <c r="I422" s="6">
        <v>1</v>
      </c>
      <c r="J422" s="7" t="b">
        <v>1</v>
      </c>
      <c r="K422" s="6">
        <v>386</v>
      </c>
      <c r="L422" s="6">
        <v>177</v>
      </c>
      <c r="M422" s="7" t="s">
        <v>74</v>
      </c>
      <c r="N422" s="7" t="s">
        <v>28</v>
      </c>
      <c r="O422" s="7" t="s">
        <v>57</v>
      </c>
      <c r="P422" s="6">
        <v>17</v>
      </c>
      <c r="Q422" s="11">
        <v>3.4</v>
      </c>
      <c r="R422" s="7" t="b">
        <v>1</v>
      </c>
      <c r="S422" s="7" t="s">
        <v>30</v>
      </c>
      <c r="T422" s="6">
        <v>1231</v>
      </c>
      <c r="U422" s="7" t="s">
        <v>65</v>
      </c>
      <c r="V422" s="12" t="s">
        <v>79</v>
      </c>
      <c r="W422" s="7" t="s">
        <v>93</v>
      </c>
      <c r="X422" s="6">
        <f t="shared" si="27"/>
        <v>200</v>
      </c>
      <c r="Y422" t="str" cm="1">
        <f t="array" ref="Y422">_xlfn.IFS(E422=7.99,"BASIC",E422=11.99,"STANDARD",E422=15.99,"PREMIUM")</f>
        <v>PREMIUM</v>
      </c>
      <c r="Z422" s="4">
        <f t="shared" si="25"/>
        <v>9.8699999999999992</v>
      </c>
      <c r="AA422" s="3" t="str" cm="1">
        <f t="array" ref="AA422">_xlfn.IFS(
(F422/(X422/7)) &lt; 5, "Casual",
AND((F422/(X422/7)) &gt;= 5, (F422/(X422/7)) &lt; 15), "Regular",
(F422/(X422/7)) &gt;= 15, "Power"
)</f>
        <v>Regular</v>
      </c>
      <c r="AB422" s="3">
        <f t="shared" si="28"/>
        <v>0.5008880994671403</v>
      </c>
      <c r="AC422" t="str">
        <f t="shared" si="26"/>
        <v>Viewers</v>
      </c>
    </row>
    <row r="423" spans="1:30" x14ac:dyDescent="0.3">
      <c r="A423" s="6">
        <v>4714</v>
      </c>
      <c r="B423" s="7" t="s">
        <v>489</v>
      </c>
      <c r="C423" s="10">
        <v>45578</v>
      </c>
      <c r="D423" s="10">
        <v>45616</v>
      </c>
      <c r="E423" s="13">
        <v>11.99</v>
      </c>
      <c r="F423" s="6">
        <v>248</v>
      </c>
      <c r="G423" s="7" t="s">
        <v>48</v>
      </c>
      <c r="H423" s="6">
        <v>5</v>
      </c>
      <c r="I423" s="6">
        <v>6</v>
      </c>
      <c r="J423" s="7" t="b">
        <v>0</v>
      </c>
      <c r="K423" s="6">
        <v>996</v>
      </c>
      <c r="L423" s="6">
        <v>24</v>
      </c>
      <c r="M423" s="7" t="s">
        <v>68</v>
      </c>
      <c r="N423" s="7" t="s">
        <v>44</v>
      </c>
      <c r="O423" s="7" t="s">
        <v>37</v>
      </c>
      <c r="P423" s="6">
        <v>53</v>
      </c>
      <c r="Q423" s="11">
        <v>3.3</v>
      </c>
      <c r="R423" s="7" t="b">
        <v>1</v>
      </c>
      <c r="S423" s="7" t="s">
        <v>30</v>
      </c>
      <c r="T423" s="6">
        <v>62</v>
      </c>
      <c r="U423" s="7" t="s">
        <v>38</v>
      </c>
      <c r="V423" s="12" t="s">
        <v>39</v>
      </c>
      <c r="W423" s="7" t="s">
        <v>40</v>
      </c>
      <c r="X423" s="6">
        <f t="shared" si="27"/>
        <v>38</v>
      </c>
      <c r="Y423" t="str" cm="1">
        <f t="array" ref="Y423">_xlfn.IFS(E423=7.99,"BASIC",E423=11.99,"STANDARD",E423=15.99,"PREMIUM")</f>
        <v>STANDARD</v>
      </c>
      <c r="Z423" s="4">
        <f t="shared" si="25"/>
        <v>45.684210526315788</v>
      </c>
      <c r="AA423" s="3" t="str" cm="1">
        <f t="array" ref="AA423">_xlfn.IFS(
(F423/(X423/7)) &lt; 5, "Casual",
AND((F423/(X423/7)) &gt;= 5, (F423/(X423/7)) &lt; 15), "Regular",
(F423/(X423/7)) &gt;= 15, "Power"
)</f>
        <v>Power</v>
      </c>
      <c r="AB423" s="3">
        <f t="shared" si="28"/>
        <v>0.24313725490196078</v>
      </c>
      <c r="AC423" t="str">
        <f t="shared" si="26"/>
        <v>Viewers</v>
      </c>
    </row>
    <row r="424" spans="1:30" x14ac:dyDescent="0.3">
      <c r="A424" s="6">
        <v>3826</v>
      </c>
      <c r="B424" s="7" t="s">
        <v>357</v>
      </c>
      <c r="C424" s="10">
        <v>45567</v>
      </c>
      <c r="D424" s="10">
        <v>45642</v>
      </c>
      <c r="E424" s="13">
        <v>11.99</v>
      </c>
      <c r="F424" s="6">
        <v>406</v>
      </c>
      <c r="G424" s="7" t="s">
        <v>51</v>
      </c>
      <c r="H424" s="6">
        <v>3</v>
      </c>
      <c r="I424" s="6">
        <v>3</v>
      </c>
      <c r="J424" s="7" t="b">
        <v>0</v>
      </c>
      <c r="K424" s="6">
        <v>369</v>
      </c>
      <c r="L424" s="6">
        <v>13</v>
      </c>
      <c r="M424" s="7" t="s">
        <v>27</v>
      </c>
      <c r="N424" s="7" t="s">
        <v>75</v>
      </c>
      <c r="O424" s="7" t="s">
        <v>45</v>
      </c>
      <c r="P424" s="6">
        <v>82</v>
      </c>
      <c r="Q424" s="11">
        <v>4.7</v>
      </c>
      <c r="R424" s="7" t="b">
        <v>0</v>
      </c>
      <c r="S424" s="7" t="s">
        <v>30</v>
      </c>
      <c r="T424" s="6">
        <v>1580</v>
      </c>
      <c r="U424" s="7" t="s">
        <v>76</v>
      </c>
      <c r="V424" s="12" t="s">
        <v>79</v>
      </c>
      <c r="W424" s="7" t="s">
        <v>33</v>
      </c>
      <c r="X424" s="6">
        <f t="shared" si="27"/>
        <v>75</v>
      </c>
      <c r="Y424" t="str" cm="1">
        <f t="array" ref="Y424">_xlfn.IFS(E424=7.99,"BASIC",E424=11.99,"STANDARD",E424=15.99,"PREMIUM")</f>
        <v>STANDARD</v>
      </c>
      <c r="Z424" s="4">
        <f t="shared" si="25"/>
        <v>37.893333333333338</v>
      </c>
      <c r="AA424" s="3" t="str" cm="1">
        <f t="array" ref="AA424">_xlfn.IFS(
(F424/(X424/7)) &lt; 5, "Casual",
AND((F424/(X424/7)) &gt;= 5, (F424/(X424/7)) &lt; 15), "Regular",
(F424/(X424/7)) &gt;= 15, "Power"
)</f>
        <v>Power</v>
      </c>
      <c r="AB424" s="3">
        <f t="shared" si="28"/>
        <v>1.0628272251308901</v>
      </c>
      <c r="AC424" t="str">
        <f t="shared" si="26"/>
        <v>Viewers</v>
      </c>
    </row>
    <row r="425" spans="1:30" x14ac:dyDescent="0.3">
      <c r="A425" s="6">
        <v>3781</v>
      </c>
      <c r="B425" s="7" t="s">
        <v>491</v>
      </c>
      <c r="C425" s="10">
        <f>_xlfn.XLOOKUP(A425,'Data Anomalies -Pls Read It'!A:A,'Data Anomalies -Pls Read It'!D:D,1,0)</f>
        <v>45625</v>
      </c>
      <c r="D425" s="10">
        <f>_xlfn.XLOOKUP(A425,'Data Anomalies -Pls Read It'!A:A,'Data Anomalies -Pls Read It'!C:C,1,0)</f>
        <v>45643</v>
      </c>
      <c r="E425" s="13">
        <v>15.99</v>
      </c>
      <c r="F425" s="6">
        <v>249</v>
      </c>
      <c r="G425" s="7" t="s">
        <v>100</v>
      </c>
      <c r="H425" s="6">
        <v>1</v>
      </c>
      <c r="I425" s="6">
        <v>4</v>
      </c>
      <c r="J425" s="7" t="b">
        <v>1</v>
      </c>
      <c r="K425" s="6">
        <v>713</v>
      </c>
      <c r="L425" s="6">
        <v>125</v>
      </c>
      <c r="M425" s="7" t="s">
        <v>49</v>
      </c>
      <c r="N425" s="7" t="s">
        <v>28</v>
      </c>
      <c r="O425" s="7" t="s">
        <v>37</v>
      </c>
      <c r="P425" s="6">
        <v>95</v>
      </c>
      <c r="Q425" s="11">
        <v>4.8</v>
      </c>
      <c r="R425" s="7" t="b">
        <v>0</v>
      </c>
      <c r="S425" s="7" t="s">
        <v>30</v>
      </c>
      <c r="T425" s="6">
        <v>74</v>
      </c>
      <c r="U425" s="7" t="s">
        <v>65</v>
      </c>
      <c r="V425" s="12" t="s">
        <v>59</v>
      </c>
      <c r="W425" s="7" t="s">
        <v>60</v>
      </c>
      <c r="X425" s="6">
        <f t="shared" si="27"/>
        <v>18</v>
      </c>
      <c r="Y425" t="str" cm="1">
        <f t="array" ref="Y425">_xlfn.IFS(E425=7.99,"BASIC",E425=11.99,"STANDARD",E425=15.99,"PREMIUM")</f>
        <v>PREMIUM</v>
      </c>
      <c r="Z425" s="4">
        <f t="shared" si="25"/>
        <v>96.833333333333329</v>
      </c>
      <c r="AA425" s="3" t="str" cm="1">
        <f t="array" ref="AA425">_xlfn.IFS(
(F425/(X425/7)) &lt; 5, "Casual",
AND((F425/(X425/7)) &gt;= 5, (F425/(X425/7)) &lt; 15), "Regular",
(F425/(X425/7)) &gt;= 15, "Power"
)</f>
        <v>Power</v>
      </c>
      <c r="AB425" s="3">
        <f t="shared" si="28"/>
        <v>0.29713603818615753</v>
      </c>
      <c r="AC425" t="str">
        <f t="shared" si="26"/>
        <v>Viewers</v>
      </c>
      <c r="AD425" t="s">
        <v>779</v>
      </c>
    </row>
    <row r="426" spans="1:30" x14ac:dyDescent="0.3">
      <c r="A426" s="6">
        <v>5635</v>
      </c>
      <c r="B426" s="7" t="s">
        <v>492</v>
      </c>
      <c r="C426" s="10">
        <v>45217</v>
      </c>
      <c r="D426" s="10">
        <v>45620</v>
      </c>
      <c r="E426" s="13">
        <v>7.99</v>
      </c>
      <c r="F426" s="6">
        <v>12</v>
      </c>
      <c r="G426" s="7" t="s">
        <v>63</v>
      </c>
      <c r="H426" s="6">
        <v>2</v>
      </c>
      <c r="I426" s="6">
        <v>4</v>
      </c>
      <c r="J426" s="7" t="b">
        <v>0</v>
      </c>
      <c r="K426" s="6">
        <v>928</v>
      </c>
      <c r="L426" s="6">
        <v>147</v>
      </c>
      <c r="M426" s="7" t="s">
        <v>68</v>
      </c>
      <c r="N426" s="7" t="s">
        <v>44</v>
      </c>
      <c r="O426" s="7" t="s">
        <v>64</v>
      </c>
      <c r="P426" s="6">
        <v>92</v>
      </c>
      <c r="Q426" s="11">
        <v>4.7</v>
      </c>
      <c r="R426" s="7" t="b">
        <v>0</v>
      </c>
      <c r="S426" s="7" t="s">
        <v>30</v>
      </c>
      <c r="T426" s="6">
        <v>3452</v>
      </c>
      <c r="U426" s="7" t="s">
        <v>76</v>
      </c>
      <c r="V426" s="12" t="s">
        <v>39</v>
      </c>
      <c r="W426" s="7" t="s">
        <v>33</v>
      </c>
      <c r="X426" s="6">
        <f t="shared" si="27"/>
        <v>403</v>
      </c>
      <c r="Y426" t="str" cm="1">
        <f t="array" ref="Y426">_xlfn.IFS(E426=7.99,"BASIC",E426=11.99,"STANDARD",E426=15.99,"PREMIUM")</f>
        <v>BASIC</v>
      </c>
      <c r="Z426" s="4">
        <f t="shared" si="25"/>
        <v>0.20843672456575682</v>
      </c>
      <c r="AA426" s="3" t="str" cm="1">
        <f t="array" ref="AA426">_xlfn.IFS(
(F426/(X426/7)) &lt; 5, "Casual",
AND((F426/(X426/7)) &gt;= 5, (F426/(X426/7)) &lt; 15), "Regular",
(F426/(X426/7)) &gt;= 15, "Power"
)</f>
        <v>Casual</v>
      </c>
      <c r="AB426" s="3">
        <f t="shared" si="28"/>
        <v>1.1162790697674419E-2</v>
      </c>
      <c r="AC426" t="str">
        <f t="shared" si="26"/>
        <v xml:space="preserve"> Browsers</v>
      </c>
    </row>
    <row r="427" spans="1:30" x14ac:dyDescent="0.3">
      <c r="A427" s="6">
        <v>2291</v>
      </c>
      <c r="B427" s="7" t="s">
        <v>197</v>
      </c>
      <c r="C427" s="10">
        <v>45028</v>
      </c>
      <c r="D427" s="10">
        <v>45627</v>
      </c>
      <c r="E427" s="13">
        <v>7.99</v>
      </c>
      <c r="F427" s="6">
        <v>57</v>
      </c>
      <c r="G427" s="7" t="s">
        <v>26</v>
      </c>
      <c r="H427" s="6">
        <v>2</v>
      </c>
      <c r="I427" s="6">
        <v>6</v>
      </c>
      <c r="J427" s="7" t="b">
        <v>1</v>
      </c>
      <c r="K427" s="6">
        <v>869</v>
      </c>
      <c r="L427" s="6">
        <v>107</v>
      </c>
      <c r="M427" s="7" t="s">
        <v>68</v>
      </c>
      <c r="N427" s="7" t="s">
        <v>56</v>
      </c>
      <c r="O427" s="7" t="s">
        <v>57</v>
      </c>
      <c r="P427" s="6">
        <v>67</v>
      </c>
      <c r="Q427" s="11">
        <v>4.3</v>
      </c>
      <c r="R427" s="7" t="b">
        <v>0</v>
      </c>
      <c r="S427" s="7" t="s">
        <v>30</v>
      </c>
      <c r="T427" s="6">
        <v>4792</v>
      </c>
      <c r="U427" s="7" t="s">
        <v>38</v>
      </c>
      <c r="V427" s="12" t="s">
        <v>59</v>
      </c>
      <c r="W427" s="7" t="s">
        <v>93</v>
      </c>
      <c r="X427" s="6">
        <f t="shared" si="27"/>
        <v>599</v>
      </c>
      <c r="Y427" t="str" cm="1">
        <f t="array" ref="Y427">_xlfn.IFS(E427=7.99,"BASIC",E427=11.99,"STANDARD",E427=15.99,"PREMIUM")</f>
        <v>BASIC</v>
      </c>
      <c r="Z427" s="4">
        <f t="shared" si="25"/>
        <v>0.666110183639399</v>
      </c>
      <c r="AA427" s="3" t="str" cm="1">
        <f t="array" ref="AA427">_xlfn.IFS(
(F427/(X427/7)) &lt; 5, "Casual",
AND((F427/(X427/7)) &gt;= 5, (F427/(X427/7)) &lt; 15), "Regular",
(F427/(X427/7)) &gt;= 15, "Power"
)</f>
        <v>Casual</v>
      </c>
      <c r="AB427" s="3">
        <f t="shared" si="28"/>
        <v>5.8401639344262297E-2</v>
      </c>
      <c r="AC427" t="str">
        <f t="shared" si="26"/>
        <v xml:space="preserve"> Browsers</v>
      </c>
    </row>
    <row r="428" spans="1:30" x14ac:dyDescent="0.3">
      <c r="A428" s="6">
        <v>3119</v>
      </c>
      <c r="B428" s="7" t="s">
        <v>450</v>
      </c>
      <c r="C428" s="10">
        <v>45553</v>
      </c>
      <c r="D428" s="10">
        <v>45639</v>
      </c>
      <c r="E428" s="13">
        <v>7.99</v>
      </c>
      <c r="F428" s="6">
        <v>247</v>
      </c>
      <c r="G428" s="7" t="s">
        <v>100</v>
      </c>
      <c r="H428" s="6">
        <v>5</v>
      </c>
      <c r="I428" s="6">
        <v>6</v>
      </c>
      <c r="J428" s="7" t="b">
        <v>1</v>
      </c>
      <c r="K428" s="6">
        <v>563</v>
      </c>
      <c r="L428" s="6">
        <v>185</v>
      </c>
      <c r="M428" s="7" t="s">
        <v>68</v>
      </c>
      <c r="N428" s="7" t="s">
        <v>44</v>
      </c>
      <c r="O428" s="7" t="s">
        <v>45</v>
      </c>
      <c r="P428" s="6">
        <v>3</v>
      </c>
      <c r="Q428" s="11">
        <v>4.8</v>
      </c>
      <c r="R428" s="7" t="b">
        <v>0</v>
      </c>
      <c r="S428" s="7" t="s">
        <v>30</v>
      </c>
      <c r="T428" s="6">
        <v>4378</v>
      </c>
      <c r="U428" s="7" t="s">
        <v>58</v>
      </c>
      <c r="V428" s="12" t="s">
        <v>69</v>
      </c>
      <c r="W428" s="7" t="s">
        <v>40</v>
      </c>
      <c r="X428" s="6">
        <f t="shared" si="27"/>
        <v>86</v>
      </c>
      <c r="Y428" t="str" cm="1">
        <f t="array" ref="Y428">_xlfn.IFS(E428=7.99,"BASIC",E428=11.99,"STANDARD",E428=15.99,"PREMIUM")</f>
        <v>BASIC</v>
      </c>
      <c r="Z428" s="4">
        <f t="shared" si="25"/>
        <v>20.104651162790695</v>
      </c>
      <c r="AA428" s="3" t="str" cm="1">
        <f t="array" ref="AA428">_xlfn.IFS(
(F428/(X428/7)) &lt; 5, "Casual",
AND((F428/(X428/7)) &gt;= 5, (F428/(X428/7)) &lt; 15), "Regular",
(F428/(X428/7)) &gt;= 15, "Power"
)</f>
        <v>Power</v>
      </c>
      <c r="AB428" s="3">
        <f t="shared" si="28"/>
        <v>0.3302139037433155</v>
      </c>
      <c r="AC428" t="str">
        <f t="shared" si="26"/>
        <v>Viewers</v>
      </c>
    </row>
    <row r="429" spans="1:30" x14ac:dyDescent="0.3">
      <c r="A429" s="6">
        <v>5280</v>
      </c>
      <c r="B429" s="7" t="s">
        <v>494</v>
      </c>
      <c r="C429" s="10">
        <v>45010</v>
      </c>
      <c r="D429" s="10">
        <v>45625</v>
      </c>
      <c r="E429" s="13">
        <v>7.99</v>
      </c>
      <c r="F429" s="6">
        <v>25</v>
      </c>
      <c r="G429" s="7" t="s">
        <v>63</v>
      </c>
      <c r="H429" s="6">
        <v>5</v>
      </c>
      <c r="I429" s="6">
        <v>2</v>
      </c>
      <c r="J429" s="7" t="b">
        <v>1</v>
      </c>
      <c r="K429" s="6">
        <v>429</v>
      </c>
      <c r="L429" s="6">
        <v>138</v>
      </c>
      <c r="M429" s="7" t="s">
        <v>68</v>
      </c>
      <c r="N429" s="7" t="s">
        <v>56</v>
      </c>
      <c r="O429" s="7" t="s">
        <v>64</v>
      </c>
      <c r="P429" s="6">
        <v>40</v>
      </c>
      <c r="Q429" s="11">
        <v>3.5</v>
      </c>
      <c r="R429" s="7" t="b">
        <v>0</v>
      </c>
      <c r="S429" s="7" t="s">
        <v>30</v>
      </c>
      <c r="T429" s="6">
        <v>1713</v>
      </c>
      <c r="U429" s="7" t="s">
        <v>31</v>
      </c>
      <c r="V429" s="12" t="s">
        <v>79</v>
      </c>
      <c r="W429" s="7" t="s">
        <v>33</v>
      </c>
      <c r="X429" s="6">
        <f t="shared" si="27"/>
        <v>615</v>
      </c>
      <c r="Y429" t="str" cm="1">
        <f t="array" ref="Y429">_xlfn.IFS(E429=7.99,"BASIC",E429=11.99,"STANDARD",E429=15.99,"PREMIUM")</f>
        <v>BASIC</v>
      </c>
      <c r="Z429" s="4">
        <f t="shared" si="25"/>
        <v>0.28455284552845528</v>
      </c>
      <c r="AA429" s="3" t="str" cm="1">
        <f t="array" ref="AA429">_xlfn.IFS(
(F429/(X429/7)) &lt; 5, "Casual",
AND((F429/(X429/7)) &gt;= 5, (F429/(X429/7)) &lt; 15), "Regular",
(F429/(X429/7)) &gt;= 15, "Power"
)</f>
        <v>Casual</v>
      </c>
      <c r="AB429" s="3">
        <f t="shared" si="28"/>
        <v>4.4091710758377423E-2</v>
      </c>
      <c r="AC429" t="str">
        <f t="shared" si="26"/>
        <v xml:space="preserve"> Browsers</v>
      </c>
    </row>
    <row r="430" spans="1:30" x14ac:dyDescent="0.3">
      <c r="A430" s="6">
        <v>2546</v>
      </c>
      <c r="B430" s="7" t="s">
        <v>495</v>
      </c>
      <c r="C430" s="10">
        <v>45063</v>
      </c>
      <c r="D430" s="10">
        <v>45629</v>
      </c>
      <c r="E430" s="13">
        <v>15.99</v>
      </c>
      <c r="F430" s="6">
        <v>425</v>
      </c>
      <c r="G430" s="7" t="s">
        <v>73</v>
      </c>
      <c r="H430" s="6">
        <v>3</v>
      </c>
      <c r="I430" s="6">
        <v>6</v>
      </c>
      <c r="J430" s="7" t="b">
        <v>0</v>
      </c>
      <c r="K430" s="6">
        <v>236</v>
      </c>
      <c r="L430" s="6">
        <v>37</v>
      </c>
      <c r="M430" s="7" t="s">
        <v>68</v>
      </c>
      <c r="N430" s="7" t="s">
        <v>44</v>
      </c>
      <c r="O430" s="7" t="s">
        <v>64</v>
      </c>
      <c r="P430" s="6">
        <v>49</v>
      </c>
      <c r="Q430" s="11">
        <v>4</v>
      </c>
      <c r="R430" s="7" t="b">
        <v>0</v>
      </c>
      <c r="S430" s="7" t="s">
        <v>30</v>
      </c>
      <c r="T430" s="6">
        <v>1201</v>
      </c>
      <c r="U430" s="7" t="s">
        <v>31</v>
      </c>
      <c r="V430" s="12" t="s">
        <v>39</v>
      </c>
      <c r="W430" s="7" t="s">
        <v>40</v>
      </c>
      <c r="X430" s="6">
        <f t="shared" si="27"/>
        <v>566</v>
      </c>
      <c r="Y430" t="str" cm="1">
        <f t="array" ref="Y430">_xlfn.IFS(E430=7.99,"BASIC",E430=11.99,"STANDARD",E430=15.99,"PREMIUM")</f>
        <v>PREMIUM</v>
      </c>
      <c r="Z430" s="4">
        <f t="shared" si="25"/>
        <v>5.2561837455830389</v>
      </c>
      <c r="AA430" s="3" t="str" cm="1">
        <f t="array" ref="AA430">_xlfn.IFS(
(F430/(X430/7)) &lt; 5, "Casual",
AND((F430/(X430/7)) &gt;= 5, (F430/(X430/7)) &lt; 15), "Regular",
(F430/(X430/7)) &gt;= 15, "Power"
)</f>
        <v>Regular</v>
      </c>
      <c r="AB430" s="3">
        <f t="shared" si="28"/>
        <v>1.5567765567765568</v>
      </c>
      <c r="AC430" t="str">
        <f t="shared" si="26"/>
        <v>Viewers</v>
      </c>
    </row>
    <row r="431" spans="1:30" x14ac:dyDescent="0.3">
      <c r="A431" s="6">
        <v>5975</v>
      </c>
      <c r="B431" s="7" t="s">
        <v>143</v>
      </c>
      <c r="C431" s="10">
        <v>45193</v>
      </c>
      <c r="D431" s="10">
        <v>45643</v>
      </c>
      <c r="E431" s="13">
        <v>7.99</v>
      </c>
      <c r="F431" s="6">
        <v>315</v>
      </c>
      <c r="G431" s="7" t="s">
        <v>51</v>
      </c>
      <c r="H431" s="6">
        <v>2</v>
      </c>
      <c r="I431" s="6">
        <v>5</v>
      </c>
      <c r="J431" s="7" t="b">
        <v>1</v>
      </c>
      <c r="K431" s="6">
        <v>889</v>
      </c>
      <c r="L431" s="6">
        <v>80</v>
      </c>
      <c r="M431" s="7" t="s">
        <v>74</v>
      </c>
      <c r="N431" s="7" t="s">
        <v>56</v>
      </c>
      <c r="O431" s="7" t="s">
        <v>37</v>
      </c>
      <c r="P431" s="6">
        <v>52</v>
      </c>
      <c r="Q431" s="11">
        <v>4.4000000000000004</v>
      </c>
      <c r="R431" s="7" t="b">
        <v>1</v>
      </c>
      <c r="S431" s="7" t="s">
        <v>30</v>
      </c>
      <c r="T431" s="6">
        <v>416</v>
      </c>
      <c r="U431" s="7" t="s">
        <v>58</v>
      </c>
      <c r="V431" s="12" t="s">
        <v>79</v>
      </c>
      <c r="W431" s="7" t="s">
        <v>93</v>
      </c>
      <c r="X431" s="6">
        <f t="shared" si="27"/>
        <v>450</v>
      </c>
      <c r="Y431" t="str" cm="1">
        <f t="array" ref="Y431">_xlfn.IFS(E431=7.99,"BASIC",E431=11.99,"STANDARD",E431=15.99,"PREMIUM")</f>
        <v>BASIC</v>
      </c>
      <c r="Z431" s="4">
        <f t="shared" si="25"/>
        <v>4.8999999999999995</v>
      </c>
      <c r="AA431" s="3" t="str" cm="1">
        <f t="array" ref="AA431">_xlfn.IFS(
(F431/(X431/7)) &lt; 5, "Casual",
AND((F431/(X431/7)) &gt;= 5, (F431/(X431/7)) &lt; 15), "Regular",
(F431/(X431/7)) &gt;= 15, "Power"
)</f>
        <v>Casual</v>
      </c>
      <c r="AB431" s="3">
        <f t="shared" si="28"/>
        <v>0.32507739938080493</v>
      </c>
      <c r="AC431" t="str">
        <f t="shared" si="26"/>
        <v>Viewers</v>
      </c>
    </row>
    <row r="432" spans="1:30" x14ac:dyDescent="0.3">
      <c r="A432" s="6">
        <v>9113</v>
      </c>
      <c r="B432" s="7" t="s">
        <v>236</v>
      </c>
      <c r="C432" s="10">
        <v>45548</v>
      </c>
      <c r="D432" s="10">
        <v>45626</v>
      </c>
      <c r="E432" s="13">
        <v>7.99</v>
      </c>
      <c r="F432" s="6">
        <v>466</v>
      </c>
      <c r="G432" s="7" t="s">
        <v>73</v>
      </c>
      <c r="H432" s="6">
        <v>4</v>
      </c>
      <c r="I432" s="6">
        <v>4</v>
      </c>
      <c r="J432" s="7" t="b">
        <v>0</v>
      </c>
      <c r="K432" s="6">
        <v>785</v>
      </c>
      <c r="L432" s="6">
        <v>12</v>
      </c>
      <c r="M432" s="7" t="s">
        <v>49</v>
      </c>
      <c r="N432" s="7" t="s">
        <v>44</v>
      </c>
      <c r="O432" s="7" t="s">
        <v>57</v>
      </c>
      <c r="P432" s="6">
        <v>94</v>
      </c>
      <c r="Q432" s="11">
        <v>4.9000000000000004</v>
      </c>
      <c r="R432" s="7" t="b">
        <v>0</v>
      </c>
      <c r="S432" s="7" t="s">
        <v>30</v>
      </c>
      <c r="T432" s="6">
        <v>17</v>
      </c>
      <c r="U432" s="7" t="s">
        <v>38</v>
      </c>
      <c r="V432" s="12" t="s">
        <v>79</v>
      </c>
      <c r="W432" s="7" t="s">
        <v>40</v>
      </c>
      <c r="X432" s="6">
        <f t="shared" si="27"/>
        <v>78</v>
      </c>
      <c r="Y432" t="str" cm="1">
        <f t="array" ref="Y432">_xlfn.IFS(E432=7.99,"BASIC",E432=11.99,"STANDARD",E432=15.99,"PREMIUM")</f>
        <v>BASIC</v>
      </c>
      <c r="Z432" s="4">
        <f t="shared" si="25"/>
        <v>41.820512820512825</v>
      </c>
      <c r="AA432" s="3" t="str" cm="1">
        <f t="array" ref="AA432">_xlfn.IFS(
(F432/(X432/7)) &lt; 5, "Casual",
AND((F432/(X432/7)) &gt;= 5, (F432/(X432/7)) &lt; 15), "Regular",
(F432/(X432/7)) &gt;= 15, "Power"
)</f>
        <v>Power</v>
      </c>
      <c r="AB432" s="3">
        <f t="shared" si="28"/>
        <v>0.58469259723964873</v>
      </c>
      <c r="AC432" t="str">
        <f t="shared" si="26"/>
        <v>Viewers</v>
      </c>
    </row>
    <row r="433" spans="1:29" x14ac:dyDescent="0.3">
      <c r="A433" s="6">
        <v>6250</v>
      </c>
      <c r="B433" s="7" t="s">
        <v>498</v>
      </c>
      <c r="C433" s="10">
        <v>45481</v>
      </c>
      <c r="D433" s="10">
        <v>45618</v>
      </c>
      <c r="E433" s="13">
        <v>15.99</v>
      </c>
      <c r="F433" s="6">
        <v>207</v>
      </c>
      <c r="G433" s="7" t="s">
        <v>48</v>
      </c>
      <c r="H433" s="6">
        <v>3</v>
      </c>
      <c r="I433" s="6">
        <v>6</v>
      </c>
      <c r="J433" s="7" t="b">
        <v>0</v>
      </c>
      <c r="K433" s="6">
        <v>909</v>
      </c>
      <c r="L433" s="6">
        <v>164</v>
      </c>
      <c r="M433" s="7" t="s">
        <v>43</v>
      </c>
      <c r="N433" s="7" t="s">
        <v>56</v>
      </c>
      <c r="O433" s="7" t="s">
        <v>29</v>
      </c>
      <c r="P433" s="6">
        <v>75</v>
      </c>
      <c r="Q433" s="11">
        <v>4.2</v>
      </c>
      <c r="R433" s="7" t="b">
        <v>1</v>
      </c>
      <c r="S433" s="7" t="s">
        <v>30</v>
      </c>
      <c r="T433" s="6">
        <v>4820</v>
      </c>
      <c r="U433" s="7" t="s">
        <v>65</v>
      </c>
      <c r="V433" s="12" t="s">
        <v>69</v>
      </c>
      <c r="W433" s="7" t="s">
        <v>93</v>
      </c>
      <c r="X433" s="6">
        <f t="shared" si="27"/>
        <v>137</v>
      </c>
      <c r="Y433" t="str" cm="1">
        <f t="array" ref="Y433">_xlfn.IFS(E433=7.99,"BASIC",E433=11.99,"STANDARD",E433=15.99,"PREMIUM")</f>
        <v>PREMIUM</v>
      </c>
      <c r="Z433" s="4">
        <f t="shared" si="25"/>
        <v>10.576642335766422</v>
      </c>
      <c r="AA433" s="3" t="str" cm="1">
        <f t="array" ref="AA433">_xlfn.IFS(
(F433/(X433/7)) &lt; 5, "Casual",
AND((F433/(X433/7)) &gt;= 5, (F433/(X433/7)) &lt; 15), "Regular",
(F433/(X433/7)) &gt;= 15, "Power"
)</f>
        <v>Regular</v>
      </c>
      <c r="AB433" s="3">
        <f t="shared" si="28"/>
        <v>0.19291705498602049</v>
      </c>
      <c r="AC433" t="str">
        <f t="shared" si="26"/>
        <v>Viewers</v>
      </c>
    </row>
    <row r="434" spans="1:29" x14ac:dyDescent="0.3">
      <c r="A434" s="6">
        <v>6190</v>
      </c>
      <c r="B434" s="7" t="s">
        <v>499</v>
      </c>
      <c r="C434" s="10">
        <v>45613</v>
      </c>
      <c r="D434" s="10">
        <v>45634</v>
      </c>
      <c r="E434" s="13">
        <v>7.99</v>
      </c>
      <c r="F434" s="6">
        <v>248</v>
      </c>
      <c r="G434" s="7" t="s">
        <v>36</v>
      </c>
      <c r="H434" s="6">
        <v>5</v>
      </c>
      <c r="I434" s="6">
        <v>2</v>
      </c>
      <c r="J434" s="7" t="b">
        <v>0</v>
      </c>
      <c r="K434" s="6">
        <v>142</v>
      </c>
      <c r="L434" s="6">
        <v>22</v>
      </c>
      <c r="M434" s="7" t="s">
        <v>27</v>
      </c>
      <c r="N434" s="7" t="s">
        <v>44</v>
      </c>
      <c r="O434" s="7" t="s">
        <v>45</v>
      </c>
      <c r="P434" s="6">
        <v>94</v>
      </c>
      <c r="Q434" s="11">
        <v>4.2</v>
      </c>
      <c r="R434" s="7" t="b">
        <v>0</v>
      </c>
      <c r="S434" s="7" t="s">
        <v>30</v>
      </c>
      <c r="T434" s="6">
        <v>1758</v>
      </c>
      <c r="U434" s="7" t="s">
        <v>76</v>
      </c>
      <c r="V434" s="12" t="s">
        <v>79</v>
      </c>
      <c r="W434" s="7" t="s">
        <v>33</v>
      </c>
      <c r="X434" s="6">
        <f t="shared" si="27"/>
        <v>21</v>
      </c>
      <c r="Y434" t="str" cm="1">
        <f t="array" ref="Y434">_xlfn.IFS(E434=7.99,"BASIC",E434=11.99,"STANDARD",E434=15.99,"PREMIUM")</f>
        <v>BASIC</v>
      </c>
      <c r="Z434" s="4">
        <f t="shared" si="25"/>
        <v>82.666666666666671</v>
      </c>
      <c r="AA434" s="3" t="str" cm="1">
        <f t="array" ref="AA434">_xlfn.IFS(
(F434/(X434/7)) &lt; 5, "Casual",
AND((F434/(X434/7)) &gt;= 5, (F434/(X434/7)) &lt; 15), "Regular",
(F434/(X434/7)) &gt;= 15, "Power"
)</f>
        <v>Power</v>
      </c>
      <c r="AB434" s="3">
        <f t="shared" si="28"/>
        <v>1.5121951219512195</v>
      </c>
      <c r="AC434" t="str">
        <f t="shared" si="26"/>
        <v>Viewers</v>
      </c>
    </row>
    <row r="435" spans="1:29" x14ac:dyDescent="0.3">
      <c r="A435" s="6">
        <v>5713</v>
      </c>
      <c r="B435" s="7" t="s">
        <v>500</v>
      </c>
      <c r="C435" s="10">
        <v>45399</v>
      </c>
      <c r="D435" s="10">
        <v>45620</v>
      </c>
      <c r="E435" s="13">
        <v>7.99</v>
      </c>
      <c r="F435" s="6">
        <v>278</v>
      </c>
      <c r="G435" s="7" t="s">
        <v>36</v>
      </c>
      <c r="H435" s="6">
        <v>5</v>
      </c>
      <c r="I435" s="6">
        <v>1</v>
      </c>
      <c r="J435" s="7" t="b">
        <v>0</v>
      </c>
      <c r="K435" s="6">
        <v>743</v>
      </c>
      <c r="L435" s="6">
        <v>180</v>
      </c>
      <c r="M435" s="7" t="s">
        <v>27</v>
      </c>
      <c r="N435" s="7" t="s">
        <v>75</v>
      </c>
      <c r="O435" s="7" t="s">
        <v>29</v>
      </c>
      <c r="P435" s="6">
        <v>0</v>
      </c>
      <c r="Q435" s="11">
        <v>4.3</v>
      </c>
      <c r="R435" s="7" t="b">
        <v>1</v>
      </c>
      <c r="S435" s="7" t="s">
        <v>30</v>
      </c>
      <c r="T435" s="6">
        <v>2568</v>
      </c>
      <c r="U435" s="7" t="s">
        <v>38</v>
      </c>
      <c r="V435" s="12" t="s">
        <v>69</v>
      </c>
      <c r="W435" s="7" t="s">
        <v>60</v>
      </c>
      <c r="X435" s="6">
        <f t="shared" si="27"/>
        <v>221</v>
      </c>
      <c r="Y435" t="str" cm="1">
        <f t="array" ref="Y435">_xlfn.IFS(E435=7.99,"BASIC",E435=11.99,"STANDARD",E435=15.99,"PREMIUM")</f>
        <v>BASIC</v>
      </c>
      <c r="Z435" s="4">
        <f t="shared" si="25"/>
        <v>8.8054298642533926</v>
      </c>
      <c r="AA435" s="3" t="str" cm="1">
        <f t="array" ref="AA435">_xlfn.IFS(
(F435/(X435/7)) &lt; 5, "Casual",
AND((F435/(X435/7)) &gt;= 5, (F435/(X435/7)) &lt; 15), "Regular",
(F435/(X435/7)) &gt;= 15, "Power"
)</f>
        <v>Regular</v>
      </c>
      <c r="AB435" s="3">
        <f t="shared" si="28"/>
        <v>0.30119176598049835</v>
      </c>
      <c r="AC435" t="str">
        <f t="shared" si="26"/>
        <v>Viewers</v>
      </c>
    </row>
    <row r="436" spans="1:29" x14ac:dyDescent="0.3">
      <c r="A436" s="6">
        <v>1932</v>
      </c>
      <c r="B436" s="7" t="s">
        <v>169</v>
      </c>
      <c r="C436" s="10">
        <v>45312</v>
      </c>
      <c r="D436" s="10">
        <v>45643</v>
      </c>
      <c r="E436" s="13">
        <v>7.99</v>
      </c>
      <c r="F436" s="6">
        <v>315</v>
      </c>
      <c r="G436" s="7" t="s">
        <v>51</v>
      </c>
      <c r="H436" s="6">
        <v>1</v>
      </c>
      <c r="I436" s="6">
        <v>2</v>
      </c>
      <c r="J436" s="7" t="b">
        <v>0</v>
      </c>
      <c r="K436" s="6">
        <v>40</v>
      </c>
      <c r="L436" s="6">
        <v>188</v>
      </c>
      <c r="M436" s="7" t="s">
        <v>92</v>
      </c>
      <c r="N436" s="7" t="s">
        <v>44</v>
      </c>
      <c r="O436" s="7" t="s">
        <v>78</v>
      </c>
      <c r="P436" s="6">
        <v>86</v>
      </c>
      <c r="Q436" s="11">
        <v>3.7</v>
      </c>
      <c r="R436" s="7" t="b">
        <v>1</v>
      </c>
      <c r="S436" s="7" t="s">
        <v>30</v>
      </c>
      <c r="T436" s="6">
        <v>4235</v>
      </c>
      <c r="U436" s="7" t="s">
        <v>31</v>
      </c>
      <c r="V436" s="12" t="s">
        <v>69</v>
      </c>
      <c r="W436" s="7" t="s">
        <v>33</v>
      </c>
      <c r="X436" s="6">
        <f t="shared" si="27"/>
        <v>331</v>
      </c>
      <c r="Y436" t="str" cm="1">
        <f t="array" ref="Y436">_xlfn.IFS(E436=7.99,"BASIC",E436=11.99,"STANDARD",E436=15.99,"PREMIUM")</f>
        <v>BASIC</v>
      </c>
      <c r="Z436" s="4">
        <f t="shared" si="25"/>
        <v>6.6616314199395772</v>
      </c>
      <c r="AA436" s="3" t="str" cm="1">
        <f t="array" ref="AA436">_xlfn.IFS(
(F436/(X436/7)) &lt; 5, "Casual",
AND((F436/(X436/7)) &gt;= 5, (F436/(X436/7)) &lt; 15), "Regular",
(F436/(X436/7)) &gt;= 15, "Power"
)</f>
        <v>Regular</v>
      </c>
      <c r="AB436" s="3">
        <f t="shared" si="28"/>
        <v>1.381578947368421</v>
      </c>
      <c r="AC436" t="str">
        <f t="shared" si="26"/>
        <v>Viewers</v>
      </c>
    </row>
    <row r="437" spans="1:29" x14ac:dyDescent="0.3">
      <c r="A437" s="6">
        <v>6527</v>
      </c>
      <c r="B437" s="7" t="s">
        <v>502</v>
      </c>
      <c r="C437" s="10">
        <v>45071</v>
      </c>
      <c r="D437" s="10">
        <v>45619</v>
      </c>
      <c r="E437" s="13">
        <v>7.99</v>
      </c>
      <c r="F437" s="6">
        <v>190</v>
      </c>
      <c r="G437" s="7" t="s">
        <v>100</v>
      </c>
      <c r="H437" s="6">
        <v>4</v>
      </c>
      <c r="I437" s="6">
        <v>1</v>
      </c>
      <c r="J437" s="7" t="b">
        <v>1</v>
      </c>
      <c r="K437" s="6">
        <v>400</v>
      </c>
      <c r="L437" s="6">
        <v>151</v>
      </c>
      <c r="M437" s="7" t="s">
        <v>68</v>
      </c>
      <c r="N437" s="7" t="s">
        <v>28</v>
      </c>
      <c r="O437" s="7" t="s">
        <v>37</v>
      </c>
      <c r="P437" s="6">
        <v>52</v>
      </c>
      <c r="Q437" s="11">
        <v>4.3</v>
      </c>
      <c r="R437" s="7" t="b">
        <v>0</v>
      </c>
      <c r="S437" s="7" t="s">
        <v>30</v>
      </c>
      <c r="T437" s="6">
        <v>3775</v>
      </c>
      <c r="U437" s="7" t="s">
        <v>38</v>
      </c>
      <c r="V437" s="12" t="s">
        <v>79</v>
      </c>
      <c r="W437" s="7" t="s">
        <v>33</v>
      </c>
      <c r="X437" s="6">
        <f t="shared" si="27"/>
        <v>548</v>
      </c>
      <c r="Y437" t="str" cm="1">
        <f t="array" ref="Y437">_xlfn.IFS(E437=7.99,"BASIC",E437=11.99,"STANDARD",E437=15.99,"PREMIUM")</f>
        <v>BASIC</v>
      </c>
      <c r="Z437" s="4">
        <f t="shared" si="25"/>
        <v>2.4270072992700729</v>
      </c>
      <c r="AA437" s="3" t="str" cm="1">
        <f t="array" ref="AA437">_xlfn.IFS(
(F437/(X437/7)) &lt; 5, "Casual",
AND((F437/(X437/7)) &gt;= 5, (F437/(X437/7)) &lt; 15), "Regular",
(F437/(X437/7)) &gt;= 15, "Power"
)</f>
        <v>Casual</v>
      </c>
      <c r="AB437" s="3">
        <f t="shared" si="28"/>
        <v>0.34482758620689657</v>
      </c>
      <c r="AC437" t="str">
        <f t="shared" si="26"/>
        <v>Viewers</v>
      </c>
    </row>
    <row r="438" spans="1:29" x14ac:dyDescent="0.3">
      <c r="A438" s="6">
        <v>9363</v>
      </c>
      <c r="B438" s="7" t="s">
        <v>140</v>
      </c>
      <c r="C438" s="10">
        <v>45570</v>
      </c>
      <c r="D438" s="10">
        <v>45619</v>
      </c>
      <c r="E438" s="13">
        <v>11.99</v>
      </c>
      <c r="F438" s="6">
        <v>190</v>
      </c>
      <c r="G438" s="7" t="s">
        <v>63</v>
      </c>
      <c r="H438" s="6">
        <v>2</v>
      </c>
      <c r="I438" s="6">
        <v>1</v>
      </c>
      <c r="J438" s="7" t="b">
        <v>0</v>
      </c>
      <c r="K438" s="6">
        <v>359</v>
      </c>
      <c r="L438" s="6">
        <v>192</v>
      </c>
      <c r="M438" s="7" t="s">
        <v>74</v>
      </c>
      <c r="N438" s="7" t="s">
        <v>28</v>
      </c>
      <c r="O438" s="7" t="s">
        <v>64</v>
      </c>
      <c r="P438" s="6">
        <v>38</v>
      </c>
      <c r="Q438" s="11">
        <v>4.4000000000000004</v>
      </c>
      <c r="R438" s="7" t="b">
        <v>1</v>
      </c>
      <c r="S438" s="7" t="s">
        <v>30</v>
      </c>
      <c r="T438" s="6">
        <v>92</v>
      </c>
      <c r="U438" s="7" t="s">
        <v>31</v>
      </c>
      <c r="V438" s="12" t="s">
        <v>69</v>
      </c>
      <c r="W438" s="7" t="s">
        <v>93</v>
      </c>
      <c r="X438" s="6">
        <f t="shared" si="27"/>
        <v>49</v>
      </c>
      <c r="Y438" t="str" cm="1">
        <f t="array" ref="Y438">_xlfn.IFS(E438=7.99,"BASIC",E438=11.99,"STANDARD",E438=15.99,"PREMIUM")</f>
        <v>STANDARD</v>
      </c>
      <c r="Z438" s="4">
        <f t="shared" si="25"/>
        <v>27.142857142857142</v>
      </c>
      <c r="AA438" s="3" t="str" cm="1">
        <f t="array" ref="AA438">_xlfn.IFS(
(F438/(X438/7)) &lt; 5, "Casual",
AND((F438/(X438/7)) &gt;= 5, (F438/(X438/7)) &lt; 15), "Regular",
(F438/(X438/7)) &gt;= 15, "Power"
)</f>
        <v>Power</v>
      </c>
      <c r="AB438" s="3">
        <f t="shared" si="28"/>
        <v>0.34482758620689657</v>
      </c>
      <c r="AC438" t="str">
        <f t="shared" si="26"/>
        <v>Viewers</v>
      </c>
    </row>
    <row r="439" spans="1:29" x14ac:dyDescent="0.3">
      <c r="A439" s="6">
        <v>5019</v>
      </c>
      <c r="B439" s="7" t="s">
        <v>147</v>
      </c>
      <c r="C439" s="10">
        <v>45567</v>
      </c>
      <c r="D439" s="10">
        <v>45638</v>
      </c>
      <c r="E439" s="13">
        <v>15.99</v>
      </c>
      <c r="F439" s="6">
        <v>408</v>
      </c>
      <c r="G439" s="7" t="s">
        <v>51</v>
      </c>
      <c r="H439" s="6">
        <v>4</v>
      </c>
      <c r="I439" s="6">
        <v>3</v>
      </c>
      <c r="J439" s="7" t="b">
        <v>0</v>
      </c>
      <c r="K439" s="6">
        <v>711</v>
      </c>
      <c r="L439" s="6">
        <v>23</v>
      </c>
      <c r="M439" s="7" t="s">
        <v>74</v>
      </c>
      <c r="N439" s="7" t="s">
        <v>56</v>
      </c>
      <c r="O439" s="7" t="s">
        <v>78</v>
      </c>
      <c r="P439" s="6">
        <v>65</v>
      </c>
      <c r="Q439" s="11">
        <v>3.6</v>
      </c>
      <c r="R439" s="7" t="b">
        <v>1</v>
      </c>
      <c r="S439" s="7" t="s">
        <v>30</v>
      </c>
      <c r="T439" s="6">
        <v>72</v>
      </c>
      <c r="U439" s="7" t="s">
        <v>65</v>
      </c>
      <c r="V439" s="12" t="s">
        <v>39</v>
      </c>
      <c r="W439" s="7" t="s">
        <v>40</v>
      </c>
      <c r="X439" s="6">
        <f t="shared" si="27"/>
        <v>71</v>
      </c>
      <c r="Y439" t="str" cm="1">
        <f t="array" ref="Y439">_xlfn.IFS(E439=7.99,"BASIC",E439=11.99,"STANDARD",E439=15.99,"PREMIUM")</f>
        <v>PREMIUM</v>
      </c>
      <c r="Z439" s="4">
        <f t="shared" si="25"/>
        <v>40.225352112676056</v>
      </c>
      <c r="AA439" s="3" t="str" cm="1">
        <f t="array" ref="AA439">_xlfn.IFS(
(F439/(X439/7)) &lt; 5, "Casual",
AND((F439/(X439/7)) &gt;= 5, (F439/(X439/7)) &lt; 15), "Regular",
(F439/(X439/7)) &gt;= 15, "Power"
)</f>
        <v>Power</v>
      </c>
      <c r="AB439" s="3">
        <f t="shared" si="28"/>
        <v>0.55585831062670299</v>
      </c>
      <c r="AC439" t="str">
        <f t="shared" si="26"/>
        <v>Viewers</v>
      </c>
    </row>
    <row r="440" spans="1:29" x14ac:dyDescent="0.3">
      <c r="A440" s="6">
        <v>9258</v>
      </c>
      <c r="B440" s="7" t="s">
        <v>504</v>
      </c>
      <c r="C440" s="10">
        <v>45348</v>
      </c>
      <c r="D440" s="10">
        <v>45632</v>
      </c>
      <c r="E440" s="13">
        <v>15.99</v>
      </c>
      <c r="F440" s="6">
        <v>227</v>
      </c>
      <c r="G440" s="7" t="s">
        <v>51</v>
      </c>
      <c r="H440" s="6">
        <v>2</v>
      </c>
      <c r="I440" s="6">
        <v>1</v>
      </c>
      <c r="J440" s="7" t="b">
        <v>0</v>
      </c>
      <c r="K440" s="6">
        <v>581</v>
      </c>
      <c r="L440" s="6">
        <v>146</v>
      </c>
      <c r="M440" s="7" t="s">
        <v>74</v>
      </c>
      <c r="N440" s="7" t="s">
        <v>28</v>
      </c>
      <c r="O440" s="7" t="s">
        <v>57</v>
      </c>
      <c r="P440" s="6">
        <v>37</v>
      </c>
      <c r="Q440" s="11">
        <v>4.4000000000000004</v>
      </c>
      <c r="R440" s="7" t="b">
        <v>0</v>
      </c>
      <c r="S440" s="7" t="s">
        <v>30</v>
      </c>
      <c r="T440" s="6">
        <v>2488</v>
      </c>
      <c r="U440" s="7" t="s">
        <v>31</v>
      </c>
      <c r="V440" s="12" t="s">
        <v>59</v>
      </c>
      <c r="W440" s="7" t="s">
        <v>40</v>
      </c>
      <c r="X440" s="6">
        <f t="shared" si="27"/>
        <v>284</v>
      </c>
      <c r="Y440" t="str" cm="1">
        <f t="array" ref="Y440">_xlfn.IFS(E440=7.99,"BASIC",E440=11.99,"STANDARD",E440=15.99,"PREMIUM")</f>
        <v>PREMIUM</v>
      </c>
      <c r="Z440" s="4">
        <f t="shared" si="25"/>
        <v>5.5950704225352119</v>
      </c>
      <c r="AA440" s="3" t="str" cm="1">
        <f t="array" ref="AA440">_xlfn.IFS(
(F440/(X440/7)) &lt; 5, "Casual",
AND((F440/(X440/7)) &gt;= 5, (F440/(X440/7)) &lt; 15), "Regular",
(F440/(X440/7)) &gt;= 15, "Power"
)</f>
        <v>Regular</v>
      </c>
      <c r="AB440" s="3">
        <f t="shared" si="28"/>
        <v>0.31224209078404402</v>
      </c>
      <c r="AC440" t="str">
        <f t="shared" si="26"/>
        <v>Viewers</v>
      </c>
    </row>
    <row r="441" spans="1:29" x14ac:dyDescent="0.3">
      <c r="A441" s="6">
        <v>7512</v>
      </c>
      <c r="B441" s="7" t="s">
        <v>505</v>
      </c>
      <c r="C441" s="10">
        <v>45273</v>
      </c>
      <c r="D441" s="10">
        <v>45620</v>
      </c>
      <c r="E441" s="13">
        <v>11.99</v>
      </c>
      <c r="F441" s="6">
        <v>479</v>
      </c>
      <c r="G441" s="7" t="s">
        <v>73</v>
      </c>
      <c r="H441" s="6">
        <v>2</v>
      </c>
      <c r="I441" s="6">
        <v>4</v>
      </c>
      <c r="J441" s="7" t="b">
        <v>1</v>
      </c>
      <c r="K441" s="6">
        <v>923</v>
      </c>
      <c r="L441" s="6">
        <v>182</v>
      </c>
      <c r="M441" s="7" t="s">
        <v>55</v>
      </c>
      <c r="N441" s="7" t="s">
        <v>44</v>
      </c>
      <c r="O441" s="7" t="s">
        <v>29</v>
      </c>
      <c r="P441" s="6">
        <v>14</v>
      </c>
      <c r="Q441" s="11">
        <v>4.9000000000000004</v>
      </c>
      <c r="R441" s="7" t="b">
        <v>1</v>
      </c>
      <c r="S441" s="7" t="s">
        <v>30</v>
      </c>
      <c r="T441" s="6">
        <v>2666</v>
      </c>
      <c r="U441" s="7" t="s">
        <v>65</v>
      </c>
      <c r="V441" s="12" t="s">
        <v>79</v>
      </c>
      <c r="W441" s="7" t="s">
        <v>93</v>
      </c>
      <c r="X441" s="6">
        <f t="shared" si="27"/>
        <v>347</v>
      </c>
      <c r="Y441" t="str" cm="1">
        <f t="array" ref="Y441">_xlfn.IFS(E441=7.99,"BASIC",E441=11.99,"STANDARD",E441=15.99,"PREMIUM")</f>
        <v>STANDARD</v>
      </c>
      <c r="Z441" s="4">
        <f t="shared" si="25"/>
        <v>9.662824207492795</v>
      </c>
      <c r="AA441" s="3" t="str" cm="1">
        <f t="array" ref="AA441">_xlfn.IFS(
(F441/(X441/7)) &lt; 5, "Casual",
AND((F441/(X441/7)) &gt;= 5, (F441/(X441/7)) &lt; 15), "Regular",
(F441/(X441/7)) &gt;= 15, "Power"
)</f>
        <v>Regular</v>
      </c>
      <c r="AB441" s="3">
        <f t="shared" si="28"/>
        <v>0.43348416289592762</v>
      </c>
      <c r="AC441" t="str">
        <f t="shared" si="26"/>
        <v>Viewers</v>
      </c>
    </row>
    <row r="442" spans="1:29" x14ac:dyDescent="0.3">
      <c r="A442" s="6">
        <v>8195</v>
      </c>
      <c r="B442" s="7" t="s">
        <v>507</v>
      </c>
      <c r="C442" s="10">
        <v>45033</v>
      </c>
      <c r="D442" s="10">
        <v>45616</v>
      </c>
      <c r="E442" s="13">
        <v>11.99</v>
      </c>
      <c r="F442" s="6">
        <v>415</v>
      </c>
      <c r="G442" s="7" t="s">
        <v>36</v>
      </c>
      <c r="H442" s="6">
        <v>3</v>
      </c>
      <c r="I442" s="6">
        <v>1</v>
      </c>
      <c r="J442" s="7" t="b">
        <v>0</v>
      </c>
      <c r="K442" s="6">
        <v>381</v>
      </c>
      <c r="L442" s="6">
        <v>78</v>
      </c>
      <c r="M442" s="7" t="s">
        <v>74</v>
      </c>
      <c r="N442" s="7" t="s">
        <v>44</v>
      </c>
      <c r="O442" s="7" t="s">
        <v>45</v>
      </c>
      <c r="P442" s="6">
        <v>84</v>
      </c>
      <c r="Q442" s="11">
        <v>4.4000000000000004</v>
      </c>
      <c r="R442" s="7" t="b">
        <v>1</v>
      </c>
      <c r="S442" s="7" t="s">
        <v>30</v>
      </c>
      <c r="T442" s="6">
        <v>4221</v>
      </c>
      <c r="U442" s="7" t="s">
        <v>76</v>
      </c>
      <c r="V442" s="12" t="s">
        <v>79</v>
      </c>
      <c r="W442" s="7" t="s">
        <v>60</v>
      </c>
      <c r="X442" s="6">
        <f t="shared" si="27"/>
        <v>583</v>
      </c>
      <c r="Y442" t="str" cm="1">
        <f t="array" ref="Y442">_xlfn.IFS(E442=7.99,"BASIC",E442=11.99,"STANDARD",E442=15.99,"PREMIUM")</f>
        <v>STANDARD</v>
      </c>
      <c r="Z442" s="4">
        <f t="shared" si="25"/>
        <v>4.9828473413379069</v>
      </c>
      <c r="AA442" s="3" t="str" cm="1">
        <f t="array" ref="AA442">_xlfn.IFS(
(F442/(X442/7)) &lt; 5, "Casual",
AND((F442/(X442/7)) &gt;= 5, (F442/(X442/7)) &lt; 15), "Regular",
(F442/(X442/7)) &gt;= 15, "Power"
)</f>
        <v>Casual</v>
      </c>
      <c r="AB442" s="3">
        <f t="shared" si="28"/>
        <v>0.9041394335511983</v>
      </c>
      <c r="AC442" t="str">
        <f t="shared" si="26"/>
        <v>Viewers</v>
      </c>
    </row>
    <row r="443" spans="1:29" x14ac:dyDescent="0.3">
      <c r="A443" s="6">
        <v>8242</v>
      </c>
      <c r="B443" s="7" t="s">
        <v>257</v>
      </c>
      <c r="C443" s="10">
        <v>44914</v>
      </c>
      <c r="D443" s="10">
        <v>45630</v>
      </c>
      <c r="E443" s="13">
        <v>11.99</v>
      </c>
      <c r="F443" s="6">
        <v>204</v>
      </c>
      <c r="G443" s="7" t="s">
        <v>100</v>
      </c>
      <c r="H443" s="6">
        <v>4</v>
      </c>
      <c r="I443" s="6">
        <v>4</v>
      </c>
      <c r="J443" s="7" t="b">
        <v>1</v>
      </c>
      <c r="K443" s="6">
        <v>706</v>
      </c>
      <c r="L443" s="6">
        <v>153</v>
      </c>
      <c r="M443" s="7" t="s">
        <v>43</v>
      </c>
      <c r="N443" s="7" t="s">
        <v>28</v>
      </c>
      <c r="O443" s="7" t="s">
        <v>29</v>
      </c>
      <c r="P443" s="6">
        <v>94</v>
      </c>
      <c r="Q443" s="11">
        <v>3.7</v>
      </c>
      <c r="R443" s="7" t="b">
        <v>1</v>
      </c>
      <c r="S443" s="7" t="s">
        <v>30</v>
      </c>
      <c r="T443" s="6">
        <v>4569</v>
      </c>
      <c r="U443" s="7" t="s">
        <v>31</v>
      </c>
      <c r="V443" s="12" t="s">
        <v>79</v>
      </c>
      <c r="W443" s="7" t="s">
        <v>33</v>
      </c>
      <c r="X443" s="6">
        <f t="shared" si="27"/>
        <v>716</v>
      </c>
      <c r="Y443" t="str" cm="1">
        <f t="array" ref="Y443">_xlfn.IFS(E443=7.99,"BASIC",E443=11.99,"STANDARD",E443=15.99,"PREMIUM")</f>
        <v>STANDARD</v>
      </c>
      <c r="Z443" s="4">
        <f t="shared" si="25"/>
        <v>1.994413407821229</v>
      </c>
      <c r="AA443" s="3" t="str" cm="1">
        <f t="array" ref="AA443">_xlfn.IFS(
(F443/(X443/7)) &lt; 5, "Casual",
AND((F443/(X443/7)) &gt;= 5, (F443/(X443/7)) &lt; 15), "Regular",
(F443/(X443/7)) &gt;= 15, "Power"
)</f>
        <v>Casual</v>
      </c>
      <c r="AB443" s="3">
        <f t="shared" si="28"/>
        <v>0.23748544819557627</v>
      </c>
      <c r="AC443" t="str">
        <f t="shared" si="26"/>
        <v>Viewers</v>
      </c>
    </row>
    <row r="444" spans="1:29" x14ac:dyDescent="0.3">
      <c r="A444" s="6">
        <v>2220</v>
      </c>
      <c r="B444" s="7" t="s">
        <v>448</v>
      </c>
      <c r="C444" s="10">
        <v>45220</v>
      </c>
      <c r="D444" s="10">
        <v>45624</v>
      </c>
      <c r="E444" s="13">
        <v>15.99</v>
      </c>
      <c r="F444" s="6">
        <v>205</v>
      </c>
      <c r="G444" s="7" t="s">
        <v>73</v>
      </c>
      <c r="H444" s="6">
        <v>3</v>
      </c>
      <c r="I444" s="6">
        <v>1</v>
      </c>
      <c r="J444" s="7" t="b">
        <v>1</v>
      </c>
      <c r="K444" s="6">
        <v>792</v>
      </c>
      <c r="L444" s="6">
        <v>103</v>
      </c>
      <c r="M444" s="7" t="s">
        <v>74</v>
      </c>
      <c r="N444" s="7" t="s">
        <v>28</v>
      </c>
      <c r="O444" s="7" t="s">
        <v>45</v>
      </c>
      <c r="P444" s="6">
        <v>24</v>
      </c>
      <c r="Q444" s="11">
        <v>3.9</v>
      </c>
      <c r="R444" s="7" t="b">
        <v>1</v>
      </c>
      <c r="S444" s="7" t="s">
        <v>30</v>
      </c>
      <c r="T444" s="6">
        <v>2695</v>
      </c>
      <c r="U444" s="7" t="s">
        <v>65</v>
      </c>
      <c r="V444" s="12" t="s">
        <v>79</v>
      </c>
      <c r="W444" s="7" t="s">
        <v>40</v>
      </c>
      <c r="X444" s="6">
        <f t="shared" si="27"/>
        <v>404</v>
      </c>
      <c r="Y444" t="str" cm="1">
        <f t="array" ref="Y444">_xlfn.IFS(E444=7.99,"BASIC",E444=11.99,"STANDARD",E444=15.99,"PREMIUM")</f>
        <v>PREMIUM</v>
      </c>
      <c r="Z444" s="4">
        <f t="shared" si="25"/>
        <v>3.5519801980198018</v>
      </c>
      <c r="AA444" s="3" t="str" cm="1">
        <f t="array" ref="AA444">_xlfn.IFS(
(F444/(X444/7)) &lt; 5, "Casual",
AND((F444/(X444/7)) &gt;= 5, (F444/(X444/7)) &lt; 15), "Regular",
(F444/(X444/7)) &gt;= 15, "Power"
)</f>
        <v>Casual</v>
      </c>
      <c r="AB444" s="3">
        <f t="shared" si="28"/>
        <v>0.22905027932960895</v>
      </c>
      <c r="AC444" t="str">
        <f t="shared" si="26"/>
        <v>Viewers</v>
      </c>
    </row>
    <row r="445" spans="1:29" x14ac:dyDescent="0.3">
      <c r="A445" s="6">
        <v>9308</v>
      </c>
      <c r="B445" s="7" t="s">
        <v>88</v>
      </c>
      <c r="C445" s="10">
        <v>45565</v>
      </c>
      <c r="D445" s="10">
        <v>45621</v>
      </c>
      <c r="E445" s="13">
        <v>11.99</v>
      </c>
      <c r="F445" s="6">
        <v>64</v>
      </c>
      <c r="G445" s="7" t="s">
        <v>51</v>
      </c>
      <c r="H445" s="6">
        <v>2</v>
      </c>
      <c r="I445" s="6">
        <v>3</v>
      </c>
      <c r="J445" s="7" t="b">
        <v>1</v>
      </c>
      <c r="K445" s="6">
        <v>221</v>
      </c>
      <c r="L445" s="6">
        <v>4</v>
      </c>
      <c r="M445" s="7" t="s">
        <v>27</v>
      </c>
      <c r="N445" s="7" t="s">
        <v>28</v>
      </c>
      <c r="O445" s="7" t="s">
        <v>45</v>
      </c>
      <c r="P445" s="6">
        <v>88</v>
      </c>
      <c r="Q445" s="11">
        <v>3.7</v>
      </c>
      <c r="R445" s="7" t="b">
        <v>1</v>
      </c>
      <c r="S445" s="7" t="s">
        <v>30</v>
      </c>
      <c r="T445" s="6">
        <v>48</v>
      </c>
      <c r="U445" s="7" t="s">
        <v>76</v>
      </c>
      <c r="V445" s="12" t="s">
        <v>59</v>
      </c>
      <c r="W445" s="7" t="s">
        <v>93</v>
      </c>
      <c r="X445" s="6">
        <f t="shared" si="27"/>
        <v>56</v>
      </c>
      <c r="Y445" t="str" cm="1">
        <f t="array" ref="Y445">_xlfn.IFS(E445=7.99,"BASIC",E445=11.99,"STANDARD",E445=15.99,"PREMIUM")</f>
        <v>STANDARD</v>
      </c>
      <c r="Z445" s="4">
        <f t="shared" si="25"/>
        <v>8</v>
      </c>
      <c r="AA445" s="3" t="str" cm="1">
        <f t="array" ref="AA445">_xlfn.IFS(
(F445/(X445/7)) &lt; 5, "Casual",
AND((F445/(X445/7)) &gt;= 5, (F445/(X445/7)) &lt; 15), "Regular",
(F445/(X445/7)) &gt;= 15, "Power"
)</f>
        <v>Regular</v>
      </c>
      <c r="AB445" s="3">
        <f t="shared" si="28"/>
        <v>0.28444444444444444</v>
      </c>
      <c r="AC445" t="str">
        <f t="shared" si="26"/>
        <v>Viewers</v>
      </c>
    </row>
    <row r="446" spans="1:29" x14ac:dyDescent="0.3">
      <c r="A446" s="6">
        <v>3437</v>
      </c>
      <c r="B446" s="7" t="s">
        <v>215</v>
      </c>
      <c r="C446" s="10">
        <v>44950</v>
      </c>
      <c r="D446" s="10">
        <v>45631</v>
      </c>
      <c r="E446" s="13">
        <v>7.99</v>
      </c>
      <c r="F446" s="6">
        <v>281</v>
      </c>
      <c r="G446" s="7" t="s">
        <v>48</v>
      </c>
      <c r="H446" s="6">
        <v>2</v>
      </c>
      <c r="I446" s="6">
        <v>4</v>
      </c>
      <c r="J446" s="7" t="b">
        <v>0</v>
      </c>
      <c r="K446" s="6">
        <v>770</v>
      </c>
      <c r="L446" s="6">
        <v>74</v>
      </c>
      <c r="M446" s="7" t="s">
        <v>68</v>
      </c>
      <c r="N446" s="7" t="s">
        <v>44</v>
      </c>
      <c r="O446" s="7" t="s">
        <v>37</v>
      </c>
      <c r="P446" s="6">
        <v>12</v>
      </c>
      <c r="Q446" s="11">
        <v>4</v>
      </c>
      <c r="R446" s="7" t="b">
        <v>0</v>
      </c>
      <c r="S446" s="7" t="s">
        <v>30</v>
      </c>
      <c r="T446" s="6">
        <v>1526</v>
      </c>
      <c r="U446" s="7" t="s">
        <v>65</v>
      </c>
      <c r="V446" s="12" t="s">
        <v>32</v>
      </c>
      <c r="W446" s="7" t="s">
        <v>33</v>
      </c>
      <c r="X446" s="6">
        <f t="shared" si="27"/>
        <v>681</v>
      </c>
      <c r="Y446" t="str" cm="1">
        <f t="array" ref="Y446">_xlfn.IFS(E446=7.99,"BASIC",E446=11.99,"STANDARD",E446=15.99,"PREMIUM")</f>
        <v>BASIC</v>
      </c>
      <c r="Z446" s="4">
        <f t="shared" si="25"/>
        <v>2.8883994126284875</v>
      </c>
      <c r="AA446" s="3" t="str" cm="1">
        <f t="array" ref="AA446">_xlfn.IFS(
(F446/(X446/7)) &lt; 5, "Casual",
AND((F446/(X446/7)) &gt;= 5, (F446/(X446/7)) &lt; 15), "Regular",
(F446/(X446/7)) &gt;= 15, "Power"
)</f>
        <v>Casual</v>
      </c>
      <c r="AB446" s="3">
        <f t="shared" si="28"/>
        <v>0.33293838862559244</v>
      </c>
      <c r="AC446" t="str">
        <f t="shared" si="26"/>
        <v>Viewers</v>
      </c>
    </row>
    <row r="447" spans="1:29" x14ac:dyDescent="0.3">
      <c r="A447" s="6">
        <v>8305</v>
      </c>
      <c r="B447" s="7" t="s">
        <v>140</v>
      </c>
      <c r="C447" s="10">
        <v>44952</v>
      </c>
      <c r="D447" s="10">
        <v>45632</v>
      </c>
      <c r="E447" s="13">
        <v>11.99</v>
      </c>
      <c r="F447" s="6">
        <v>78</v>
      </c>
      <c r="G447" s="7" t="s">
        <v>73</v>
      </c>
      <c r="H447" s="6">
        <v>4</v>
      </c>
      <c r="I447" s="6">
        <v>5</v>
      </c>
      <c r="J447" s="7" t="b">
        <v>0</v>
      </c>
      <c r="K447" s="6">
        <v>914</v>
      </c>
      <c r="L447" s="6">
        <v>22</v>
      </c>
      <c r="M447" s="7" t="s">
        <v>92</v>
      </c>
      <c r="N447" s="7" t="s">
        <v>44</v>
      </c>
      <c r="O447" s="7" t="s">
        <v>37</v>
      </c>
      <c r="P447" s="6">
        <v>14</v>
      </c>
      <c r="Q447" s="11">
        <v>4.5</v>
      </c>
      <c r="R447" s="7" t="b">
        <v>0</v>
      </c>
      <c r="S447" s="7" t="s">
        <v>30</v>
      </c>
      <c r="T447" s="6">
        <v>4934</v>
      </c>
      <c r="U447" s="7" t="s">
        <v>31</v>
      </c>
      <c r="V447" s="12" t="s">
        <v>32</v>
      </c>
      <c r="W447" s="7" t="s">
        <v>33</v>
      </c>
      <c r="X447" s="6">
        <f t="shared" si="27"/>
        <v>680</v>
      </c>
      <c r="Y447" t="str" cm="1">
        <f t="array" ref="Y447">_xlfn.IFS(E447=7.99,"BASIC",E447=11.99,"STANDARD",E447=15.99,"PREMIUM")</f>
        <v>STANDARD</v>
      </c>
      <c r="Z447" s="4">
        <f t="shared" si="25"/>
        <v>0.80294117647058827</v>
      </c>
      <c r="AA447" s="3" t="str" cm="1">
        <f t="array" ref="AA447">_xlfn.IFS(
(F447/(X447/7)) &lt; 5, "Casual",
AND((F447/(X447/7)) &gt;= 5, (F447/(X447/7)) &lt; 15), "Regular",
(F447/(X447/7)) &gt;= 15, "Power"
)</f>
        <v>Casual</v>
      </c>
      <c r="AB447" s="3">
        <f t="shared" si="28"/>
        <v>8.3333333333333329E-2</v>
      </c>
      <c r="AC447" t="str">
        <f t="shared" si="26"/>
        <v xml:space="preserve"> Browsers</v>
      </c>
    </row>
    <row r="448" spans="1:29" x14ac:dyDescent="0.3">
      <c r="A448" s="6">
        <v>6773</v>
      </c>
      <c r="B448" s="7" t="s">
        <v>473</v>
      </c>
      <c r="C448" s="10">
        <v>45328</v>
      </c>
      <c r="D448" s="10">
        <v>45625</v>
      </c>
      <c r="E448" s="13">
        <v>7.99</v>
      </c>
      <c r="F448" s="6">
        <v>343</v>
      </c>
      <c r="G448" s="7" t="s">
        <v>36</v>
      </c>
      <c r="H448" s="6">
        <v>4</v>
      </c>
      <c r="I448" s="6">
        <v>1</v>
      </c>
      <c r="J448" s="7" t="b">
        <v>1</v>
      </c>
      <c r="K448" s="6">
        <v>492</v>
      </c>
      <c r="L448" s="6">
        <v>187</v>
      </c>
      <c r="M448" s="7" t="s">
        <v>27</v>
      </c>
      <c r="N448" s="7" t="s">
        <v>28</v>
      </c>
      <c r="O448" s="7" t="s">
        <v>78</v>
      </c>
      <c r="P448" s="6">
        <v>75</v>
      </c>
      <c r="Q448" s="11">
        <v>4.9000000000000004</v>
      </c>
      <c r="R448" s="7" t="b">
        <v>1</v>
      </c>
      <c r="S448" s="7" t="s">
        <v>30</v>
      </c>
      <c r="T448" s="6">
        <v>628</v>
      </c>
      <c r="U448" s="7" t="s">
        <v>38</v>
      </c>
      <c r="V448" s="12" t="s">
        <v>69</v>
      </c>
      <c r="W448" s="7" t="s">
        <v>33</v>
      </c>
      <c r="X448" s="6">
        <f t="shared" si="27"/>
        <v>297</v>
      </c>
      <c r="Y448" t="str" cm="1">
        <f t="array" ref="Y448">_xlfn.IFS(E448=7.99,"BASIC",E448=11.99,"STANDARD",E448=15.99,"PREMIUM")</f>
        <v>BASIC</v>
      </c>
      <c r="Z448" s="4">
        <f t="shared" si="25"/>
        <v>8.084175084175083</v>
      </c>
      <c r="AA448" s="3" t="str" cm="1">
        <f t="array" ref="AA448">_xlfn.IFS(
(F448/(X448/7)) &lt; 5, "Casual",
AND((F448/(X448/7)) &gt;= 5, (F448/(X448/7)) &lt; 15), "Regular",
(F448/(X448/7)) &gt;= 15, "Power"
)</f>
        <v>Regular</v>
      </c>
      <c r="AB448" s="3">
        <f t="shared" si="28"/>
        <v>0.50515463917525771</v>
      </c>
      <c r="AC448" t="str">
        <f t="shared" si="26"/>
        <v>Viewers</v>
      </c>
    </row>
    <row r="449" spans="1:29" x14ac:dyDescent="0.3">
      <c r="A449" s="6">
        <v>3010</v>
      </c>
      <c r="B449" s="7" t="s">
        <v>280</v>
      </c>
      <c r="C449" s="10">
        <v>45599</v>
      </c>
      <c r="D449" s="10">
        <v>45620</v>
      </c>
      <c r="E449" s="13">
        <v>11.99</v>
      </c>
      <c r="F449" s="6">
        <v>318</v>
      </c>
      <c r="G449" s="7" t="s">
        <v>48</v>
      </c>
      <c r="H449" s="6">
        <v>1</v>
      </c>
      <c r="I449" s="6">
        <v>5</v>
      </c>
      <c r="J449" s="7" t="b">
        <v>0</v>
      </c>
      <c r="K449" s="6">
        <v>925</v>
      </c>
      <c r="L449" s="6">
        <v>191</v>
      </c>
      <c r="M449" s="7" t="s">
        <v>68</v>
      </c>
      <c r="N449" s="7" t="s">
        <v>28</v>
      </c>
      <c r="O449" s="7" t="s">
        <v>45</v>
      </c>
      <c r="P449" s="6">
        <v>38</v>
      </c>
      <c r="Q449" s="11">
        <v>4.5999999999999996</v>
      </c>
      <c r="R449" s="7" t="b">
        <v>1</v>
      </c>
      <c r="S449" s="7" t="s">
        <v>30</v>
      </c>
      <c r="T449" s="6">
        <v>167</v>
      </c>
      <c r="U449" s="7" t="s">
        <v>76</v>
      </c>
      <c r="V449" s="12" t="s">
        <v>39</v>
      </c>
      <c r="W449" s="7" t="s">
        <v>93</v>
      </c>
      <c r="X449" s="6">
        <f t="shared" si="27"/>
        <v>21</v>
      </c>
      <c r="Y449" t="str" cm="1">
        <f t="array" ref="Y449">_xlfn.IFS(E449=7.99,"BASIC",E449=11.99,"STANDARD",E449=15.99,"PREMIUM")</f>
        <v>STANDARD</v>
      </c>
      <c r="Z449" s="4">
        <f t="shared" si="25"/>
        <v>106</v>
      </c>
      <c r="AA449" s="3" t="str" cm="1">
        <f t="array" ref="AA449">_xlfn.IFS(
(F449/(X449/7)) &lt; 5, "Casual",
AND((F449/(X449/7)) &gt;= 5, (F449/(X449/7)) &lt; 15), "Regular",
(F449/(X449/7)) &gt;= 15, "Power"
)</f>
        <v>Power</v>
      </c>
      <c r="AB449" s="3">
        <f t="shared" si="28"/>
        <v>0.28494623655913981</v>
      </c>
      <c r="AC449" t="str">
        <f t="shared" si="26"/>
        <v>Viewers</v>
      </c>
    </row>
    <row r="450" spans="1:29" x14ac:dyDescent="0.3">
      <c r="A450" s="6">
        <v>3622</v>
      </c>
      <c r="B450" s="7" t="s">
        <v>284</v>
      </c>
      <c r="C450" s="10">
        <v>45520</v>
      </c>
      <c r="D450" s="10">
        <v>45635</v>
      </c>
      <c r="E450" s="13">
        <v>7.99</v>
      </c>
      <c r="F450" s="6">
        <v>444</v>
      </c>
      <c r="G450" s="7" t="s">
        <v>36</v>
      </c>
      <c r="H450" s="6">
        <v>3</v>
      </c>
      <c r="I450" s="6">
        <v>5</v>
      </c>
      <c r="J450" s="7" t="b">
        <v>0</v>
      </c>
      <c r="K450" s="6">
        <v>183</v>
      </c>
      <c r="L450" s="6">
        <v>195</v>
      </c>
      <c r="M450" s="7" t="s">
        <v>92</v>
      </c>
      <c r="N450" s="7" t="s">
        <v>75</v>
      </c>
      <c r="O450" s="7" t="s">
        <v>45</v>
      </c>
      <c r="P450" s="6">
        <v>36</v>
      </c>
      <c r="Q450" s="11">
        <v>4.7</v>
      </c>
      <c r="R450" s="7" t="b">
        <v>0</v>
      </c>
      <c r="S450" s="7" t="s">
        <v>30</v>
      </c>
      <c r="T450" s="6">
        <v>1309</v>
      </c>
      <c r="U450" s="7" t="s">
        <v>58</v>
      </c>
      <c r="V450" s="12" t="s">
        <v>39</v>
      </c>
      <c r="W450" s="7" t="s">
        <v>60</v>
      </c>
      <c r="X450" s="6">
        <f t="shared" si="27"/>
        <v>115</v>
      </c>
      <c r="Y450" t="str" cm="1">
        <f t="array" ref="Y450">_xlfn.IFS(E450=7.99,"BASIC",E450=11.99,"STANDARD",E450=15.99,"PREMIUM")</f>
        <v>BASIC</v>
      </c>
      <c r="Z450" s="4">
        <f t="shared" ref="Z450:Z513" si="29">F450/(X450/7)</f>
        <v>27.026086956521741</v>
      </c>
      <c r="AA450" s="3" t="str" cm="1">
        <f t="array" ref="AA450">_xlfn.IFS(
(F450/(X450/7)) &lt; 5, "Casual",
AND((F450/(X450/7)) &gt;= 5, (F450/(X450/7)) &lt; 15), "Regular",
(F450/(X450/7)) &gt;= 15, "Power"
)</f>
        <v>Power</v>
      </c>
      <c r="AB450" s="3">
        <f t="shared" si="28"/>
        <v>1.1746031746031746</v>
      </c>
      <c r="AC450" t="str">
        <f t="shared" ref="AC450:AC513" si="30">IF(F450/(K450+L450) &lt; 0.15," Browsers","Viewers")</f>
        <v>Viewers</v>
      </c>
    </row>
    <row r="451" spans="1:29" x14ac:dyDescent="0.3">
      <c r="A451" s="6">
        <v>6006</v>
      </c>
      <c r="B451" s="7" t="s">
        <v>106</v>
      </c>
      <c r="C451" s="10">
        <v>45542</v>
      </c>
      <c r="D451" s="10">
        <v>45615</v>
      </c>
      <c r="E451" s="13">
        <v>11.99</v>
      </c>
      <c r="F451" s="6">
        <v>171</v>
      </c>
      <c r="G451" s="7" t="s">
        <v>63</v>
      </c>
      <c r="H451" s="6">
        <v>3</v>
      </c>
      <c r="I451" s="6">
        <v>1</v>
      </c>
      <c r="J451" s="7" t="b">
        <v>1</v>
      </c>
      <c r="K451" s="6">
        <v>889</v>
      </c>
      <c r="L451" s="6">
        <v>54</v>
      </c>
      <c r="M451" s="7" t="s">
        <v>92</v>
      </c>
      <c r="N451" s="7" t="s">
        <v>75</v>
      </c>
      <c r="O451" s="7" t="s">
        <v>37</v>
      </c>
      <c r="P451" s="6">
        <v>1</v>
      </c>
      <c r="Q451" s="11">
        <v>3.3</v>
      </c>
      <c r="R451" s="7" t="b">
        <v>1</v>
      </c>
      <c r="S451" s="7" t="s">
        <v>30</v>
      </c>
      <c r="T451" s="6">
        <v>710</v>
      </c>
      <c r="U451" s="7" t="s">
        <v>31</v>
      </c>
      <c r="V451" s="12" t="s">
        <v>69</v>
      </c>
      <c r="W451" s="7" t="s">
        <v>33</v>
      </c>
      <c r="X451" s="6">
        <f t="shared" ref="X451:X514" si="31">D451-C451</f>
        <v>73</v>
      </c>
      <c r="Y451" t="str" cm="1">
        <f t="array" ref="Y451">_xlfn.IFS(E451=7.99,"BASIC",E451=11.99,"STANDARD",E451=15.99,"PREMIUM")</f>
        <v>STANDARD</v>
      </c>
      <c r="Z451" s="4">
        <f t="shared" si="29"/>
        <v>16.397260273972602</v>
      </c>
      <c r="AA451" s="3" t="str" cm="1">
        <f t="array" ref="AA451">_xlfn.IFS(
(F451/(X451/7)) &lt; 5, "Casual",
AND((F451/(X451/7)) &gt;= 5, (F451/(X451/7)) &lt; 15), "Regular",
(F451/(X451/7)) &gt;= 15, "Power"
)</f>
        <v>Power</v>
      </c>
      <c r="AB451" s="3">
        <f t="shared" si="28"/>
        <v>0.18133616118769882</v>
      </c>
      <c r="AC451" t="str">
        <f t="shared" si="30"/>
        <v>Viewers</v>
      </c>
    </row>
    <row r="452" spans="1:29" x14ac:dyDescent="0.3">
      <c r="A452" s="6">
        <v>1338</v>
      </c>
      <c r="B452" s="7" t="s">
        <v>148</v>
      </c>
      <c r="C452" s="10">
        <v>45011</v>
      </c>
      <c r="D452" s="10">
        <v>45628</v>
      </c>
      <c r="E452" s="13">
        <v>15.99</v>
      </c>
      <c r="F452" s="6">
        <v>309</v>
      </c>
      <c r="G452" s="7" t="s">
        <v>100</v>
      </c>
      <c r="H452" s="6">
        <v>5</v>
      </c>
      <c r="I452" s="6">
        <v>4</v>
      </c>
      <c r="J452" s="7" t="b">
        <v>0</v>
      </c>
      <c r="K452" s="6">
        <v>174</v>
      </c>
      <c r="L452" s="6">
        <v>172</v>
      </c>
      <c r="M452" s="7" t="s">
        <v>68</v>
      </c>
      <c r="N452" s="7" t="s">
        <v>75</v>
      </c>
      <c r="O452" s="7" t="s">
        <v>64</v>
      </c>
      <c r="P452" s="6">
        <v>71</v>
      </c>
      <c r="Q452" s="11">
        <v>3.1</v>
      </c>
      <c r="R452" s="7" t="b">
        <v>1</v>
      </c>
      <c r="S452" s="7" t="s">
        <v>30</v>
      </c>
      <c r="T452" s="6">
        <v>106</v>
      </c>
      <c r="U452" s="7" t="s">
        <v>58</v>
      </c>
      <c r="V452" s="12" t="s">
        <v>79</v>
      </c>
      <c r="W452" s="7" t="s">
        <v>60</v>
      </c>
      <c r="X452" s="6">
        <f t="shared" si="31"/>
        <v>617</v>
      </c>
      <c r="Y452" t="str" cm="1">
        <f t="array" ref="Y452">_xlfn.IFS(E452=7.99,"BASIC",E452=11.99,"STANDARD",E452=15.99,"PREMIUM")</f>
        <v>PREMIUM</v>
      </c>
      <c r="Z452" s="4">
        <f t="shared" si="29"/>
        <v>3.5056726094003241</v>
      </c>
      <c r="AA452" s="3" t="str" cm="1">
        <f t="array" ref="AA452">_xlfn.IFS(
(F452/(X452/7)) &lt; 5, "Casual",
AND((F452/(X452/7)) &gt;= 5, (F452/(X452/7)) &lt; 15), "Regular",
(F452/(X452/7)) &gt;= 15, "Power"
)</f>
        <v>Casual</v>
      </c>
      <c r="AB452" s="3">
        <f t="shared" si="28"/>
        <v>0.89306358381502893</v>
      </c>
      <c r="AC452" t="str">
        <f t="shared" si="30"/>
        <v>Viewers</v>
      </c>
    </row>
    <row r="453" spans="1:29" x14ac:dyDescent="0.3">
      <c r="A453" s="6">
        <v>6722</v>
      </c>
      <c r="B453" s="7" t="s">
        <v>138</v>
      </c>
      <c r="C453" s="10">
        <v>45054</v>
      </c>
      <c r="D453" s="10">
        <v>45623</v>
      </c>
      <c r="E453" s="13">
        <v>15.99</v>
      </c>
      <c r="F453" s="6">
        <v>447</v>
      </c>
      <c r="G453" s="7" t="s">
        <v>73</v>
      </c>
      <c r="H453" s="6">
        <v>5</v>
      </c>
      <c r="I453" s="6">
        <v>2</v>
      </c>
      <c r="J453" s="7" t="b">
        <v>0</v>
      </c>
      <c r="K453" s="6">
        <v>709</v>
      </c>
      <c r="L453" s="6">
        <v>93</v>
      </c>
      <c r="M453" s="7" t="s">
        <v>55</v>
      </c>
      <c r="N453" s="7" t="s">
        <v>44</v>
      </c>
      <c r="O453" s="7" t="s">
        <v>37</v>
      </c>
      <c r="P453" s="6">
        <v>35</v>
      </c>
      <c r="Q453" s="11">
        <v>4.8</v>
      </c>
      <c r="R453" s="7" t="b">
        <v>1</v>
      </c>
      <c r="S453" s="7" t="s">
        <v>30</v>
      </c>
      <c r="T453" s="6">
        <v>2652</v>
      </c>
      <c r="U453" s="7" t="s">
        <v>58</v>
      </c>
      <c r="V453" s="12" t="s">
        <v>39</v>
      </c>
      <c r="W453" s="7" t="s">
        <v>40</v>
      </c>
      <c r="X453" s="6">
        <f t="shared" si="31"/>
        <v>569</v>
      </c>
      <c r="Y453" t="str" cm="1">
        <f t="array" ref="Y453">_xlfn.IFS(E453=7.99,"BASIC",E453=11.99,"STANDARD",E453=15.99,"PREMIUM")</f>
        <v>PREMIUM</v>
      </c>
      <c r="Z453" s="4">
        <f t="shared" si="29"/>
        <v>5.4991212653778554</v>
      </c>
      <c r="AA453" s="3" t="str" cm="1">
        <f t="array" ref="AA453">_xlfn.IFS(
(F453/(X453/7)) &lt; 5, "Casual",
AND((F453/(X453/7)) &gt;= 5, (F453/(X453/7)) &lt; 15), "Regular",
(F453/(X453/7)) &gt;= 15, "Power"
)</f>
        <v>Regular</v>
      </c>
      <c r="AB453" s="3">
        <f t="shared" si="28"/>
        <v>0.55735660847880297</v>
      </c>
      <c r="AC453" t="str">
        <f t="shared" si="30"/>
        <v>Viewers</v>
      </c>
    </row>
    <row r="454" spans="1:29" x14ac:dyDescent="0.3">
      <c r="A454" s="6">
        <v>5871</v>
      </c>
      <c r="B454" s="7" t="s">
        <v>508</v>
      </c>
      <c r="C454" s="10">
        <v>45486</v>
      </c>
      <c r="D454" s="10">
        <v>45630</v>
      </c>
      <c r="E454" s="13">
        <v>7.99</v>
      </c>
      <c r="F454" s="6">
        <v>120</v>
      </c>
      <c r="G454" s="7" t="s">
        <v>100</v>
      </c>
      <c r="H454" s="6">
        <v>3</v>
      </c>
      <c r="I454" s="6">
        <v>5</v>
      </c>
      <c r="J454" s="7" t="b">
        <v>1</v>
      </c>
      <c r="K454" s="6">
        <v>783</v>
      </c>
      <c r="L454" s="6">
        <v>81</v>
      </c>
      <c r="M454" s="7" t="s">
        <v>43</v>
      </c>
      <c r="N454" s="7" t="s">
        <v>28</v>
      </c>
      <c r="O454" s="7" t="s">
        <v>45</v>
      </c>
      <c r="P454" s="6">
        <v>52</v>
      </c>
      <c r="Q454" s="11">
        <v>4.3</v>
      </c>
      <c r="R454" s="7" t="b">
        <v>0</v>
      </c>
      <c r="S454" s="7" t="s">
        <v>30</v>
      </c>
      <c r="T454" s="6">
        <v>4879</v>
      </c>
      <c r="U454" s="7" t="s">
        <v>65</v>
      </c>
      <c r="V454" s="12" t="s">
        <v>79</v>
      </c>
      <c r="W454" s="7" t="s">
        <v>93</v>
      </c>
      <c r="X454" s="6">
        <f t="shared" si="31"/>
        <v>144</v>
      </c>
      <c r="Y454" t="str" cm="1">
        <f t="array" ref="Y454">_xlfn.IFS(E454=7.99,"BASIC",E454=11.99,"STANDARD",E454=15.99,"PREMIUM")</f>
        <v>BASIC</v>
      </c>
      <c r="Z454" s="4">
        <f t="shared" si="29"/>
        <v>5.833333333333333</v>
      </c>
      <c r="AA454" s="3" t="str" cm="1">
        <f t="array" ref="AA454">_xlfn.IFS(
(F454/(X454/7)) &lt; 5, "Casual",
AND((F454/(X454/7)) &gt;= 5, (F454/(X454/7)) &lt; 15), "Regular",
(F454/(X454/7)) &gt;= 15, "Power"
)</f>
        <v>Regular</v>
      </c>
      <c r="AB454" s="3">
        <f t="shared" si="28"/>
        <v>0.1388888888888889</v>
      </c>
      <c r="AC454" t="str">
        <f t="shared" si="30"/>
        <v xml:space="preserve"> Browsers</v>
      </c>
    </row>
    <row r="455" spans="1:29" x14ac:dyDescent="0.3">
      <c r="A455" s="6">
        <v>9290</v>
      </c>
      <c r="B455" s="7" t="s">
        <v>510</v>
      </c>
      <c r="C455" s="10">
        <v>45239</v>
      </c>
      <c r="D455" s="10">
        <v>45634</v>
      </c>
      <c r="E455" s="13">
        <v>15.99</v>
      </c>
      <c r="F455" s="6">
        <v>168</v>
      </c>
      <c r="G455" s="7" t="s">
        <v>26</v>
      </c>
      <c r="H455" s="6">
        <v>5</v>
      </c>
      <c r="I455" s="6">
        <v>4</v>
      </c>
      <c r="J455" s="7" t="b">
        <v>1</v>
      </c>
      <c r="K455" s="6">
        <v>304</v>
      </c>
      <c r="L455" s="6">
        <v>196</v>
      </c>
      <c r="M455" s="7" t="s">
        <v>27</v>
      </c>
      <c r="N455" s="7" t="s">
        <v>44</v>
      </c>
      <c r="O455" s="7" t="s">
        <v>57</v>
      </c>
      <c r="P455" s="6">
        <v>44</v>
      </c>
      <c r="Q455" s="11">
        <v>4.0999999999999996</v>
      </c>
      <c r="R455" s="7" t="b">
        <v>0</v>
      </c>
      <c r="S455" s="7" t="s">
        <v>30</v>
      </c>
      <c r="T455" s="6">
        <v>1426</v>
      </c>
      <c r="U455" s="7" t="s">
        <v>58</v>
      </c>
      <c r="V455" s="12" t="s">
        <v>32</v>
      </c>
      <c r="W455" s="7" t="s">
        <v>93</v>
      </c>
      <c r="X455" s="6">
        <f t="shared" si="31"/>
        <v>395</v>
      </c>
      <c r="Y455" t="str" cm="1">
        <f t="array" ref="Y455">_xlfn.IFS(E455=7.99,"BASIC",E455=11.99,"STANDARD",E455=15.99,"PREMIUM")</f>
        <v>PREMIUM</v>
      </c>
      <c r="Z455" s="4">
        <f t="shared" si="29"/>
        <v>2.9772151898734176</v>
      </c>
      <c r="AA455" s="3" t="str" cm="1">
        <f t="array" ref="AA455">_xlfn.IFS(
(F455/(X455/7)) &lt; 5, "Casual",
AND((F455/(X455/7)) &gt;= 5, (F455/(X455/7)) &lt; 15), "Regular",
(F455/(X455/7)) &gt;= 15, "Power"
)</f>
        <v>Casual</v>
      </c>
      <c r="AB455" s="3">
        <f t="shared" si="28"/>
        <v>0.33600000000000002</v>
      </c>
      <c r="AC455" t="str">
        <f t="shared" si="30"/>
        <v>Viewers</v>
      </c>
    </row>
    <row r="456" spans="1:29" x14ac:dyDescent="0.3">
      <c r="A456" s="6">
        <v>8567</v>
      </c>
      <c r="B456" s="7" t="s">
        <v>88</v>
      </c>
      <c r="C456" s="10">
        <v>45430</v>
      </c>
      <c r="D456" s="10">
        <v>45639</v>
      </c>
      <c r="E456" s="13">
        <v>7.99</v>
      </c>
      <c r="F456" s="6">
        <v>203</v>
      </c>
      <c r="G456" s="7" t="s">
        <v>48</v>
      </c>
      <c r="H456" s="6">
        <v>1</v>
      </c>
      <c r="I456" s="6">
        <v>3</v>
      </c>
      <c r="J456" s="7" t="b">
        <v>1</v>
      </c>
      <c r="K456" s="6">
        <v>738</v>
      </c>
      <c r="L456" s="6">
        <v>96</v>
      </c>
      <c r="M456" s="7" t="s">
        <v>68</v>
      </c>
      <c r="N456" s="7" t="s">
        <v>75</v>
      </c>
      <c r="O456" s="7" t="s">
        <v>78</v>
      </c>
      <c r="P456" s="6">
        <v>10</v>
      </c>
      <c r="Q456" s="11">
        <v>4</v>
      </c>
      <c r="R456" s="7" t="b">
        <v>0</v>
      </c>
      <c r="S456" s="7" t="s">
        <v>30</v>
      </c>
      <c r="T456" s="6">
        <v>1504</v>
      </c>
      <c r="U456" s="7" t="s">
        <v>65</v>
      </c>
      <c r="V456" s="12" t="s">
        <v>59</v>
      </c>
      <c r="W456" s="7" t="s">
        <v>93</v>
      </c>
      <c r="X456" s="6">
        <f t="shared" si="31"/>
        <v>209</v>
      </c>
      <c r="Y456" t="str" cm="1">
        <f t="array" ref="Y456">_xlfn.IFS(E456=7.99,"BASIC",E456=11.99,"STANDARD",E456=15.99,"PREMIUM")</f>
        <v>BASIC</v>
      </c>
      <c r="Z456" s="4">
        <f t="shared" si="29"/>
        <v>6.7990430622009566</v>
      </c>
      <c r="AA456" s="3" t="str" cm="1">
        <f t="array" ref="AA456">_xlfn.IFS(
(F456/(X456/7)) &lt; 5, "Casual",
AND((F456/(X456/7)) &gt;= 5, (F456/(X456/7)) &lt; 15), "Regular",
(F456/(X456/7)) &gt;= 15, "Power"
)</f>
        <v>Regular</v>
      </c>
      <c r="AB456" s="3">
        <f t="shared" si="28"/>
        <v>0.24340527577937651</v>
      </c>
      <c r="AC456" t="str">
        <f t="shared" si="30"/>
        <v>Viewers</v>
      </c>
    </row>
    <row r="457" spans="1:29" x14ac:dyDescent="0.3">
      <c r="A457" s="6">
        <v>5253</v>
      </c>
      <c r="B457" s="7" t="s">
        <v>502</v>
      </c>
      <c r="C457" s="10">
        <v>45267</v>
      </c>
      <c r="D457" s="10">
        <v>45620</v>
      </c>
      <c r="E457" s="13">
        <v>11.99</v>
      </c>
      <c r="F457" s="6">
        <v>436</v>
      </c>
      <c r="G457" s="7" t="s">
        <v>73</v>
      </c>
      <c r="H457" s="6">
        <v>5</v>
      </c>
      <c r="I457" s="6">
        <v>5</v>
      </c>
      <c r="J457" s="7" t="b">
        <v>1</v>
      </c>
      <c r="K457" s="6">
        <v>228</v>
      </c>
      <c r="L457" s="6">
        <v>110</v>
      </c>
      <c r="M457" s="7" t="s">
        <v>68</v>
      </c>
      <c r="N457" s="7" t="s">
        <v>75</v>
      </c>
      <c r="O457" s="7" t="s">
        <v>29</v>
      </c>
      <c r="P457" s="6">
        <v>78</v>
      </c>
      <c r="Q457" s="11">
        <v>4.5</v>
      </c>
      <c r="R457" s="7" t="b">
        <v>1</v>
      </c>
      <c r="S457" s="7" t="s">
        <v>30</v>
      </c>
      <c r="T457" s="6">
        <v>1518</v>
      </c>
      <c r="U457" s="7" t="s">
        <v>38</v>
      </c>
      <c r="V457" s="12" t="s">
        <v>32</v>
      </c>
      <c r="W457" s="7" t="s">
        <v>60</v>
      </c>
      <c r="X457" s="6">
        <f t="shared" si="31"/>
        <v>353</v>
      </c>
      <c r="Y457" t="str" cm="1">
        <f t="array" ref="Y457">_xlfn.IFS(E457=7.99,"BASIC",E457=11.99,"STANDARD",E457=15.99,"PREMIUM")</f>
        <v>STANDARD</v>
      </c>
      <c r="Z457" s="4">
        <f t="shared" si="29"/>
        <v>8.6458923512747869</v>
      </c>
      <c r="AA457" s="3" t="str" cm="1">
        <f t="array" ref="AA457">_xlfn.IFS(
(F457/(X457/7)) &lt; 5, "Casual",
AND((F457/(X457/7)) &gt;= 5, (F457/(X457/7)) &lt; 15), "Regular",
(F457/(X457/7)) &gt;= 15, "Power"
)</f>
        <v>Regular</v>
      </c>
      <c r="AB457" s="3">
        <f t="shared" ref="AB457:AB520" si="32">(F457/(K457+L457))</f>
        <v>1.2899408284023668</v>
      </c>
      <c r="AC457" t="str">
        <f t="shared" si="30"/>
        <v>Viewers</v>
      </c>
    </row>
    <row r="458" spans="1:29" x14ac:dyDescent="0.3">
      <c r="A458" s="6">
        <v>8172</v>
      </c>
      <c r="B458" s="7" t="s">
        <v>511</v>
      </c>
      <c r="C458" s="10">
        <v>45372</v>
      </c>
      <c r="D458" s="10">
        <v>45643</v>
      </c>
      <c r="E458" s="13">
        <v>11.99</v>
      </c>
      <c r="F458" s="6">
        <v>195</v>
      </c>
      <c r="G458" s="7" t="s">
        <v>100</v>
      </c>
      <c r="H458" s="6">
        <v>5</v>
      </c>
      <c r="I458" s="6">
        <v>6</v>
      </c>
      <c r="J458" s="7" t="b">
        <v>1</v>
      </c>
      <c r="K458" s="6">
        <v>997</v>
      </c>
      <c r="L458" s="6">
        <v>107</v>
      </c>
      <c r="M458" s="7" t="s">
        <v>43</v>
      </c>
      <c r="N458" s="7" t="s">
        <v>56</v>
      </c>
      <c r="O458" s="7" t="s">
        <v>78</v>
      </c>
      <c r="P458" s="6">
        <v>78</v>
      </c>
      <c r="Q458" s="11">
        <v>4.9000000000000004</v>
      </c>
      <c r="R458" s="7" t="b">
        <v>0</v>
      </c>
      <c r="S458" s="7" t="s">
        <v>30</v>
      </c>
      <c r="T458" s="6">
        <v>708</v>
      </c>
      <c r="U458" s="7" t="s">
        <v>76</v>
      </c>
      <c r="V458" s="12" t="s">
        <v>69</v>
      </c>
      <c r="W458" s="7" t="s">
        <v>40</v>
      </c>
      <c r="X458" s="6">
        <f t="shared" si="31"/>
        <v>271</v>
      </c>
      <c r="Y458" t="str" cm="1">
        <f t="array" ref="Y458">_xlfn.IFS(E458=7.99,"BASIC",E458=11.99,"STANDARD",E458=15.99,"PREMIUM")</f>
        <v>STANDARD</v>
      </c>
      <c r="Z458" s="4">
        <f t="shared" si="29"/>
        <v>5.03690036900369</v>
      </c>
      <c r="AA458" s="3" t="str" cm="1">
        <f t="array" ref="AA458">_xlfn.IFS(
(F458/(X458/7)) &lt; 5, "Casual",
AND((F458/(X458/7)) &gt;= 5, (F458/(X458/7)) &lt; 15), "Regular",
(F458/(X458/7)) &gt;= 15, "Power"
)</f>
        <v>Regular</v>
      </c>
      <c r="AB458" s="3">
        <f t="shared" si="32"/>
        <v>0.1766304347826087</v>
      </c>
      <c r="AC458" t="str">
        <f t="shared" si="30"/>
        <v>Viewers</v>
      </c>
    </row>
    <row r="459" spans="1:29" x14ac:dyDescent="0.3">
      <c r="A459" s="6">
        <v>2154</v>
      </c>
      <c r="B459" s="7" t="s">
        <v>96</v>
      </c>
      <c r="C459" s="10">
        <v>45271</v>
      </c>
      <c r="D459" s="10">
        <v>45631</v>
      </c>
      <c r="E459" s="13">
        <v>7.99</v>
      </c>
      <c r="F459" s="6">
        <v>454</v>
      </c>
      <c r="G459" s="7" t="s">
        <v>36</v>
      </c>
      <c r="H459" s="6">
        <v>5</v>
      </c>
      <c r="I459" s="6">
        <v>1</v>
      </c>
      <c r="J459" s="7" t="b">
        <v>1</v>
      </c>
      <c r="K459" s="6">
        <v>722</v>
      </c>
      <c r="L459" s="6">
        <v>98</v>
      </c>
      <c r="M459" s="7" t="s">
        <v>49</v>
      </c>
      <c r="N459" s="7" t="s">
        <v>56</v>
      </c>
      <c r="O459" s="7" t="s">
        <v>45</v>
      </c>
      <c r="P459" s="6">
        <v>36</v>
      </c>
      <c r="Q459" s="11">
        <v>3.4</v>
      </c>
      <c r="R459" s="7" t="b">
        <v>0</v>
      </c>
      <c r="S459" s="7" t="s">
        <v>30</v>
      </c>
      <c r="T459" s="6">
        <v>4651</v>
      </c>
      <c r="U459" s="7" t="s">
        <v>76</v>
      </c>
      <c r="V459" s="12" t="s">
        <v>32</v>
      </c>
      <c r="W459" s="7" t="s">
        <v>40</v>
      </c>
      <c r="X459" s="6">
        <f t="shared" si="31"/>
        <v>360</v>
      </c>
      <c r="Y459" t="str" cm="1">
        <f t="array" ref="Y459">_xlfn.IFS(E459=7.99,"BASIC",E459=11.99,"STANDARD",E459=15.99,"PREMIUM")</f>
        <v>BASIC</v>
      </c>
      <c r="Z459" s="4">
        <f t="shared" si="29"/>
        <v>8.8277777777777775</v>
      </c>
      <c r="AA459" s="3" t="str" cm="1">
        <f t="array" ref="AA459">_xlfn.IFS(
(F459/(X459/7)) &lt; 5, "Casual",
AND((F459/(X459/7)) &gt;= 5, (F459/(X459/7)) &lt; 15), "Regular",
(F459/(X459/7)) &gt;= 15, "Power"
)</f>
        <v>Regular</v>
      </c>
      <c r="AB459" s="3">
        <f t="shared" si="32"/>
        <v>0.5536585365853659</v>
      </c>
      <c r="AC459" t="str">
        <f t="shared" si="30"/>
        <v>Viewers</v>
      </c>
    </row>
    <row r="460" spans="1:29" x14ac:dyDescent="0.3">
      <c r="A460" s="6">
        <v>5013</v>
      </c>
      <c r="B460" s="7" t="s">
        <v>513</v>
      </c>
      <c r="C460" s="10">
        <v>45164</v>
      </c>
      <c r="D460" s="10">
        <v>45620</v>
      </c>
      <c r="E460" s="13">
        <v>15.99</v>
      </c>
      <c r="F460" s="6">
        <v>187</v>
      </c>
      <c r="G460" s="7" t="s">
        <v>36</v>
      </c>
      <c r="H460" s="6">
        <v>1</v>
      </c>
      <c r="I460" s="6">
        <v>1</v>
      </c>
      <c r="J460" s="7" t="b">
        <v>0</v>
      </c>
      <c r="K460" s="6">
        <v>316</v>
      </c>
      <c r="L460" s="6">
        <v>10</v>
      </c>
      <c r="M460" s="7" t="s">
        <v>49</v>
      </c>
      <c r="N460" s="7" t="s">
        <v>28</v>
      </c>
      <c r="O460" s="7" t="s">
        <v>64</v>
      </c>
      <c r="P460" s="6">
        <v>8</v>
      </c>
      <c r="Q460" s="11">
        <v>4.7</v>
      </c>
      <c r="R460" s="7" t="b">
        <v>0</v>
      </c>
      <c r="S460" s="7" t="s">
        <v>30</v>
      </c>
      <c r="T460" s="6">
        <v>4397</v>
      </c>
      <c r="U460" s="7" t="s">
        <v>31</v>
      </c>
      <c r="V460" s="12" t="s">
        <v>79</v>
      </c>
      <c r="W460" s="7" t="s">
        <v>33</v>
      </c>
      <c r="X460" s="6">
        <f t="shared" si="31"/>
        <v>456</v>
      </c>
      <c r="Y460" t="str" cm="1">
        <f t="array" ref="Y460">_xlfn.IFS(E460=7.99,"BASIC",E460=11.99,"STANDARD",E460=15.99,"PREMIUM")</f>
        <v>PREMIUM</v>
      </c>
      <c r="Z460" s="4">
        <f t="shared" si="29"/>
        <v>2.8706140350877196</v>
      </c>
      <c r="AA460" s="3" t="str" cm="1">
        <f t="array" ref="AA460">_xlfn.IFS(
(F460/(X460/7)) &lt; 5, "Casual",
AND((F460/(X460/7)) &gt;= 5, (F460/(X460/7)) &lt; 15), "Regular",
(F460/(X460/7)) &gt;= 15, "Power"
)</f>
        <v>Casual</v>
      </c>
      <c r="AB460" s="3">
        <f t="shared" si="32"/>
        <v>0.57361963190184051</v>
      </c>
      <c r="AC460" t="str">
        <f t="shared" si="30"/>
        <v>Viewers</v>
      </c>
    </row>
    <row r="461" spans="1:29" x14ac:dyDescent="0.3">
      <c r="A461" s="6">
        <v>4211</v>
      </c>
      <c r="B461" s="7" t="s">
        <v>515</v>
      </c>
      <c r="C461" s="10">
        <v>45572</v>
      </c>
      <c r="D461" s="10">
        <v>45627</v>
      </c>
      <c r="E461" s="13">
        <v>7.99</v>
      </c>
      <c r="F461" s="6">
        <v>277</v>
      </c>
      <c r="G461" s="7" t="s">
        <v>100</v>
      </c>
      <c r="H461" s="6">
        <v>1</v>
      </c>
      <c r="I461" s="6">
        <v>3</v>
      </c>
      <c r="J461" s="7" t="b">
        <v>1</v>
      </c>
      <c r="K461" s="6">
        <v>455</v>
      </c>
      <c r="L461" s="6">
        <v>120</v>
      </c>
      <c r="M461" s="7" t="s">
        <v>92</v>
      </c>
      <c r="N461" s="7" t="s">
        <v>28</v>
      </c>
      <c r="O461" s="7" t="s">
        <v>57</v>
      </c>
      <c r="P461" s="6">
        <v>92</v>
      </c>
      <c r="Q461" s="11">
        <v>4.7</v>
      </c>
      <c r="R461" s="7" t="b">
        <v>0</v>
      </c>
      <c r="S461" s="7" t="s">
        <v>30</v>
      </c>
      <c r="T461" s="6">
        <v>1360</v>
      </c>
      <c r="U461" s="7" t="s">
        <v>65</v>
      </c>
      <c r="V461" s="12" t="s">
        <v>59</v>
      </c>
      <c r="W461" s="7" t="s">
        <v>93</v>
      </c>
      <c r="X461" s="6">
        <f t="shared" si="31"/>
        <v>55</v>
      </c>
      <c r="Y461" t="str" cm="1">
        <f t="array" ref="Y461">_xlfn.IFS(E461=7.99,"BASIC",E461=11.99,"STANDARD",E461=15.99,"PREMIUM")</f>
        <v>BASIC</v>
      </c>
      <c r="Z461" s="4">
        <f t="shared" si="29"/>
        <v>35.254545454545458</v>
      </c>
      <c r="AA461" s="3" t="str" cm="1">
        <f t="array" ref="AA461">_xlfn.IFS(
(F461/(X461/7)) &lt; 5, "Casual",
AND((F461/(X461/7)) &gt;= 5, (F461/(X461/7)) &lt; 15), "Regular",
(F461/(X461/7)) &gt;= 15, "Power"
)</f>
        <v>Power</v>
      </c>
      <c r="AB461" s="3">
        <f t="shared" si="32"/>
        <v>0.48173913043478261</v>
      </c>
      <c r="AC461" t="str">
        <f t="shared" si="30"/>
        <v>Viewers</v>
      </c>
    </row>
    <row r="462" spans="1:29" x14ac:dyDescent="0.3">
      <c r="A462" s="6">
        <v>4408</v>
      </c>
      <c r="B462" s="7" t="s">
        <v>238</v>
      </c>
      <c r="C462" s="10">
        <v>45197</v>
      </c>
      <c r="D462" s="10">
        <v>45626</v>
      </c>
      <c r="E462" s="13">
        <v>7.99</v>
      </c>
      <c r="F462" s="6">
        <v>257</v>
      </c>
      <c r="G462" s="7" t="s">
        <v>100</v>
      </c>
      <c r="H462" s="6">
        <v>3</v>
      </c>
      <c r="I462" s="6">
        <v>6</v>
      </c>
      <c r="J462" s="7" t="b">
        <v>1</v>
      </c>
      <c r="K462" s="6">
        <v>985</v>
      </c>
      <c r="L462" s="6">
        <v>97</v>
      </c>
      <c r="M462" s="7" t="s">
        <v>49</v>
      </c>
      <c r="N462" s="7" t="s">
        <v>56</v>
      </c>
      <c r="O462" s="7" t="s">
        <v>45</v>
      </c>
      <c r="P462" s="6">
        <v>88</v>
      </c>
      <c r="Q462" s="11">
        <v>3.9</v>
      </c>
      <c r="R462" s="7" t="b">
        <v>1</v>
      </c>
      <c r="S462" s="7" t="s">
        <v>30</v>
      </c>
      <c r="T462" s="6">
        <v>4155</v>
      </c>
      <c r="U462" s="7" t="s">
        <v>38</v>
      </c>
      <c r="V462" s="12" t="s">
        <v>59</v>
      </c>
      <c r="W462" s="7" t="s">
        <v>60</v>
      </c>
      <c r="X462" s="6">
        <f t="shared" si="31"/>
        <v>429</v>
      </c>
      <c r="Y462" t="str" cm="1">
        <f t="array" ref="Y462">_xlfn.IFS(E462=7.99,"BASIC",E462=11.99,"STANDARD",E462=15.99,"PREMIUM")</f>
        <v>BASIC</v>
      </c>
      <c r="Z462" s="4">
        <f t="shared" si="29"/>
        <v>4.1934731934731939</v>
      </c>
      <c r="AA462" s="3" t="str" cm="1">
        <f t="array" ref="AA462">_xlfn.IFS(
(F462/(X462/7)) &lt; 5, "Casual",
AND((F462/(X462/7)) &gt;= 5, (F462/(X462/7)) &lt; 15), "Regular",
(F462/(X462/7)) &gt;= 15, "Power"
)</f>
        <v>Casual</v>
      </c>
      <c r="AB462" s="3">
        <f t="shared" si="32"/>
        <v>0.23752310536044363</v>
      </c>
      <c r="AC462" t="str">
        <f t="shared" si="30"/>
        <v>Viewers</v>
      </c>
    </row>
    <row r="463" spans="1:29" x14ac:dyDescent="0.3">
      <c r="A463" s="6">
        <v>8473</v>
      </c>
      <c r="B463" s="7" t="s">
        <v>517</v>
      </c>
      <c r="C463" s="10">
        <v>44982</v>
      </c>
      <c r="D463" s="10">
        <v>45638</v>
      </c>
      <c r="E463" s="13">
        <v>11.99</v>
      </c>
      <c r="F463" s="6">
        <v>12</v>
      </c>
      <c r="G463" s="7" t="s">
        <v>51</v>
      </c>
      <c r="H463" s="6">
        <v>4</v>
      </c>
      <c r="I463" s="6">
        <v>6</v>
      </c>
      <c r="J463" s="7" t="b">
        <v>0</v>
      </c>
      <c r="K463" s="6">
        <v>718</v>
      </c>
      <c r="L463" s="6">
        <v>100</v>
      </c>
      <c r="M463" s="7" t="s">
        <v>92</v>
      </c>
      <c r="N463" s="7" t="s">
        <v>44</v>
      </c>
      <c r="O463" s="7" t="s">
        <v>45</v>
      </c>
      <c r="P463" s="6">
        <v>24</v>
      </c>
      <c r="Q463" s="11">
        <v>4.0999999999999996</v>
      </c>
      <c r="R463" s="7" t="b">
        <v>0</v>
      </c>
      <c r="S463" s="7" t="s">
        <v>30</v>
      </c>
      <c r="T463" s="6">
        <v>1289</v>
      </c>
      <c r="U463" s="7" t="s">
        <v>31</v>
      </c>
      <c r="V463" s="12" t="s">
        <v>59</v>
      </c>
      <c r="W463" s="7" t="s">
        <v>60</v>
      </c>
      <c r="X463" s="6">
        <f t="shared" si="31"/>
        <v>656</v>
      </c>
      <c r="Y463" t="str" cm="1">
        <f t="array" ref="Y463">_xlfn.IFS(E463=7.99,"BASIC",E463=11.99,"STANDARD",E463=15.99,"PREMIUM")</f>
        <v>STANDARD</v>
      </c>
      <c r="Z463" s="4">
        <f t="shared" si="29"/>
        <v>0.12804878048780488</v>
      </c>
      <c r="AA463" s="3" t="str" cm="1">
        <f t="array" ref="AA463">_xlfn.IFS(
(F463/(X463/7)) &lt; 5, "Casual",
AND((F463/(X463/7)) &gt;= 5, (F463/(X463/7)) &lt; 15), "Regular",
(F463/(X463/7)) &gt;= 15, "Power"
)</f>
        <v>Casual</v>
      </c>
      <c r="AB463" s="3">
        <f t="shared" si="32"/>
        <v>1.4669926650366748E-2</v>
      </c>
      <c r="AC463" t="str">
        <f t="shared" si="30"/>
        <v xml:space="preserve"> Browsers</v>
      </c>
    </row>
    <row r="464" spans="1:29" x14ac:dyDescent="0.3">
      <c r="A464" s="6">
        <v>7510</v>
      </c>
      <c r="B464" s="7" t="s">
        <v>518</v>
      </c>
      <c r="C464" s="10">
        <v>44941</v>
      </c>
      <c r="D464" s="10">
        <v>45625</v>
      </c>
      <c r="E464" s="13">
        <v>7.99</v>
      </c>
      <c r="F464" s="6">
        <v>362</v>
      </c>
      <c r="G464" s="7" t="s">
        <v>100</v>
      </c>
      <c r="H464" s="6">
        <v>2</v>
      </c>
      <c r="I464" s="6">
        <v>4</v>
      </c>
      <c r="J464" s="7" t="b">
        <v>1</v>
      </c>
      <c r="K464" s="6">
        <v>923</v>
      </c>
      <c r="L464" s="6">
        <v>57</v>
      </c>
      <c r="M464" s="7" t="s">
        <v>92</v>
      </c>
      <c r="N464" s="7" t="s">
        <v>28</v>
      </c>
      <c r="O464" s="7" t="s">
        <v>37</v>
      </c>
      <c r="P464" s="6">
        <v>38</v>
      </c>
      <c r="Q464" s="11">
        <v>4.8</v>
      </c>
      <c r="R464" s="7" t="b">
        <v>0</v>
      </c>
      <c r="S464" s="7" t="s">
        <v>30</v>
      </c>
      <c r="T464" s="6">
        <v>2922</v>
      </c>
      <c r="U464" s="7" t="s">
        <v>65</v>
      </c>
      <c r="V464" s="12" t="s">
        <v>32</v>
      </c>
      <c r="W464" s="7" t="s">
        <v>93</v>
      </c>
      <c r="X464" s="6">
        <f t="shared" si="31"/>
        <v>684</v>
      </c>
      <c r="Y464" t="str" cm="1">
        <f t="array" ref="Y464">_xlfn.IFS(E464=7.99,"BASIC",E464=11.99,"STANDARD",E464=15.99,"PREMIUM")</f>
        <v>BASIC</v>
      </c>
      <c r="Z464" s="4">
        <f t="shared" si="29"/>
        <v>3.7046783625730995</v>
      </c>
      <c r="AA464" s="3" t="str" cm="1">
        <f t="array" ref="AA464">_xlfn.IFS(
(F464/(X464/7)) &lt; 5, "Casual",
AND((F464/(X464/7)) &gt;= 5, (F464/(X464/7)) &lt; 15), "Regular",
(F464/(X464/7)) &gt;= 15, "Power"
)</f>
        <v>Casual</v>
      </c>
      <c r="AB464" s="3">
        <f t="shared" si="32"/>
        <v>0.3693877551020408</v>
      </c>
      <c r="AC464" t="str">
        <f t="shared" si="30"/>
        <v>Viewers</v>
      </c>
    </row>
    <row r="465" spans="1:29" x14ac:dyDescent="0.3">
      <c r="A465" s="6">
        <v>5376</v>
      </c>
      <c r="B465" s="7" t="s">
        <v>224</v>
      </c>
      <c r="C465" s="10">
        <v>45023</v>
      </c>
      <c r="D465" s="10">
        <v>45622</v>
      </c>
      <c r="E465" s="13">
        <v>7.99</v>
      </c>
      <c r="F465" s="6">
        <v>89</v>
      </c>
      <c r="G465" s="7" t="s">
        <v>100</v>
      </c>
      <c r="H465" s="6">
        <v>2</v>
      </c>
      <c r="I465" s="6">
        <v>4</v>
      </c>
      <c r="J465" s="7" t="b">
        <v>1</v>
      </c>
      <c r="K465" s="6">
        <v>174</v>
      </c>
      <c r="L465" s="6">
        <v>178</v>
      </c>
      <c r="M465" s="7" t="s">
        <v>74</v>
      </c>
      <c r="N465" s="7" t="s">
        <v>28</v>
      </c>
      <c r="O465" s="7" t="s">
        <v>78</v>
      </c>
      <c r="P465" s="6">
        <v>7</v>
      </c>
      <c r="Q465" s="11">
        <v>3.7</v>
      </c>
      <c r="R465" s="7" t="b">
        <v>0</v>
      </c>
      <c r="S465" s="7" t="s">
        <v>30</v>
      </c>
      <c r="T465" s="6">
        <v>28</v>
      </c>
      <c r="U465" s="7" t="s">
        <v>65</v>
      </c>
      <c r="V465" s="12" t="s">
        <v>32</v>
      </c>
      <c r="W465" s="7" t="s">
        <v>60</v>
      </c>
      <c r="X465" s="6">
        <f t="shared" si="31"/>
        <v>599</v>
      </c>
      <c r="Y465" t="str" cm="1">
        <f t="array" ref="Y465">_xlfn.IFS(E465=7.99,"BASIC",E465=11.99,"STANDARD",E465=15.99,"PREMIUM")</f>
        <v>BASIC</v>
      </c>
      <c r="Z465" s="4">
        <f t="shared" si="29"/>
        <v>1.0400667779632722</v>
      </c>
      <c r="AA465" s="3" t="str" cm="1">
        <f t="array" ref="AA465">_xlfn.IFS(
(F465/(X465/7)) &lt; 5, "Casual",
AND((F465/(X465/7)) &gt;= 5, (F465/(X465/7)) &lt; 15), "Regular",
(F465/(X465/7)) &gt;= 15, "Power"
)</f>
        <v>Casual</v>
      </c>
      <c r="AB465" s="3">
        <f t="shared" si="32"/>
        <v>0.25284090909090912</v>
      </c>
      <c r="AC465" t="str">
        <f t="shared" si="30"/>
        <v>Viewers</v>
      </c>
    </row>
    <row r="466" spans="1:29" x14ac:dyDescent="0.3">
      <c r="A466" s="6">
        <v>8005</v>
      </c>
      <c r="B466" s="7" t="s">
        <v>254</v>
      </c>
      <c r="C466" s="10">
        <v>44993</v>
      </c>
      <c r="D466" s="10">
        <v>45640</v>
      </c>
      <c r="E466" s="13">
        <v>7.99</v>
      </c>
      <c r="F466" s="6">
        <v>123</v>
      </c>
      <c r="G466" s="7" t="s">
        <v>51</v>
      </c>
      <c r="H466" s="6">
        <v>5</v>
      </c>
      <c r="I466" s="6">
        <v>5</v>
      </c>
      <c r="J466" s="7" t="b">
        <v>1</v>
      </c>
      <c r="K466" s="6">
        <v>253</v>
      </c>
      <c r="L466" s="6">
        <v>157</v>
      </c>
      <c r="M466" s="7" t="s">
        <v>49</v>
      </c>
      <c r="N466" s="7" t="s">
        <v>28</v>
      </c>
      <c r="O466" s="7" t="s">
        <v>57</v>
      </c>
      <c r="P466" s="6">
        <v>85</v>
      </c>
      <c r="Q466" s="11">
        <v>4</v>
      </c>
      <c r="R466" s="7" t="b">
        <v>0</v>
      </c>
      <c r="S466" s="7" t="s">
        <v>30</v>
      </c>
      <c r="T466" s="6">
        <v>3083</v>
      </c>
      <c r="U466" s="7" t="s">
        <v>58</v>
      </c>
      <c r="V466" s="12" t="s">
        <v>69</v>
      </c>
      <c r="W466" s="7" t="s">
        <v>33</v>
      </c>
      <c r="X466" s="6">
        <f t="shared" si="31"/>
        <v>647</v>
      </c>
      <c r="Y466" t="str" cm="1">
        <f t="array" ref="Y466">_xlfn.IFS(E466=7.99,"BASIC",E466=11.99,"STANDARD",E466=15.99,"PREMIUM")</f>
        <v>BASIC</v>
      </c>
      <c r="Z466" s="4">
        <f t="shared" si="29"/>
        <v>1.3307573415765068</v>
      </c>
      <c r="AA466" s="3" t="str" cm="1">
        <f t="array" ref="AA466">_xlfn.IFS(
(F466/(X466/7)) &lt; 5, "Casual",
AND((F466/(X466/7)) &gt;= 5, (F466/(X466/7)) &lt; 15), "Regular",
(F466/(X466/7)) &gt;= 15, "Power"
)</f>
        <v>Casual</v>
      </c>
      <c r="AB466" s="3">
        <f t="shared" si="32"/>
        <v>0.3</v>
      </c>
      <c r="AC466" t="str">
        <f t="shared" si="30"/>
        <v>Viewers</v>
      </c>
    </row>
    <row r="467" spans="1:29" x14ac:dyDescent="0.3">
      <c r="A467" s="6">
        <v>7439</v>
      </c>
      <c r="B467" s="7" t="s">
        <v>199</v>
      </c>
      <c r="C467" s="10">
        <v>45163</v>
      </c>
      <c r="D467" s="10">
        <v>45631</v>
      </c>
      <c r="E467" s="13">
        <v>15.99</v>
      </c>
      <c r="F467" s="6">
        <v>427</v>
      </c>
      <c r="G467" s="7" t="s">
        <v>73</v>
      </c>
      <c r="H467" s="6">
        <v>1</v>
      </c>
      <c r="I467" s="6">
        <v>1</v>
      </c>
      <c r="J467" s="7" t="b">
        <v>0</v>
      </c>
      <c r="K467" s="6">
        <v>479</v>
      </c>
      <c r="L467" s="6">
        <v>98</v>
      </c>
      <c r="M467" s="7" t="s">
        <v>27</v>
      </c>
      <c r="N467" s="7" t="s">
        <v>28</v>
      </c>
      <c r="O467" s="7" t="s">
        <v>64</v>
      </c>
      <c r="P467" s="6">
        <v>18</v>
      </c>
      <c r="Q467" s="11">
        <v>3.8</v>
      </c>
      <c r="R467" s="7" t="b">
        <v>1</v>
      </c>
      <c r="S467" s="7" t="s">
        <v>30</v>
      </c>
      <c r="T467" s="6">
        <v>547</v>
      </c>
      <c r="U467" s="7" t="s">
        <v>76</v>
      </c>
      <c r="V467" s="12" t="s">
        <v>79</v>
      </c>
      <c r="W467" s="7" t="s">
        <v>33</v>
      </c>
      <c r="X467" s="6">
        <f t="shared" si="31"/>
        <v>468</v>
      </c>
      <c r="Y467" t="str" cm="1">
        <f t="array" ref="Y467">_xlfn.IFS(E467=7.99,"BASIC",E467=11.99,"STANDARD",E467=15.99,"PREMIUM")</f>
        <v>PREMIUM</v>
      </c>
      <c r="Z467" s="4">
        <f t="shared" si="29"/>
        <v>6.3867521367521363</v>
      </c>
      <c r="AA467" s="3" t="str" cm="1">
        <f t="array" ref="AA467">_xlfn.IFS(
(F467/(X467/7)) &lt; 5, "Casual",
AND((F467/(X467/7)) &gt;= 5, (F467/(X467/7)) &lt; 15), "Regular",
(F467/(X467/7)) &gt;= 15, "Power"
)</f>
        <v>Regular</v>
      </c>
      <c r="AB467" s="3">
        <f t="shared" si="32"/>
        <v>0.74003466204506063</v>
      </c>
      <c r="AC467" t="str">
        <f t="shared" si="30"/>
        <v>Viewers</v>
      </c>
    </row>
    <row r="468" spans="1:29" x14ac:dyDescent="0.3">
      <c r="A468" s="6">
        <v>3699</v>
      </c>
      <c r="B468" s="7" t="s">
        <v>411</v>
      </c>
      <c r="C468" s="10">
        <v>45072</v>
      </c>
      <c r="D468" s="10">
        <v>45620</v>
      </c>
      <c r="E468" s="13">
        <v>15.99</v>
      </c>
      <c r="F468" s="6">
        <v>439</v>
      </c>
      <c r="G468" s="7" t="s">
        <v>100</v>
      </c>
      <c r="H468" s="6">
        <v>2</v>
      </c>
      <c r="I468" s="6">
        <v>4</v>
      </c>
      <c r="J468" s="7" t="b">
        <v>0</v>
      </c>
      <c r="K468" s="6">
        <v>932</v>
      </c>
      <c r="L468" s="6">
        <v>98</v>
      </c>
      <c r="M468" s="7" t="s">
        <v>92</v>
      </c>
      <c r="N468" s="7" t="s">
        <v>75</v>
      </c>
      <c r="O468" s="7" t="s">
        <v>29</v>
      </c>
      <c r="P468" s="6">
        <v>58</v>
      </c>
      <c r="Q468" s="11">
        <v>4.9000000000000004</v>
      </c>
      <c r="R468" s="7" t="b">
        <v>0</v>
      </c>
      <c r="S468" s="7" t="s">
        <v>30</v>
      </c>
      <c r="T468" s="6">
        <v>239</v>
      </c>
      <c r="U468" s="7" t="s">
        <v>76</v>
      </c>
      <c r="V468" s="12" t="s">
        <v>32</v>
      </c>
      <c r="W468" s="7" t="s">
        <v>93</v>
      </c>
      <c r="X468" s="6">
        <f t="shared" si="31"/>
        <v>548</v>
      </c>
      <c r="Y468" t="str" cm="1">
        <f t="array" ref="Y468">_xlfn.IFS(E468=7.99,"BASIC",E468=11.99,"STANDARD",E468=15.99,"PREMIUM")</f>
        <v>PREMIUM</v>
      </c>
      <c r="Z468" s="4">
        <f t="shared" si="29"/>
        <v>5.6076642335766422</v>
      </c>
      <c r="AA468" s="3" t="str" cm="1">
        <f t="array" ref="AA468">_xlfn.IFS(
(F468/(X468/7)) &lt; 5, "Casual",
AND((F468/(X468/7)) &gt;= 5, (F468/(X468/7)) &lt; 15), "Regular",
(F468/(X468/7)) &gt;= 15, "Power"
)</f>
        <v>Regular</v>
      </c>
      <c r="AB468" s="3">
        <f t="shared" si="32"/>
        <v>0.4262135922330097</v>
      </c>
      <c r="AC468" t="str">
        <f t="shared" si="30"/>
        <v>Viewers</v>
      </c>
    </row>
    <row r="469" spans="1:29" x14ac:dyDescent="0.3">
      <c r="A469" s="6">
        <v>3162</v>
      </c>
      <c r="B469" s="7" t="s">
        <v>157</v>
      </c>
      <c r="C469" s="10">
        <v>44914</v>
      </c>
      <c r="D469" s="10">
        <v>45639</v>
      </c>
      <c r="E469" s="13">
        <v>15.99</v>
      </c>
      <c r="F469" s="6">
        <v>396</v>
      </c>
      <c r="G469" s="7" t="s">
        <v>63</v>
      </c>
      <c r="H469" s="6">
        <v>3</v>
      </c>
      <c r="I469" s="6">
        <v>3</v>
      </c>
      <c r="J469" s="7" t="b">
        <v>1</v>
      </c>
      <c r="K469" s="6">
        <v>175</v>
      </c>
      <c r="L469" s="6">
        <v>17</v>
      </c>
      <c r="M469" s="7" t="s">
        <v>27</v>
      </c>
      <c r="N469" s="7" t="s">
        <v>56</v>
      </c>
      <c r="O469" s="7" t="s">
        <v>78</v>
      </c>
      <c r="P469" s="6">
        <v>11</v>
      </c>
      <c r="Q469" s="11">
        <v>3.4</v>
      </c>
      <c r="R469" s="7" t="b">
        <v>0</v>
      </c>
      <c r="S469" s="7" t="s">
        <v>30</v>
      </c>
      <c r="T469" s="6">
        <v>3516</v>
      </c>
      <c r="U469" s="7" t="s">
        <v>31</v>
      </c>
      <c r="V469" s="12" t="s">
        <v>32</v>
      </c>
      <c r="W469" s="7" t="s">
        <v>40</v>
      </c>
      <c r="X469" s="6">
        <f t="shared" si="31"/>
        <v>725</v>
      </c>
      <c r="Y469" t="str" cm="1">
        <f t="array" ref="Y469">_xlfn.IFS(E469=7.99,"BASIC",E469=11.99,"STANDARD",E469=15.99,"PREMIUM")</f>
        <v>PREMIUM</v>
      </c>
      <c r="Z469" s="4">
        <f t="shared" si="29"/>
        <v>3.8234482758620691</v>
      </c>
      <c r="AA469" s="3" t="str" cm="1">
        <f t="array" ref="AA469">_xlfn.IFS(
(F469/(X469/7)) &lt; 5, "Casual",
AND((F469/(X469/7)) &gt;= 5, (F469/(X469/7)) &lt; 15), "Regular",
(F469/(X469/7)) &gt;= 15, "Power"
)</f>
        <v>Casual</v>
      </c>
      <c r="AB469" s="3">
        <f t="shared" si="32"/>
        <v>2.0625</v>
      </c>
      <c r="AC469" t="str">
        <f t="shared" si="30"/>
        <v>Viewers</v>
      </c>
    </row>
    <row r="470" spans="1:29" x14ac:dyDescent="0.3">
      <c r="A470" s="6">
        <v>8798</v>
      </c>
      <c r="B470" s="7" t="s">
        <v>521</v>
      </c>
      <c r="C470" s="10">
        <v>45036</v>
      </c>
      <c r="D470" s="10">
        <v>45641</v>
      </c>
      <c r="E470" s="13">
        <v>15.99</v>
      </c>
      <c r="F470" s="6">
        <v>453</v>
      </c>
      <c r="G470" s="7" t="s">
        <v>63</v>
      </c>
      <c r="H470" s="6">
        <v>5</v>
      </c>
      <c r="I470" s="6">
        <v>2</v>
      </c>
      <c r="J470" s="7" t="b">
        <v>1</v>
      </c>
      <c r="K470" s="6">
        <v>591</v>
      </c>
      <c r="L470" s="6">
        <v>169</v>
      </c>
      <c r="M470" s="7" t="s">
        <v>43</v>
      </c>
      <c r="N470" s="7" t="s">
        <v>28</v>
      </c>
      <c r="O470" s="7" t="s">
        <v>64</v>
      </c>
      <c r="P470" s="6">
        <v>72</v>
      </c>
      <c r="Q470" s="11">
        <v>4.0999999999999996</v>
      </c>
      <c r="R470" s="7" t="b">
        <v>1</v>
      </c>
      <c r="S470" s="7" t="s">
        <v>30</v>
      </c>
      <c r="T470" s="6">
        <v>4031</v>
      </c>
      <c r="U470" s="7" t="s">
        <v>76</v>
      </c>
      <c r="V470" s="12" t="s">
        <v>39</v>
      </c>
      <c r="W470" s="7" t="s">
        <v>40</v>
      </c>
      <c r="X470" s="6">
        <f t="shared" si="31"/>
        <v>605</v>
      </c>
      <c r="Y470" t="str" cm="1">
        <f t="array" ref="Y470">_xlfn.IFS(E470=7.99,"BASIC",E470=11.99,"STANDARD",E470=15.99,"PREMIUM")</f>
        <v>PREMIUM</v>
      </c>
      <c r="Z470" s="4">
        <f t="shared" si="29"/>
        <v>5.2413223140495866</v>
      </c>
      <c r="AA470" s="3" t="str" cm="1">
        <f t="array" ref="AA470">_xlfn.IFS(
(F470/(X470/7)) &lt; 5, "Casual",
AND((F470/(X470/7)) &gt;= 5, (F470/(X470/7)) &lt; 15), "Regular",
(F470/(X470/7)) &gt;= 15, "Power"
)</f>
        <v>Regular</v>
      </c>
      <c r="AB470" s="3">
        <f t="shared" si="32"/>
        <v>0.59605263157894739</v>
      </c>
      <c r="AC470" t="str">
        <f t="shared" si="30"/>
        <v>Viewers</v>
      </c>
    </row>
    <row r="471" spans="1:29" x14ac:dyDescent="0.3">
      <c r="A471" s="6">
        <v>6400</v>
      </c>
      <c r="B471" s="7" t="s">
        <v>177</v>
      </c>
      <c r="C471" s="10">
        <v>45349</v>
      </c>
      <c r="D471" s="10">
        <v>45640</v>
      </c>
      <c r="E471" s="13">
        <v>11.99</v>
      </c>
      <c r="F471" s="6">
        <v>356</v>
      </c>
      <c r="G471" s="7" t="s">
        <v>63</v>
      </c>
      <c r="H471" s="6">
        <v>3</v>
      </c>
      <c r="I471" s="6">
        <v>2</v>
      </c>
      <c r="J471" s="7" t="b">
        <v>1</v>
      </c>
      <c r="K471" s="6">
        <v>776</v>
      </c>
      <c r="L471" s="6">
        <v>40</v>
      </c>
      <c r="M471" s="7" t="s">
        <v>27</v>
      </c>
      <c r="N471" s="7" t="s">
        <v>56</v>
      </c>
      <c r="O471" s="7" t="s">
        <v>45</v>
      </c>
      <c r="P471" s="6">
        <v>56</v>
      </c>
      <c r="Q471" s="11">
        <v>3.4</v>
      </c>
      <c r="R471" s="7" t="b">
        <v>1</v>
      </c>
      <c r="S471" s="7" t="s">
        <v>30</v>
      </c>
      <c r="T471" s="6">
        <v>3408</v>
      </c>
      <c r="U471" s="7" t="s">
        <v>76</v>
      </c>
      <c r="V471" s="12" t="s">
        <v>32</v>
      </c>
      <c r="W471" s="7" t="s">
        <v>40</v>
      </c>
      <c r="X471" s="6">
        <f t="shared" si="31"/>
        <v>291</v>
      </c>
      <c r="Y471" t="str" cm="1">
        <f t="array" ref="Y471">_xlfn.IFS(E471=7.99,"BASIC",E471=11.99,"STANDARD",E471=15.99,"PREMIUM")</f>
        <v>STANDARD</v>
      </c>
      <c r="Z471" s="4">
        <f t="shared" si="29"/>
        <v>8.5635738831615118</v>
      </c>
      <c r="AA471" s="3" t="str" cm="1">
        <f t="array" ref="AA471">_xlfn.IFS(
(F471/(X471/7)) &lt; 5, "Casual",
AND((F471/(X471/7)) &gt;= 5, (F471/(X471/7)) &lt; 15), "Regular",
(F471/(X471/7)) &gt;= 15, "Power"
)</f>
        <v>Regular</v>
      </c>
      <c r="AB471" s="3">
        <f t="shared" si="32"/>
        <v>0.43627450980392157</v>
      </c>
      <c r="AC471" t="str">
        <f t="shared" si="30"/>
        <v>Viewers</v>
      </c>
    </row>
    <row r="472" spans="1:29" x14ac:dyDescent="0.3">
      <c r="A472" s="6">
        <v>9404</v>
      </c>
      <c r="B472" s="7" t="s">
        <v>157</v>
      </c>
      <c r="C472" s="10">
        <v>45179</v>
      </c>
      <c r="D472" s="10">
        <v>45629</v>
      </c>
      <c r="E472" s="13">
        <v>15.99</v>
      </c>
      <c r="F472" s="6">
        <v>192</v>
      </c>
      <c r="G472" s="7" t="s">
        <v>48</v>
      </c>
      <c r="H472" s="6">
        <v>1</v>
      </c>
      <c r="I472" s="6">
        <v>3</v>
      </c>
      <c r="J472" s="7" t="b">
        <v>1</v>
      </c>
      <c r="K472" s="6">
        <v>229</v>
      </c>
      <c r="L472" s="6">
        <v>54</v>
      </c>
      <c r="M472" s="7" t="s">
        <v>74</v>
      </c>
      <c r="N472" s="7" t="s">
        <v>28</v>
      </c>
      <c r="O472" s="7" t="s">
        <v>57</v>
      </c>
      <c r="P472" s="6">
        <v>87</v>
      </c>
      <c r="Q472" s="11">
        <v>3.1</v>
      </c>
      <c r="R472" s="7" t="b">
        <v>0</v>
      </c>
      <c r="S472" s="7" t="s">
        <v>30</v>
      </c>
      <c r="T472" s="6">
        <v>3849</v>
      </c>
      <c r="U472" s="7" t="s">
        <v>58</v>
      </c>
      <c r="V472" s="12" t="s">
        <v>69</v>
      </c>
      <c r="W472" s="7" t="s">
        <v>93</v>
      </c>
      <c r="X472" s="6">
        <f t="shared" si="31"/>
        <v>450</v>
      </c>
      <c r="Y472" t="str" cm="1">
        <f t="array" ref="Y472">_xlfn.IFS(E472=7.99,"BASIC",E472=11.99,"STANDARD",E472=15.99,"PREMIUM")</f>
        <v>PREMIUM</v>
      </c>
      <c r="Z472" s="4">
        <f t="shared" si="29"/>
        <v>2.9866666666666664</v>
      </c>
      <c r="AA472" s="3" t="str" cm="1">
        <f t="array" ref="AA472">_xlfn.IFS(
(F472/(X472/7)) &lt; 5, "Casual",
AND((F472/(X472/7)) &gt;= 5, (F472/(X472/7)) &lt; 15), "Regular",
(F472/(X472/7)) &gt;= 15, "Power"
)</f>
        <v>Casual</v>
      </c>
      <c r="AB472" s="3">
        <f t="shared" si="32"/>
        <v>0.67844522968197885</v>
      </c>
      <c r="AC472" t="str">
        <f t="shared" si="30"/>
        <v>Viewers</v>
      </c>
    </row>
    <row r="473" spans="1:29" x14ac:dyDescent="0.3">
      <c r="A473" s="6">
        <v>8151</v>
      </c>
      <c r="B473" s="7" t="s">
        <v>106</v>
      </c>
      <c r="C473" s="10">
        <v>45465</v>
      </c>
      <c r="D473" s="10">
        <v>45620</v>
      </c>
      <c r="E473" s="13">
        <v>11.99</v>
      </c>
      <c r="F473" s="6">
        <v>483</v>
      </c>
      <c r="G473" s="7" t="s">
        <v>100</v>
      </c>
      <c r="H473" s="6">
        <v>3</v>
      </c>
      <c r="I473" s="6">
        <v>6</v>
      </c>
      <c r="J473" s="7" t="b">
        <v>0</v>
      </c>
      <c r="K473" s="6">
        <v>730</v>
      </c>
      <c r="L473" s="6">
        <v>98</v>
      </c>
      <c r="M473" s="7" t="s">
        <v>43</v>
      </c>
      <c r="N473" s="7" t="s">
        <v>75</v>
      </c>
      <c r="O473" s="7" t="s">
        <v>45</v>
      </c>
      <c r="P473" s="6">
        <v>29</v>
      </c>
      <c r="Q473" s="11">
        <v>3.8</v>
      </c>
      <c r="R473" s="7" t="b">
        <v>0</v>
      </c>
      <c r="S473" s="7" t="s">
        <v>30</v>
      </c>
      <c r="T473" s="6">
        <v>1813</v>
      </c>
      <c r="U473" s="7" t="s">
        <v>38</v>
      </c>
      <c r="V473" s="12" t="s">
        <v>32</v>
      </c>
      <c r="W473" s="7" t="s">
        <v>40</v>
      </c>
      <c r="X473" s="6">
        <f t="shared" si="31"/>
        <v>155</v>
      </c>
      <c r="Y473" t="str" cm="1">
        <f t="array" ref="Y473">_xlfn.IFS(E473=7.99,"BASIC",E473=11.99,"STANDARD",E473=15.99,"PREMIUM")</f>
        <v>STANDARD</v>
      </c>
      <c r="Z473" s="4">
        <f t="shared" si="29"/>
        <v>21.812903225806451</v>
      </c>
      <c r="AA473" s="3" t="str" cm="1">
        <f t="array" ref="AA473">_xlfn.IFS(
(F473/(X473/7)) &lt; 5, "Casual",
AND((F473/(X473/7)) &gt;= 5, (F473/(X473/7)) &lt; 15), "Regular",
(F473/(X473/7)) &gt;= 15, "Power"
)</f>
        <v>Power</v>
      </c>
      <c r="AB473" s="3">
        <f t="shared" si="32"/>
        <v>0.58333333333333337</v>
      </c>
      <c r="AC473" t="str">
        <f t="shared" si="30"/>
        <v>Viewers</v>
      </c>
    </row>
    <row r="474" spans="1:29" x14ac:dyDescent="0.3">
      <c r="A474" s="6">
        <v>7742</v>
      </c>
      <c r="B474" s="7" t="s">
        <v>153</v>
      </c>
      <c r="C474" s="10">
        <v>45562</v>
      </c>
      <c r="D474" s="10">
        <v>45618</v>
      </c>
      <c r="E474" s="13">
        <v>11.99</v>
      </c>
      <c r="F474" s="6">
        <v>17</v>
      </c>
      <c r="G474" s="7" t="s">
        <v>73</v>
      </c>
      <c r="H474" s="6">
        <v>2</v>
      </c>
      <c r="I474" s="6">
        <v>3</v>
      </c>
      <c r="J474" s="7" t="b">
        <v>1</v>
      </c>
      <c r="K474" s="6">
        <v>312</v>
      </c>
      <c r="L474" s="6">
        <v>114</v>
      </c>
      <c r="M474" s="7" t="s">
        <v>27</v>
      </c>
      <c r="N474" s="7" t="s">
        <v>28</v>
      </c>
      <c r="O474" s="7" t="s">
        <v>37</v>
      </c>
      <c r="P474" s="6">
        <v>15</v>
      </c>
      <c r="Q474" s="11">
        <v>3.6</v>
      </c>
      <c r="R474" s="7" t="b">
        <v>1</v>
      </c>
      <c r="S474" s="7" t="s">
        <v>30</v>
      </c>
      <c r="T474" s="6">
        <v>2084</v>
      </c>
      <c r="U474" s="7" t="s">
        <v>76</v>
      </c>
      <c r="V474" s="12" t="s">
        <v>59</v>
      </c>
      <c r="W474" s="7" t="s">
        <v>60</v>
      </c>
      <c r="X474" s="6">
        <f t="shared" si="31"/>
        <v>56</v>
      </c>
      <c r="Y474" t="str" cm="1">
        <f t="array" ref="Y474">_xlfn.IFS(E474=7.99,"BASIC",E474=11.99,"STANDARD",E474=15.99,"PREMIUM")</f>
        <v>STANDARD</v>
      </c>
      <c r="Z474" s="4">
        <f t="shared" si="29"/>
        <v>2.125</v>
      </c>
      <c r="AA474" s="3" t="str" cm="1">
        <f t="array" ref="AA474">_xlfn.IFS(
(F474/(X474/7)) &lt; 5, "Casual",
AND((F474/(X474/7)) &gt;= 5, (F474/(X474/7)) &lt; 15), "Regular",
(F474/(X474/7)) &gt;= 15, "Power"
)</f>
        <v>Casual</v>
      </c>
      <c r="AB474" s="3">
        <f t="shared" si="32"/>
        <v>3.9906103286384977E-2</v>
      </c>
      <c r="AC474" t="str">
        <f t="shared" si="30"/>
        <v xml:space="preserve"> Browsers</v>
      </c>
    </row>
    <row r="475" spans="1:29" x14ac:dyDescent="0.3">
      <c r="A475" s="6">
        <v>4553</v>
      </c>
      <c r="B475" s="7" t="s">
        <v>387</v>
      </c>
      <c r="C475" s="10">
        <v>45092</v>
      </c>
      <c r="D475" s="10">
        <v>45623</v>
      </c>
      <c r="E475" s="13">
        <v>7.99</v>
      </c>
      <c r="F475" s="6">
        <v>272</v>
      </c>
      <c r="G475" s="7" t="s">
        <v>51</v>
      </c>
      <c r="H475" s="6">
        <v>1</v>
      </c>
      <c r="I475" s="6">
        <v>6</v>
      </c>
      <c r="J475" s="7" t="b">
        <v>0</v>
      </c>
      <c r="K475" s="6">
        <v>356</v>
      </c>
      <c r="L475" s="6">
        <v>126</v>
      </c>
      <c r="M475" s="7" t="s">
        <v>55</v>
      </c>
      <c r="N475" s="7" t="s">
        <v>44</v>
      </c>
      <c r="O475" s="7" t="s">
        <v>45</v>
      </c>
      <c r="P475" s="6">
        <v>40</v>
      </c>
      <c r="Q475" s="11">
        <v>4.3</v>
      </c>
      <c r="R475" s="7" t="b">
        <v>1</v>
      </c>
      <c r="S475" s="7" t="s">
        <v>30</v>
      </c>
      <c r="T475" s="6">
        <v>749</v>
      </c>
      <c r="U475" s="7" t="s">
        <v>58</v>
      </c>
      <c r="V475" s="12" t="s">
        <v>39</v>
      </c>
      <c r="W475" s="7" t="s">
        <v>60</v>
      </c>
      <c r="X475" s="6">
        <f t="shared" si="31"/>
        <v>531</v>
      </c>
      <c r="Y475" t="str" cm="1">
        <f t="array" ref="Y475">_xlfn.IFS(E475=7.99,"BASIC",E475=11.99,"STANDARD",E475=15.99,"PREMIUM")</f>
        <v>BASIC</v>
      </c>
      <c r="Z475" s="4">
        <f t="shared" si="29"/>
        <v>3.5856873822975515</v>
      </c>
      <c r="AA475" s="3" t="str" cm="1">
        <f t="array" ref="AA475">_xlfn.IFS(
(F475/(X475/7)) &lt; 5, "Casual",
AND((F475/(X475/7)) &gt;= 5, (F475/(X475/7)) &lt; 15), "Regular",
(F475/(X475/7)) &gt;= 15, "Power"
)</f>
        <v>Casual</v>
      </c>
      <c r="AB475" s="3">
        <f t="shared" si="32"/>
        <v>0.56431535269709543</v>
      </c>
      <c r="AC475" t="str">
        <f t="shared" si="30"/>
        <v>Viewers</v>
      </c>
    </row>
    <row r="476" spans="1:29" x14ac:dyDescent="0.3">
      <c r="A476" s="6">
        <v>6919</v>
      </c>
      <c r="B476" s="7" t="s">
        <v>525</v>
      </c>
      <c r="C476" s="10">
        <v>44982</v>
      </c>
      <c r="D476" s="10">
        <v>45620</v>
      </c>
      <c r="E476" s="13">
        <v>7.99</v>
      </c>
      <c r="F476" s="6">
        <v>195</v>
      </c>
      <c r="G476" s="7" t="s">
        <v>26</v>
      </c>
      <c r="H476" s="6">
        <v>4</v>
      </c>
      <c r="I476" s="6">
        <v>3</v>
      </c>
      <c r="J476" s="7" t="b">
        <v>1</v>
      </c>
      <c r="K476" s="6">
        <v>49</v>
      </c>
      <c r="L476" s="6">
        <v>30</v>
      </c>
      <c r="M476" s="7" t="s">
        <v>43</v>
      </c>
      <c r="N476" s="7" t="s">
        <v>28</v>
      </c>
      <c r="O476" s="7" t="s">
        <v>37</v>
      </c>
      <c r="P476" s="6">
        <v>68</v>
      </c>
      <c r="Q476" s="11">
        <v>4.4000000000000004</v>
      </c>
      <c r="R476" s="7" t="b">
        <v>0</v>
      </c>
      <c r="S476" s="7" t="s">
        <v>30</v>
      </c>
      <c r="T476" s="6">
        <v>3157</v>
      </c>
      <c r="U476" s="7" t="s">
        <v>58</v>
      </c>
      <c r="V476" s="12" t="s">
        <v>59</v>
      </c>
      <c r="W476" s="7" t="s">
        <v>60</v>
      </c>
      <c r="X476" s="6">
        <f t="shared" si="31"/>
        <v>638</v>
      </c>
      <c r="Y476" t="str" cm="1">
        <f t="array" ref="Y476">_xlfn.IFS(E476=7.99,"BASIC",E476=11.99,"STANDARD",E476=15.99,"PREMIUM")</f>
        <v>BASIC</v>
      </c>
      <c r="Z476" s="4">
        <f t="shared" si="29"/>
        <v>2.1394984326018811</v>
      </c>
      <c r="AA476" s="3" t="str" cm="1">
        <f t="array" ref="AA476">_xlfn.IFS(
(F476/(X476/7)) &lt; 5, "Casual",
AND((F476/(X476/7)) &gt;= 5, (F476/(X476/7)) &lt; 15), "Regular",
(F476/(X476/7)) &gt;= 15, "Power"
)</f>
        <v>Casual</v>
      </c>
      <c r="AB476" s="3">
        <f t="shared" si="32"/>
        <v>2.4683544303797467</v>
      </c>
      <c r="AC476" t="str">
        <f t="shared" si="30"/>
        <v>Viewers</v>
      </c>
    </row>
    <row r="477" spans="1:29" x14ac:dyDescent="0.3">
      <c r="A477" s="6">
        <v>7168</v>
      </c>
      <c r="B477" s="7" t="s">
        <v>367</v>
      </c>
      <c r="C477" s="10">
        <v>45301</v>
      </c>
      <c r="D477" s="10">
        <v>45617</v>
      </c>
      <c r="E477" s="13">
        <v>11.99</v>
      </c>
      <c r="F477" s="6">
        <v>416</v>
      </c>
      <c r="G477" s="7" t="s">
        <v>48</v>
      </c>
      <c r="H477" s="6">
        <v>3</v>
      </c>
      <c r="I477" s="6">
        <v>1</v>
      </c>
      <c r="J477" s="7" t="b">
        <v>1</v>
      </c>
      <c r="K477" s="6">
        <v>774</v>
      </c>
      <c r="L477" s="6">
        <v>55</v>
      </c>
      <c r="M477" s="7" t="s">
        <v>92</v>
      </c>
      <c r="N477" s="7" t="s">
        <v>28</v>
      </c>
      <c r="O477" s="7" t="s">
        <v>78</v>
      </c>
      <c r="P477" s="6">
        <v>41</v>
      </c>
      <c r="Q477" s="11">
        <v>3.3</v>
      </c>
      <c r="R477" s="7" t="b">
        <v>0</v>
      </c>
      <c r="S477" s="7" t="s">
        <v>30</v>
      </c>
      <c r="T477" s="6">
        <v>173</v>
      </c>
      <c r="U477" s="7" t="s">
        <v>31</v>
      </c>
      <c r="V477" s="12" t="s">
        <v>59</v>
      </c>
      <c r="W477" s="7" t="s">
        <v>40</v>
      </c>
      <c r="X477" s="6">
        <f t="shared" si="31"/>
        <v>316</v>
      </c>
      <c r="Y477" t="str" cm="1">
        <f t="array" ref="Y477">_xlfn.IFS(E477=7.99,"BASIC",E477=11.99,"STANDARD",E477=15.99,"PREMIUM")</f>
        <v>STANDARD</v>
      </c>
      <c r="Z477" s="4">
        <f t="shared" si="29"/>
        <v>9.2151898734177209</v>
      </c>
      <c r="AA477" s="3" t="str" cm="1">
        <f t="array" ref="AA477">_xlfn.IFS(
(F477/(X477/7)) &lt; 5, "Casual",
AND((F477/(X477/7)) &gt;= 5, (F477/(X477/7)) &lt; 15), "Regular",
(F477/(X477/7)) &gt;= 15, "Power"
)</f>
        <v>Regular</v>
      </c>
      <c r="AB477" s="3">
        <f t="shared" si="32"/>
        <v>0.50180940892641734</v>
      </c>
      <c r="AC477" t="str">
        <f t="shared" si="30"/>
        <v>Viewers</v>
      </c>
    </row>
    <row r="478" spans="1:29" x14ac:dyDescent="0.3">
      <c r="A478" s="6">
        <v>6474</v>
      </c>
      <c r="B478" s="7" t="s">
        <v>272</v>
      </c>
      <c r="C478" s="10">
        <v>45230</v>
      </c>
      <c r="D478" s="10">
        <v>45615</v>
      </c>
      <c r="E478" s="13">
        <v>15.99</v>
      </c>
      <c r="F478" s="6">
        <v>459</v>
      </c>
      <c r="G478" s="7" t="s">
        <v>51</v>
      </c>
      <c r="H478" s="6">
        <v>5</v>
      </c>
      <c r="I478" s="6">
        <v>5</v>
      </c>
      <c r="J478" s="7" t="b">
        <v>1</v>
      </c>
      <c r="K478" s="6">
        <v>961</v>
      </c>
      <c r="L478" s="6">
        <v>173</v>
      </c>
      <c r="M478" s="7" t="s">
        <v>49</v>
      </c>
      <c r="N478" s="7" t="s">
        <v>28</v>
      </c>
      <c r="O478" s="7" t="s">
        <v>37</v>
      </c>
      <c r="P478" s="6">
        <v>92</v>
      </c>
      <c r="Q478" s="11">
        <v>3.7</v>
      </c>
      <c r="R478" s="7" t="b">
        <v>0</v>
      </c>
      <c r="S478" s="7" t="s">
        <v>30</v>
      </c>
      <c r="T478" s="6">
        <v>2925</v>
      </c>
      <c r="U478" s="7" t="s">
        <v>38</v>
      </c>
      <c r="V478" s="12" t="s">
        <v>79</v>
      </c>
      <c r="W478" s="7" t="s">
        <v>33</v>
      </c>
      <c r="X478" s="6">
        <f t="shared" si="31"/>
        <v>385</v>
      </c>
      <c r="Y478" t="str" cm="1">
        <f t="array" ref="Y478">_xlfn.IFS(E478=7.99,"BASIC",E478=11.99,"STANDARD",E478=15.99,"PREMIUM")</f>
        <v>PREMIUM</v>
      </c>
      <c r="Z478" s="4">
        <f t="shared" si="29"/>
        <v>8.3454545454545457</v>
      </c>
      <c r="AA478" s="3" t="str" cm="1">
        <f t="array" ref="AA478">_xlfn.IFS(
(F478/(X478/7)) &lt; 5, "Casual",
AND((F478/(X478/7)) &gt;= 5, (F478/(X478/7)) &lt; 15), "Regular",
(F478/(X478/7)) &gt;= 15, "Power"
)</f>
        <v>Regular</v>
      </c>
      <c r="AB478" s="3">
        <f t="shared" si="32"/>
        <v>0.40476190476190477</v>
      </c>
      <c r="AC478" t="str">
        <f t="shared" si="30"/>
        <v>Viewers</v>
      </c>
    </row>
    <row r="479" spans="1:29" x14ac:dyDescent="0.3">
      <c r="A479" s="6">
        <v>4242</v>
      </c>
      <c r="B479" s="7" t="s">
        <v>41</v>
      </c>
      <c r="C479" s="10">
        <v>45236</v>
      </c>
      <c r="D479" s="10">
        <v>45641</v>
      </c>
      <c r="E479" s="13">
        <v>7.99</v>
      </c>
      <c r="F479" s="6">
        <v>168</v>
      </c>
      <c r="G479" s="7" t="s">
        <v>63</v>
      </c>
      <c r="H479" s="6">
        <v>5</v>
      </c>
      <c r="I479" s="6">
        <v>3</v>
      </c>
      <c r="J479" s="7" t="b">
        <v>1</v>
      </c>
      <c r="K479" s="6">
        <v>539</v>
      </c>
      <c r="L479" s="6">
        <v>48</v>
      </c>
      <c r="M479" s="7" t="s">
        <v>43</v>
      </c>
      <c r="N479" s="7" t="s">
        <v>56</v>
      </c>
      <c r="O479" s="7" t="s">
        <v>29</v>
      </c>
      <c r="P479" s="6">
        <v>82</v>
      </c>
      <c r="Q479" s="11">
        <v>4.3</v>
      </c>
      <c r="R479" s="7" t="b">
        <v>0</v>
      </c>
      <c r="S479" s="7" t="s">
        <v>30</v>
      </c>
      <c r="T479" s="6">
        <v>3182</v>
      </c>
      <c r="U479" s="7" t="s">
        <v>76</v>
      </c>
      <c r="V479" s="12" t="s">
        <v>39</v>
      </c>
      <c r="W479" s="7" t="s">
        <v>33</v>
      </c>
      <c r="X479" s="6">
        <f t="shared" si="31"/>
        <v>405</v>
      </c>
      <c r="Y479" t="str" cm="1">
        <f t="array" ref="Y479">_xlfn.IFS(E479=7.99,"BASIC",E479=11.99,"STANDARD",E479=15.99,"PREMIUM")</f>
        <v>BASIC</v>
      </c>
      <c r="Z479" s="4">
        <f t="shared" si="29"/>
        <v>2.9037037037037039</v>
      </c>
      <c r="AA479" s="3" t="str" cm="1">
        <f t="array" ref="AA479">_xlfn.IFS(
(F479/(X479/7)) &lt; 5, "Casual",
AND((F479/(X479/7)) &gt;= 5, (F479/(X479/7)) &lt; 15), "Regular",
(F479/(X479/7)) &gt;= 15, "Power"
)</f>
        <v>Casual</v>
      </c>
      <c r="AB479" s="3">
        <f t="shared" si="32"/>
        <v>0.28620102214650767</v>
      </c>
      <c r="AC479" t="str">
        <f t="shared" si="30"/>
        <v>Viewers</v>
      </c>
    </row>
    <row r="480" spans="1:29" x14ac:dyDescent="0.3">
      <c r="A480" s="6">
        <v>3395</v>
      </c>
      <c r="B480" s="7" t="s">
        <v>157</v>
      </c>
      <c r="C480" s="10">
        <v>45377</v>
      </c>
      <c r="D480" s="10">
        <v>45625</v>
      </c>
      <c r="E480" s="13">
        <v>7.99</v>
      </c>
      <c r="F480" s="6">
        <v>307</v>
      </c>
      <c r="G480" s="7" t="s">
        <v>100</v>
      </c>
      <c r="H480" s="6">
        <v>5</v>
      </c>
      <c r="I480" s="6">
        <v>6</v>
      </c>
      <c r="J480" s="7" t="b">
        <v>0</v>
      </c>
      <c r="K480" s="6">
        <v>340</v>
      </c>
      <c r="L480" s="6">
        <v>174</v>
      </c>
      <c r="M480" s="7" t="s">
        <v>55</v>
      </c>
      <c r="N480" s="7" t="s">
        <v>75</v>
      </c>
      <c r="O480" s="7" t="s">
        <v>45</v>
      </c>
      <c r="P480" s="6">
        <v>11</v>
      </c>
      <c r="Q480" s="11">
        <v>4.5</v>
      </c>
      <c r="R480" s="7" t="b">
        <v>1</v>
      </c>
      <c r="S480" s="7" t="s">
        <v>30</v>
      </c>
      <c r="T480" s="6">
        <v>2432</v>
      </c>
      <c r="U480" s="7" t="s">
        <v>58</v>
      </c>
      <c r="V480" s="12" t="s">
        <v>59</v>
      </c>
      <c r="W480" s="7" t="s">
        <v>40</v>
      </c>
      <c r="X480" s="6">
        <f t="shared" si="31"/>
        <v>248</v>
      </c>
      <c r="Y480" t="str" cm="1">
        <f t="array" ref="Y480">_xlfn.IFS(E480=7.99,"BASIC",E480=11.99,"STANDARD",E480=15.99,"PREMIUM")</f>
        <v>BASIC</v>
      </c>
      <c r="Z480" s="4">
        <f t="shared" si="29"/>
        <v>8.6653225806451601</v>
      </c>
      <c r="AA480" s="3" t="str" cm="1">
        <f t="array" ref="AA480">_xlfn.IFS(
(F480/(X480/7)) &lt; 5, "Casual",
AND((F480/(X480/7)) &gt;= 5, (F480/(X480/7)) &lt; 15), "Regular",
(F480/(X480/7)) &gt;= 15, "Power"
)</f>
        <v>Regular</v>
      </c>
      <c r="AB480" s="3">
        <f t="shared" si="32"/>
        <v>0.59727626459143968</v>
      </c>
      <c r="AC480" t="str">
        <f t="shared" si="30"/>
        <v>Viewers</v>
      </c>
    </row>
    <row r="481" spans="1:29" x14ac:dyDescent="0.3">
      <c r="A481" s="6">
        <v>8694</v>
      </c>
      <c r="B481" s="7" t="s">
        <v>527</v>
      </c>
      <c r="C481" s="10">
        <v>45274</v>
      </c>
      <c r="D481" s="10">
        <v>45629</v>
      </c>
      <c r="E481" s="13">
        <v>15.99</v>
      </c>
      <c r="F481" s="6">
        <v>270</v>
      </c>
      <c r="G481" s="7" t="s">
        <v>73</v>
      </c>
      <c r="H481" s="6">
        <v>2</v>
      </c>
      <c r="I481" s="6">
        <v>3</v>
      </c>
      <c r="J481" s="7" t="b">
        <v>1</v>
      </c>
      <c r="K481" s="6">
        <v>836</v>
      </c>
      <c r="L481" s="6">
        <v>67</v>
      </c>
      <c r="M481" s="7" t="s">
        <v>68</v>
      </c>
      <c r="N481" s="7" t="s">
        <v>28</v>
      </c>
      <c r="O481" s="7" t="s">
        <v>78</v>
      </c>
      <c r="P481" s="6">
        <v>51</v>
      </c>
      <c r="Q481" s="11">
        <v>4.5</v>
      </c>
      <c r="R481" s="7" t="b">
        <v>1</v>
      </c>
      <c r="S481" s="7" t="s">
        <v>30</v>
      </c>
      <c r="T481" s="6">
        <v>414</v>
      </c>
      <c r="U481" s="7" t="s">
        <v>58</v>
      </c>
      <c r="V481" s="12" t="s">
        <v>59</v>
      </c>
      <c r="W481" s="7" t="s">
        <v>60</v>
      </c>
      <c r="X481" s="6">
        <f t="shared" si="31"/>
        <v>355</v>
      </c>
      <c r="Y481" t="str" cm="1">
        <f t="array" ref="Y481">_xlfn.IFS(E481=7.99,"BASIC",E481=11.99,"STANDARD",E481=15.99,"PREMIUM")</f>
        <v>PREMIUM</v>
      </c>
      <c r="Z481" s="4">
        <f t="shared" si="29"/>
        <v>5.323943661971831</v>
      </c>
      <c r="AA481" s="3" t="str" cm="1">
        <f t="array" ref="AA481">_xlfn.IFS(
(F481/(X481/7)) &lt; 5, "Casual",
AND((F481/(X481/7)) &gt;= 5, (F481/(X481/7)) &lt; 15), "Regular",
(F481/(X481/7)) &gt;= 15, "Power"
)</f>
        <v>Regular</v>
      </c>
      <c r="AB481" s="3">
        <f t="shared" si="32"/>
        <v>0.29900332225913623</v>
      </c>
      <c r="AC481" t="str">
        <f t="shared" si="30"/>
        <v>Viewers</v>
      </c>
    </row>
    <row r="482" spans="1:29" x14ac:dyDescent="0.3">
      <c r="A482" s="6">
        <v>7150</v>
      </c>
      <c r="B482" s="7" t="s">
        <v>138</v>
      </c>
      <c r="C482" s="10">
        <v>45029</v>
      </c>
      <c r="D482" s="10">
        <v>45633</v>
      </c>
      <c r="E482" s="13">
        <v>7.99</v>
      </c>
      <c r="F482" s="6">
        <v>358</v>
      </c>
      <c r="G482" s="7" t="s">
        <v>26</v>
      </c>
      <c r="H482" s="6">
        <v>4</v>
      </c>
      <c r="I482" s="6">
        <v>6</v>
      </c>
      <c r="J482" s="7" t="b">
        <v>1</v>
      </c>
      <c r="K482" s="6">
        <v>746</v>
      </c>
      <c r="L482" s="6">
        <v>200</v>
      </c>
      <c r="M482" s="7" t="s">
        <v>55</v>
      </c>
      <c r="N482" s="7" t="s">
        <v>44</v>
      </c>
      <c r="O482" s="7" t="s">
        <v>64</v>
      </c>
      <c r="P482" s="6">
        <v>35</v>
      </c>
      <c r="Q482" s="11">
        <v>3.9</v>
      </c>
      <c r="R482" s="7" t="b">
        <v>1</v>
      </c>
      <c r="S482" s="7" t="s">
        <v>30</v>
      </c>
      <c r="T482" s="6">
        <v>888</v>
      </c>
      <c r="U482" s="7" t="s">
        <v>65</v>
      </c>
      <c r="V482" s="12" t="s">
        <v>69</v>
      </c>
      <c r="W482" s="7" t="s">
        <v>33</v>
      </c>
      <c r="X482" s="6">
        <f t="shared" si="31"/>
        <v>604</v>
      </c>
      <c r="Y482" t="str" cm="1">
        <f t="array" ref="Y482">_xlfn.IFS(E482=7.99,"BASIC",E482=11.99,"STANDARD",E482=15.99,"PREMIUM")</f>
        <v>BASIC</v>
      </c>
      <c r="Z482" s="4">
        <f t="shared" si="29"/>
        <v>4.1490066225165556</v>
      </c>
      <c r="AA482" s="3" t="str" cm="1">
        <f t="array" ref="AA482">_xlfn.IFS(
(F482/(X482/7)) &lt; 5, "Casual",
AND((F482/(X482/7)) &gt;= 5, (F482/(X482/7)) &lt; 15), "Regular",
(F482/(X482/7)) &gt;= 15, "Power"
)</f>
        <v>Casual</v>
      </c>
      <c r="AB482" s="3">
        <f t="shared" si="32"/>
        <v>0.3784355179704017</v>
      </c>
      <c r="AC482" t="str">
        <f t="shared" si="30"/>
        <v>Viewers</v>
      </c>
    </row>
    <row r="483" spans="1:29" x14ac:dyDescent="0.3">
      <c r="A483" s="6">
        <v>4111</v>
      </c>
      <c r="B483" s="7" t="s">
        <v>359</v>
      </c>
      <c r="C483" s="10">
        <v>45405</v>
      </c>
      <c r="D483" s="10">
        <v>45623</v>
      </c>
      <c r="E483" s="13">
        <v>11.99</v>
      </c>
      <c r="F483" s="6">
        <v>301</v>
      </c>
      <c r="G483" s="7" t="s">
        <v>48</v>
      </c>
      <c r="H483" s="6">
        <v>2</v>
      </c>
      <c r="I483" s="6">
        <v>2</v>
      </c>
      <c r="J483" s="7" t="b">
        <v>1</v>
      </c>
      <c r="K483" s="6">
        <v>939</v>
      </c>
      <c r="L483" s="6">
        <v>21</v>
      </c>
      <c r="M483" s="7" t="s">
        <v>74</v>
      </c>
      <c r="N483" s="7" t="s">
        <v>56</v>
      </c>
      <c r="O483" s="7" t="s">
        <v>45</v>
      </c>
      <c r="P483" s="6">
        <v>83</v>
      </c>
      <c r="Q483" s="11">
        <v>4.9000000000000004</v>
      </c>
      <c r="R483" s="7" t="b">
        <v>0</v>
      </c>
      <c r="S483" s="7" t="s">
        <v>30</v>
      </c>
      <c r="T483" s="6">
        <v>1058</v>
      </c>
      <c r="U483" s="7" t="s">
        <v>58</v>
      </c>
      <c r="V483" s="12" t="s">
        <v>79</v>
      </c>
      <c r="W483" s="7" t="s">
        <v>60</v>
      </c>
      <c r="X483" s="6">
        <f t="shared" si="31"/>
        <v>218</v>
      </c>
      <c r="Y483" t="str" cm="1">
        <f t="array" ref="Y483">_xlfn.IFS(E483=7.99,"BASIC",E483=11.99,"STANDARD",E483=15.99,"PREMIUM")</f>
        <v>STANDARD</v>
      </c>
      <c r="Z483" s="4">
        <f t="shared" si="29"/>
        <v>9.6651376146788994</v>
      </c>
      <c r="AA483" s="3" t="str" cm="1">
        <f t="array" ref="AA483">_xlfn.IFS(
(F483/(X483/7)) &lt; 5, "Casual",
AND((F483/(X483/7)) &gt;= 5, (F483/(X483/7)) &lt; 15), "Regular",
(F483/(X483/7)) &gt;= 15, "Power"
)</f>
        <v>Regular</v>
      </c>
      <c r="AB483" s="3">
        <f t="shared" si="32"/>
        <v>0.31354166666666666</v>
      </c>
      <c r="AC483" t="str">
        <f t="shared" si="30"/>
        <v>Viewers</v>
      </c>
    </row>
    <row r="484" spans="1:29" x14ac:dyDescent="0.3">
      <c r="A484" s="6">
        <v>3532</v>
      </c>
      <c r="B484" s="7" t="s">
        <v>357</v>
      </c>
      <c r="C484" s="10">
        <v>44955</v>
      </c>
      <c r="D484" s="10">
        <v>45641</v>
      </c>
      <c r="E484" s="13">
        <v>7.99</v>
      </c>
      <c r="F484" s="6">
        <v>277</v>
      </c>
      <c r="G484" s="7" t="s">
        <v>26</v>
      </c>
      <c r="H484" s="6">
        <v>2</v>
      </c>
      <c r="I484" s="6">
        <v>4</v>
      </c>
      <c r="J484" s="7" t="b">
        <v>0</v>
      </c>
      <c r="K484" s="6">
        <v>659</v>
      </c>
      <c r="L484" s="6">
        <v>150</v>
      </c>
      <c r="M484" s="7" t="s">
        <v>27</v>
      </c>
      <c r="N484" s="7" t="s">
        <v>44</v>
      </c>
      <c r="O484" s="7" t="s">
        <v>64</v>
      </c>
      <c r="P484" s="6">
        <v>79</v>
      </c>
      <c r="Q484" s="11">
        <v>3.9</v>
      </c>
      <c r="R484" s="7" t="b">
        <v>1</v>
      </c>
      <c r="S484" s="7" t="s">
        <v>30</v>
      </c>
      <c r="T484" s="6">
        <v>2067</v>
      </c>
      <c r="U484" s="7" t="s">
        <v>58</v>
      </c>
      <c r="V484" s="12" t="s">
        <v>69</v>
      </c>
      <c r="W484" s="7" t="s">
        <v>40</v>
      </c>
      <c r="X484" s="6">
        <f t="shared" si="31"/>
        <v>686</v>
      </c>
      <c r="Y484" t="str" cm="1">
        <f t="array" ref="Y484">_xlfn.IFS(E484=7.99,"BASIC",E484=11.99,"STANDARD",E484=15.99,"PREMIUM")</f>
        <v>BASIC</v>
      </c>
      <c r="Z484" s="4">
        <f t="shared" si="29"/>
        <v>2.8265306122448979</v>
      </c>
      <c r="AA484" s="3" t="str" cm="1">
        <f t="array" ref="AA484">_xlfn.IFS(
(F484/(X484/7)) &lt; 5, "Casual",
AND((F484/(X484/7)) &gt;= 5, (F484/(X484/7)) &lt; 15), "Regular",
(F484/(X484/7)) &gt;= 15, "Power"
)</f>
        <v>Casual</v>
      </c>
      <c r="AB484" s="3">
        <f t="shared" si="32"/>
        <v>0.34239802224969096</v>
      </c>
      <c r="AC484" t="str">
        <f t="shared" si="30"/>
        <v>Viewers</v>
      </c>
    </row>
    <row r="485" spans="1:29" x14ac:dyDescent="0.3">
      <c r="A485" s="6">
        <v>5375</v>
      </c>
      <c r="B485" s="7" t="s">
        <v>531</v>
      </c>
      <c r="C485" s="10">
        <v>44926</v>
      </c>
      <c r="D485" s="10">
        <v>45626</v>
      </c>
      <c r="E485" s="13">
        <v>15.99</v>
      </c>
      <c r="F485" s="6">
        <v>423</v>
      </c>
      <c r="G485" s="7" t="s">
        <v>48</v>
      </c>
      <c r="H485" s="6">
        <v>5</v>
      </c>
      <c r="I485" s="6">
        <v>2</v>
      </c>
      <c r="J485" s="7" t="b">
        <v>1</v>
      </c>
      <c r="K485" s="6">
        <v>435</v>
      </c>
      <c r="L485" s="6">
        <v>108</v>
      </c>
      <c r="M485" s="7" t="s">
        <v>49</v>
      </c>
      <c r="N485" s="7" t="s">
        <v>44</v>
      </c>
      <c r="O485" s="7" t="s">
        <v>64</v>
      </c>
      <c r="P485" s="6">
        <v>44</v>
      </c>
      <c r="Q485" s="11">
        <v>4.5999999999999996</v>
      </c>
      <c r="R485" s="7" t="b">
        <v>0</v>
      </c>
      <c r="S485" s="7" t="s">
        <v>30</v>
      </c>
      <c r="T485" s="6">
        <v>3763</v>
      </c>
      <c r="U485" s="7" t="s">
        <v>65</v>
      </c>
      <c r="V485" s="12" t="s">
        <v>69</v>
      </c>
      <c r="W485" s="7" t="s">
        <v>60</v>
      </c>
      <c r="X485" s="6">
        <f t="shared" si="31"/>
        <v>700</v>
      </c>
      <c r="Y485" t="str" cm="1">
        <f t="array" ref="Y485">_xlfn.IFS(E485=7.99,"BASIC",E485=11.99,"STANDARD",E485=15.99,"PREMIUM")</f>
        <v>PREMIUM</v>
      </c>
      <c r="Z485" s="4">
        <f t="shared" si="29"/>
        <v>4.2300000000000004</v>
      </c>
      <c r="AA485" s="3" t="str" cm="1">
        <f t="array" ref="AA485">_xlfn.IFS(
(F485/(X485/7)) &lt; 5, "Casual",
AND((F485/(X485/7)) &gt;= 5, (F485/(X485/7)) &lt; 15), "Regular",
(F485/(X485/7)) &gt;= 15, "Power"
)</f>
        <v>Casual</v>
      </c>
      <c r="AB485" s="3">
        <f t="shared" si="32"/>
        <v>0.77900552486187846</v>
      </c>
      <c r="AC485" t="str">
        <f t="shared" si="30"/>
        <v>Viewers</v>
      </c>
    </row>
    <row r="486" spans="1:29" x14ac:dyDescent="0.3">
      <c r="A486" s="6">
        <v>8881</v>
      </c>
      <c r="B486" s="7" t="s">
        <v>275</v>
      </c>
      <c r="C486" s="10">
        <v>45551</v>
      </c>
      <c r="D486" s="10">
        <v>45620</v>
      </c>
      <c r="E486" s="13">
        <v>11.99</v>
      </c>
      <c r="F486" s="6">
        <v>197</v>
      </c>
      <c r="G486" s="7" t="s">
        <v>36</v>
      </c>
      <c r="H486" s="6">
        <v>1</v>
      </c>
      <c r="I486" s="6">
        <v>5</v>
      </c>
      <c r="J486" s="7" t="b">
        <v>0</v>
      </c>
      <c r="K486" s="6">
        <v>292</v>
      </c>
      <c r="L486" s="6">
        <v>169</v>
      </c>
      <c r="M486" s="7" t="s">
        <v>92</v>
      </c>
      <c r="N486" s="7" t="s">
        <v>75</v>
      </c>
      <c r="O486" s="7" t="s">
        <v>64</v>
      </c>
      <c r="P486" s="6">
        <v>3</v>
      </c>
      <c r="Q486" s="11">
        <v>4.5</v>
      </c>
      <c r="R486" s="7" t="b">
        <v>0</v>
      </c>
      <c r="S486" s="7" t="s">
        <v>30</v>
      </c>
      <c r="T486" s="6">
        <v>957</v>
      </c>
      <c r="U486" s="7" t="s">
        <v>38</v>
      </c>
      <c r="V486" s="12" t="s">
        <v>69</v>
      </c>
      <c r="W486" s="7" t="s">
        <v>60</v>
      </c>
      <c r="X486" s="6">
        <f t="shared" si="31"/>
        <v>69</v>
      </c>
      <c r="Y486" t="str" cm="1">
        <f t="array" ref="Y486">_xlfn.IFS(E486=7.99,"BASIC",E486=11.99,"STANDARD",E486=15.99,"PREMIUM")</f>
        <v>STANDARD</v>
      </c>
      <c r="Z486" s="4">
        <f t="shared" si="29"/>
        <v>19.985507246376809</v>
      </c>
      <c r="AA486" s="3" t="str" cm="1">
        <f t="array" ref="AA486">_xlfn.IFS(
(F486/(X486/7)) &lt; 5, "Casual",
AND((F486/(X486/7)) &gt;= 5, (F486/(X486/7)) &lt; 15), "Regular",
(F486/(X486/7)) &gt;= 15, "Power"
)</f>
        <v>Power</v>
      </c>
      <c r="AB486" s="3">
        <f t="shared" si="32"/>
        <v>0.42733188720173537</v>
      </c>
      <c r="AC486" t="str">
        <f t="shared" si="30"/>
        <v>Viewers</v>
      </c>
    </row>
    <row r="487" spans="1:29" x14ac:dyDescent="0.3">
      <c r="A487" s="6">
        <v>1235</v>
      </c>
      <c r="B487" s="7" t="s">
        <v>101</v>
      </c>
      <c r="C487" s="10">
        <v>45230</v>
      </c>
      <c r="D487" s="10">
        <v>45623</v>
      </c>
      <c r="E487" s="13">
        <v>15.99</v>
      </c>
      <c r="F487" s="6">
        <v>100</v>
      </c>
      <c r="G487" s="7" t="s">
        <v>51</v>
      </c>
      <c r="H487" s="6">
        <v>2</v>
      </c>
      <c r="I487" s="6">
        <v>6</v>
      </c>
      <c r="J487" s="7" t="b">
        <v>1</v>
      </c>
      <c r="K487" s="6">
        <v>103</v>
      </c>
      <c r="L487" s="6">
        <v>36</v>
      </c>
      <c r="M487" s="7" t="s">
        <v>55</v>
      </c>
      <c r="N487" s="7" t="s">
        <v>44</v>
      </c>
      <c r="O487" s="7" t="s">
        <v>45</v>
      </c>
      <c r="P487" s="6">
        <v>68</v>
      </c>
      <c r="Q487" s="11">
        <v>3.7</v>
      </c>
      <c r="R487" s="7" t="b">
        <v>0</v>
      </c>
      <c r="S487" s="7" t="s">
        <v>30</v>
      </c>
      <c r="T487" s="6">
        <v>3003</v>
      </c>
      <c r="U487" s="7" t="s">
        <v>76</v>
      </c>
      <c r="V487" s="12" t="s">
        <v>79</v>
      </c>
      <c r="W487" s="7" t="s">
        <v>33</v>
      </c>
      <c r="X487" s="6">
        <f t="shared" si="31"/>
        <v>393</v>
      </c>
      <c r="Y487" t="str" cm="1">
        <f t="array" ref="Y487">_xlfn.IFS(E487=7.99,"BASIC",E487=11.99,"STANDARD",E487=15.99,"PREMIUM")</f>
        <v>PREMIUM</v>
      </c>
      <c r="Z487" s="4">
        <f t="shared" si="29"/>
        <v>1.7811704834605597</v>
      </c>
      <c r="AA487" s="3" t="str" cm="1">
        <f t="array" ref="AA487">_xlfn.IFS(
(F487/(X487/7)) &lt; 5, "Casual",
AND((F487/(X487/7)) &gt;= 5, (F487/(X487/7)) &lt; 15), "Regular",
(F487/(X487/7)) &gt;= 15, "Power"
)</f>
        <v>Casual</v>
      </c>
      <c r="AB487" s="3">
        <f t="shared" si="32"/>
        <v>0.71942446043165464</v>
      </c>
      <c r="AC487" t="str">
        <f t="shared" si="30"/>
        <v>Viewers</v>
      </c>
    </row>
    <row r="488" spans="1:29" x14ac:dyDescent="0.3">
      <c r="A488" s="6">
        <v>2533</v>
      </c>
      <c r="B488" s="7" t="s">
        <v>311</v>
      </c>
      <c r="C488" s="10">
        <v>45233</v>
      </c>
      <c r="D488" s="10">
        <v>45619</v>
      </c>
      <c r="E488" s="13">
        <v>15.99</v>
      </c>
      <c r="F488" s="6">
        <v>338</v>
      </c>
      <c r="G488" s="7" t="s">
        <v>26</v>
      </c>
      <c r="H488" s="6">
        <v>4</v>
      </c>
      <c r="I488" s="6">
        <v>2</v>
      </c>
      <c r="J488" s="7" t="b">
        <v>0</v>
      </c>
      <c r="K488" s="6">
        <v>525</v>
      </c>
      <c r="L488" s="6">
        <v>140</v>
      </c>
      <c r="M488" s="7" t="s">
        <v>68</v>
      </c>
      <c r="N488" s="7" t="s">
        <v>56</v>
      </c>
      <c r="O488" s="7" t="s">
        <v>78</v>
      </c>
      <c r="P488" s="6">
        <v>75</v>
      </c>
      <c r="Q488" s="11">
        <v>4.5999999999999996</v>
      </c>
      <c r="R488" s="7" t="b">
        <v>1</v>
      </c>
      <c r="S488" s="7" t="s">
        <v>30</v>
      </c>
      <c r="T488" s="6">
        <v>354</v>
      </c>
      <c r="U488" s="7" t="s">
        <v>58</v>
      </c>
      <c r="V488" s="12" t="s">
        <v>59</v>
      </c>
      <c r="W488" s="7" t="s">
        <v>93</v>
      </c>
      <c r="X488" s="6">
        <f t="shared" si="31"/>
        <v>386</v>
      </c>
      <c r="Y488" t="str" cm="1">
        <f t="array" ref="Y488">_xlfn.IFS(E488=7.99,"BASIC",E488=11.99,"STANDARD",E488=15.99,"PREMIUM")</f>
        <v>PREMIUM</v>
      </c>
      <c r="Z488" s="4">
        <f t="shared" si="29"/>
        <v>6.1295336787564763</v>
      </c>
      <c r="AA488" s="3" t="str" cm="1">
        <f t="array" ref="AA488">_xlfn.IFS(
(F488/(X488/7)) &lt; 5, "Casual",
AND((F488/(X488/7)) &gt;= 5, (F488/(X488/7)) &lt; 15), "Regular",
(F488/(X488/7)) &gt;= 15, "Power"
)</f>
        <v>Regular</v>
      </c>
      <c r="AB488" s="3">
        <f t="shared" si="32"/>
        <v>0.50827067669172932</v>
      </c>
      <c r="AC488" t="str">
        <f t="shared" si="30"/>
        <v>Viewers</v>
      </c>
    </row>
    <row r="489" spans="1:29" x14ac:dyDescent="0.3">
      <c r="A489" s="6">
        <v>2734</v>
      </c>
      <c r="B489" s="7" t="s">
        <v>288</v>
      </c>
      <c r="C489" s="10">
        <v>45449</v>
      </c>
      <c r="D489" s="10">
        <v>45627</v>
      </c>
      <c r="E489" s="13">
        <v>11.99</v>
      </c>
      <c r="F489" s="6">
        <v>130</v>
      </c>
      <c r="G489" s="7" t="s">
        <v>51</v>
      </c>
      <c r="H489" s="6">
        <v>1</v>
      </c>
      <c r="I489" s="6">
        <v>1</v>
      </c>
      <c r="J489" s="7" t="b">
        <v>1</v>
      </c>
      <c r="K489" s="6">
        <v>428</v>
      </c>
      <c r="L489" s="6">
        <v>119</v>
      </c>
      <c r="M489" s="7" t="s">
        <v>92</v>
      </c>
      <c r="N489" s="7" t="s">
        <v>56</v>
      </c>
      <c r="O489" s="7" t="s">
        <v>78</v>
      </c>
      <c r="P489" s="6">
        <v>53</v>
      </c>
      <c r="Q489" s="11">
        <v>4.5</v>
      </c>
      <c r="R489" s="7" t="b">
        <v>1</v>
      </c>
      <c r="S489" s="7" t="s">
        <v>30</v>
      </c>
      <c r="T489" s="6">
        <v>4922</v>
      </c>
      <c r="U489" s="7" t="s">
        <v>76</v>
      </c>
      <c r="V489" s="12" t="s">
        <v>32</v>
      </c>
      <c r="W489" s="7" t="s">
        <v>93</v>
      </c>
      <c r="X489" s="6">
        <f t="shared" si="31"/>
        <v>178</v>
      </c>
      <c r="Y489" t="str" cm="1">
        <f t="array" ref="Y489">_xlfn.IFS(E489=7.99,"BASIC",E489=11.99,"STANDARD",E489=15.99,"PREMIUM")</f>
        <v>STANDARD</v>
      </c>
      <c r="Z489" s="4">
        <f t="shared" si="29"/>
        <v>5.1123595505617985</v>
      </c>
      <c r="AA489" s="3" t="str" cm="1">
        <f t="array" ref="AA489">_xlfn.IFS(
(F489/(X489/7)) &lt; 5, "Casual",
AND((F489/(X489/7)) &gt;= 5, (F489/(X489/7)) &lt; 15), "Regular",
(F489/(X489/7)) &gt;= 15, "Power"
)</f>
        <v>Regular</v>
      </c>
      <c r="AB489" s="3">
        <f t="shared" si="32"/>
        <v>0.23765996343692869</v>
      </c>
      <c r="AC489" t="str">
        <f t="shared" si="30"/>
        <v>Viewers</v>
      </c>
    </row>
    <row r="490" spans="1:29" x14ac:dyDescent="0.3">
      <c r="A490" s="6">
        <v>4129</v>
      </c>
      <c r="B490" s="7" t="s">
        <v>240</v>
      </c>
      <c r="C490" s="10">
        <v>45291</v>
      </c>
      <c r="D490" s="10">
        <v>45621</v>
      </c>
      <c r="E490" s="13">
        <v>11.99</v>
      </c>
      <c r="F490" s="6">
        <v>383</v>
      </c>
      <c r="G490" s="7" t="s">
        <v>63</v>
      </c>
      <c r="H490" s="6">
        <v>5</v>
      </c>
      <c r="I490" s="6">
        <v>4</v>
      </c>
      <c r="J490" s="7" t="b">
        <v>1</v>
      </c>
      <c r="K490" s="6">
        <v>711</v>
      </c>
      <c r="L490" s="6">
        <v>147</v>
      </c>
      <c r="M490" s="7" t="s">
        <v>92</v>
      </c>
      <c r="N490" s="7" t="s">
        <v>28</v>
      </c>
      <c r="O490" s="7" t="s">
        <v>45</v>
      </c>
      <c r="P490" s="6">
        <v>68</v>
      </c>
      <c r="Q490" s="11">
        <v>3.9</v>
      </c>
      <c r="R490" s="7" t="b">
        <v>1</v>
      </c>
      <c r="S490" s="7" t="s">
        <v>30</v>
      </c>
      <c r="T490" s="6">
        <v>2083</v>
      </c>
      <c r="U490" s="7" t="s">
        <v>65</v>
      </c>
      <c r="V490" s="12" t="s">
        <v>59</v>
      </c>
      <c r="W490" s="7" t="s">
        <v>40</v>
      </c>
      <c r="X490" s="6">
        <f t="shared" si="31"/>
        <v>330</v>
      </c>
      <c r="Y490" t="str" cm="1">
        <f t="array" ref="Y490">_xlfn.IFS(E490=7.99,"BASIC",E490=11.99,"STANDARD",E490=15.99,"PREMIUM")</f>
        <v>STANDARD</v>
      </c>
      <c r="Z490" s="4">
        <f t="shared" si="29"/>
        <v>8.1242424242424232</v>
      </c>
      <c r="AA490" s="3" t="str" cm="1">
        <f t="array" ref="AA490">_xlfn.IFS(
(F490/(X490/7)) &lt; 5, "Casual",
AND((F490/(X490/7)) &gt;= 5, (F490/(X490/7)) &lt; 15), "Regular",
(F490/(X490/7)) &gt;= 15, "Power"
)</f>
        <v>Regular</v>
      </c>
      <c r="AB490" s="3">
        <f t="shared" si="32"/>
        <v>0.44638694638694637</v>
      </c>
      <c r="AC490" t="str">
        <f t="shared" si="30"/>
        <v>Viewers</v>
      </c>
    </row>
    <row r="491" spans="1:29" x14ac:dyDescent="0.3">
      <c r="A491" s="6">
        <v>3762</v>
      </c>
      <c r="B491" s="7" t="s">
        <v>318</v>
      </c>
      <c r="C491" s="10">
        <v>45288</v>
      </c>
      <c r="D491" s="10">
        <v>45626</v>
      </c>
      <c r="E491" s="13">
        <v>11.99</v>
      </c>
      <c r="F491" s="6">
        <v>411</v>
      </c>
      <c r="G491" s="7" t="s">
        <v>26</v>
      </c>
      <c r="H491" s="6">
        <v>5</v>
      </c>
      <c r="I491" s="6">
        <v>6</v>
      </c>
      <c r="J491" s="7" t="b">
        <v>1</v>
      </c>
      <c r="K491" s="6">
        <v>887</v>
      </c>
      <c r="L491" s="6">
        <v>37</v>
      </c>
      <c r="M491" s="7" t="s">
        <v>68</v>
      </c>
      <c r="N491" s="7" t="s">
        <v>28</v>
      </c>
      <c r="O491" s="7" t="s">
        <v>78</v>
      </c>
      <c r="P491" s="6">
        <v>66</v>
      </c>
      <c r="Q491" s="11">
        <v>3.9</v>
      </c>
      <c r="R491" s="7" t="b">
        <v>1</v>
      </c>
      <c r="S491" s="7" t="s">
        <v>30</v>
      </c>
      <c r="T491" s="6">
        <v>2098</v>
      </c>
      <c r="U491" s="7" t="s">
        <v>38</v>
      </c>
      <c r="V491" s="12" t="s">
        <v>69</v>
      </c>
      <c r="W491" s="7" t="s">
        <v>33</v>
      </c>
      <c r="X491" s="6">
        <f t="shared" si="31"/>
        <v>338</v>
      </c>
      <c r="Y491" t="str" cm="1">
        <f t="array" ref="Y491">_xlfn.IFS(E491=7.99,"BASIC",E491=11.99,"STANDARD",E491=15.99,"PREMIUM")</f>
        <v>STANDARD</v>
      </c>
      <c r="Z491" s="4">
        <f t="shared" si="29"/>
        <v>8.5118343195266277</v>
      </c>
      <c r="AA491" s="3" t="str" cm="1">
        <f t="array" ref="AA491">_xlfn.IFS(
(F491/(X491/7)) &lt; 5, "Casual",
AND((F491/(X491/7)) &gt;= 5, (F491/(X491/7)) &lt; 15), "Regular",
(F491/(X491/7)) &gt;= 15, "Power"
)</f>
        <v>Regular</v>
      </c>
      <c r="AB491" s="3">
        <f t="shared" si="32"/>
        <v>0.44480519480519481</v>
      </c>
      <c r="AC491" t="str">
        <f t="shared" si="30"/>
        <v>Viewers</v>
      </c>
    </row>
    <row r="492" spans="1:29" x14ac:dyDescent="0.3">
      <c r="A492" s="6">
        <v>4341</v>
      </c>
      <c r="B492" s="7" t="s">
        <v>532</v>
      </c>
      <c r="C492" s="10">
        <v>45078</v>
      </c>
      <c r="D492" s="10">
        <v>45633</v>
      </c>
      <c r="E492" s="13">
        <v>11.99</v>
      </c>
      <c r="F492" s="6">
        <v>347</v>
      </c>
      <c r="G492" s="7" t="s">
        <v>63</v>
      </c>
      <c r="H492" s="6">
        <v>4</v>
      </c>
      <c r="I492" s="6">
        <v>2</v>
      </c>
      <c r="J492" s="7" t="b">
        <v>1</v>
      </c>
      <c r="K492" s="6">
        <v>546</v>
      </c>
      <c r="L492" s="6">
        <v>12</v>
      </c>
      <c r="M492" s="7" t="s">
        <v>68</v>
      </c>
      <c r="N492" s="7" t="s">
        <v>28</v>
      </c>
      <c r="O492" s="7" t="s">
        <v>57</v>
      </c>
      <c r="P492" s="6">
        <v>31</v>
      </c>
      <c r="Q492" s="11">
        <v>3.1</v>
      </c>
      <c r="R492" s="7" t="b">
        <v>0</v>
      </c>
      <c r="S492" s="7" t="s">
        <v>30</v>
      </c>
      <c r="T492" s="6">
        <v>2022</v>
      </c>
      <c r="U492" s="7" t="s">
        <v>31</v>
      </c>
      <c r="V492" s="12" t="s">
        <v>32</v>
      </c>
      <c r="W492" s="7" t="s">
        <v>40</v>
      </c>
      <c r="X492" s="6">
        <f t="shared" si="31"/>
        <v>555</v>
      </c>
      <c r="Y492" t="str" cm="1">
        <f t="array" ref="Y492">_xlfn.IFS(E492=7.99,"BASIC",E492=11.99,"STANDARD",E492=15.99,"PREMIUM")</f>
        <v>STANDARD</v>
      </c>
      <c r="Z492" s="4">
        <f t="shared" si="29"/>
        <v>4.3765765765765758</v>
      </c>
      <c r="AA492" s="3" t="str" cm="1">
        <f t="array" ref="AA492">_xlfn.IFS(
(F492/(X492/7)) &lt; 5, "Casual",
AND((F492/(X492/7)) &gt;= 5, (F492/(X492/7)) &lt; 15), "Regular",
(F492/(X492/7)) &gt;= 15, "Power"
)</f>
        <v>Casual</v>
      </c>
      <c r="AB492" s="3">
        <f t="shared" si="32"/>
        <v>0.62186379928315416</v>
      </c>
      <c r="AC492" t="str">
        <f t="shared" si="30"/>
        <v>Viewers</v>
      </c>
    </row>
    <row r="493" spans="1:29" x14ac:dyDescent="0.3">
      <c r="A493" s="6">
        <v>6638</v>
      </c>
      <c r="B493" s="7" t="s">
        <v>533</v>
      </c>
      <c r="C493" s="10">
        <v>45201</v>
      </c>
      <c r="D493" s="10">
        <v>45637</v>
      </c>
      <c r="E493" s="13">
        <v>11.99</v>
      </c>
      <c r="F493" s="6">
        <v>302</v>
      </c>
      <c r="G493" s="7" t="s">
        <v>73</v>
      </c>
      <c r="H493" s="6">
        <v>4</v>
      </c>
      <c r="I493" s="6">
        <v>2</v>
      </c>
      <c r="J493" s="7" t="b">
        <v>1</v>
      </c>
      <c r="K493" s="6">
        <v>417</v>
      </c>
      <c r="L493" s="6">
        <v>143</v>
      </c>
      <c r="M493" s="7" t="s">
        <v>43</v>
      </c>
      <c r="N493" s="7" t="s">
        <v>44</v>
      </c>
      <c r="O493" s="7" t="s">
        <v>45</v>
      </c>
      <c r="P493" s="6">
        <v>14</v>
      </c>
      <c r="Q493" s="11">
        <v>4.7</v>
      </c>
      <c r="R493" s="7" t="b">
        <v>0</v>
      </c>
      <c r="S493" s="7" t="s">
        <v>30</v>
      </c>
      <c r="T493" s="6">
        <v>3791</v>
      </c>
      <c r="U493" s="7" t="s">
        <v>31</v>
      </c>
      <c r="V493" s="12" t="s">
        <v>79</v>
      </c>
      <c r="W493" s="7" t="s">
        <v>93</v>
      </c>
      <c r="X493" s="6">
        <f t="shared" si="31"/>
        <v>436</v>
      </c>
      <c r="Y493" t="str" cm="1">
        <f t="array" ref="Y493">_xlfn.IFS(E493=7.99,"BASIC",E493=11.99,"STANDARD",E493=15.99,"PREMIUM")</f>
        <v>STANDARD</v>
      </c>
      <c r="Z493" s="4">
        <f t="shared" si="29"/>
        <v>4.8486238532110093</v>
      </c>
      <c r="AA493" s="3" t="str" cm="1">
        <f t="array" ref="AA493">_xlfn.IFS(
(F493/(X493/7)) &lt; 5, "Casual",
AND((F493/(X493/7)) &gt;= 5, (F493/(X493/7)) &lt; 15), "Regular",
(F493/(X493/7)) &gt;= 15, "Power"
)</f>
        <v>Casual</v>
      </c>
      <c r="AB493" s="3">
        <f t="shared" si="32"/>
        <v>0.53928571428571426</v>
      </c>
      <c r="AC493" t="str">
        <f t="shared" si="30"/>
        <v>Viewers</v>
      </c>
    </row>
    <row r="494" spans="1:29" x14ac:dyDescent="0.3">
      <c r="A494" s="6">
        <v>5861</v>
      </c>
      <c r="B494" s="7" t="s">
        <v>325</v>
      </c>
      <c r="C494" s="10">
        <v>45054</v>
      </c>
      <c r="D494" s="10">
        <v>45629</v>
      </c>
      <c r="E494" s="13">
        <v>15.99</v>
      </c>
      <c r="F494" s="6">
        <v>361</v>
      </c>
      <c r="G494" s="7" t="s">
        <v>100</v>
      </c>
      <c r="H494" s="6">
        <v>3</v>
      </c>
      <c r="I494" s="6">
        <v>6</v>
      </c>
      <c r="J494" s="7" t="b">
        <v>0</v>
      </c>
      <c r="K494" s="6">
        <v>407</v>
      </c>
      <c r="L494" s="6">
        <v>126</v>
      </c>
      <c r="M494" s="7" t="s">
        <v>74</v>
      </c>
      <c r="N494" s="7" t="s">
        <v>44</v>
      </c>
      <c r="O494" s="7" t="s">
        <v>57</v>
      </c>
      <c r="P494" s="6">
        <v>80</v>
      </c>
      <c r="Q494" s="11">
        <v>4.3</v>
      </c>
      <c r="R494" s="7" t="b">
        <v>0</v>
      </c>
      <c r="S494" s="7" t="s">
        <v>30</v>
      </c>
      <c r="T494" s="6">
        <v>728</v>
      </c>
      <c r="U494" s="7" t="s">
        <v>65</v>
      </c>
      <c r="V494" s="12" t="s">
        <v>32</v>
      </c>
      <c r="W494" s="7" t="s">
        <v>33</v>
      </c>
      <c r="X494" s="6">
        <f t="shared" si="31"/>
        <v>575</v>
      </c>
      <c r="Y494" t="str" cm="1">
        <f t="array" ref="Y494">_xlfn.IFS(E494=7.99,"BASIC",E494=11.99,"STANDARD",E494=15.99,"PREMIUM")</f>
        <v>PREMIUM</v>
      </c>
      <c r="Z494" s="4">
        <f t="shared" si="29"/>
        <v>4.3947826086956523</v>
      </c>
      <c r="AA494" s="3" t="str" cm="1">
        <f t="array" ref="AA494">_xlfn.IFS(
(F494/(X494/7)) &lt; 5, "Casual",
AND((F494/(X494/7)) &gt;= 5, (F494/(X494/7)) &lt; 15), "Regular",
(F494/(X494/7)) &gt;= 15, "Power"
)</f>
        <v>Casual</v>
      </c>
      <c r="AB494" s="3">
        <f t="shared" si="32"/>
        <v>0.67729831144465291</v>
      </c>
      <c r="AC494" t="str">
        <f t="shared" si="30"/>
        <v>Viewers</v>
      </c>
    </row>
    <row r="495" spans="1:29" x14ac:dyDescent="0.3">
      <c r="A495" s="6">
        <v>8815</v>
      </c>
      <c r="B495" s="7" t="s">
        <v>345</v>
      </c>
      <c r="C495" s="10">
        <v>45243</v>
      </c>
      <c r="D495" s="10">
        <v>45627</v>
      </c>
      <c r="E495" s="13">
        <v>7.99</v>
      </c>
      <c r="F495" s="6">
        <v>148</v>
      </c>
      <c r="G495" s="7" t="s">
        <v>51</v>
      </c>
      <c r="H495" s="6">
        <v>1</v>
      </c>
      <c r="I495" s="6">
        <v>1</v>
      </c>
      <c r="J495" s="7" t="b">
        <v>1</v>
      </c>
      <c r="K495" s="6">
        <v>579</v>
      </c>
      <c r="L495" s="6">
        <v>121</v>
      </c>
      <c r="M495" s="7" t="s">
        <v>92</v>
      </c>
      <c r="N495" s="7" t="s">
        <v>75</v>
      </c>
      <c r="O495" s="7" t="s">
        <v>57</v>
      </c>
      <c r="P495" s="6">
        <v>8</v>
      </c>
      <c r="Q495" s="11">
        <v>3.6</v>
      </c>
      <c r="R495" s="7" t="b">
        <v>0</v>
      </c>
      <c r="S495" s="7" t="s">
        <v>30</v>
      </c>
      <c r="T495" s="6">
        <v>3448</v>
      </c>
      <c r="U495" s="7" t="s">
        <v>58</v>
      </c>
      <c r="V495" s="12" t="s">
        <v>69</v>
      </c>
      <c r="W495" s="7" t="s">
        <v>40</v>
      </c>
      <c r="X495" s="6">
        <f t="shared" si="31"/>
        <v>384</v>
      </c>
      <c r="Y495" t="str" cm="1">
        <f t="array" ref="Y495">_xlfn.IFS(E495=7.99,"BASIC",E495=11.99,"STANDARD",E495=15.99,"PREMIUM")</f>
        <v>BASIC</v>
      </c>
      <c r="Z495" s="4">
        <f t="shared" si="29"/>
        <v>2.697916666666667</v>
      </c>
      <c r="AA495" s="3" t="str" cm="1">
        <f t="array" ref="AA495">_xlfn.IFS(
(F495/(X495/7)) &lt; 5, "Casual",
AND((F495/(X495/7)) &gt;= 5, (F495/(X495/7)) &lt; 15), "Regular",
(F495/(X495/7)) &gt;= 15, "Power"
)</f>
        <v>Casual</v>
      </c>
      <c r="AB495" s="3">
        <f t="shared" si="32"/>
        <v>0.21142857142857144</v>
      </c>
      <c r="AC495" t="str">
        <f t="shared" si="30"/>
        <v>Viewers</v>
      </c>
    </row>
    <row r="496" spans="1:29" x14ac:dyDescent="0.3">
      <c r="A496" s="6">
        <v>8793</v>
      </c>
      <c r="B496" s="7" t="s">
        <v>148</v>
      </c>
      <c r="C496" s="10">
        <v>45430</v>
      </c>
      <c r="D496" s="10">
        <v>45617</v>
      </c>
      <c r="E496" s="13">
        <v>7.99</v>
      </c>
      <c r="F496" s="6">
        <v>162</v>
      </c>
      <c r="G496" s="7" t="s">
        <v>48</v>
      </c>
      <c r="H496" s="6">
        <v>2</v>
      </c>
      <c r="I496" s="6">
        <v>5</v>
      </c>
      <c r="J496" s="7" t="b">
        <v>1</v>
      </c>
      <c r="K496" s="6">
        <v>672</v>
      </c>
      <c r="L496" s="6">
        <v>57</v>
      </c>
      <c r="M496" s="7" t="s">
        <v>68</v>
      </c>
      <c r="N496" s="7" t="s">
        <v>44</v>
      </c>
      <c r="O496" s="7" t="s">
        <v>45</v>
      </c>
      <c r="P496" s="6">
        <v>16</v>
      </c>
      <c r="Q496" s="11">
        <v>4.3</v>
      </c>
      <c r="R496" s="7" t="b">
        <v>0</v>
      </c>
      <c r="S496" s="7" t="s">
        <v>30</v>
      </c>
      <c r="T496" s="6">
        <v>3930</v>
      </c>
      <c r="U496" s="7" t="s">
        <v>65</v>
      </c>
      <c r="V496" s="12" t="s">
        <v>59</v>
      </c>
      <c r="W496" s="7" t="s">
        <v>93</v>
      </c>
      <c r="X496" s="6">
        <f t="shared" si="31"/>
        <v>187</v>
      </c>
      <c r="Y496" t="str" cm="1">
        <f t="array" ref="Y496">_xlfn.IFS(E496=7.99,"BASIC",E496=11.99,"STANDARD",E496=15.99,"PREMIUM")</f>
        <v>BASIC</v>
      </c>
      <c r="Z496" s="4">
        <f t="shared" si="29"/>
        <v>6.0641711229946518</v>
      </c>
      <c r="AA496" s="3" t="str" cm="1">
        <f t="array" ref="AA496">_xlfn.IFS(
(F496/(X496/7)) &lt; 5, "Casual",
AND((F496/(X496/7)) &gt;= 5, (F496/(X496/7)) &lt; 15), "Regular",
(F496/(X496/7)) &gt;= 15, "Power"
)</f>
        <v>Regular</v>
      </c>
      <c r="AB496" s="3">
        <f t="shared" si="32"/>
        <v>0.22222222222222221</v>
      </c>
      <c r="AC496" t="str">
        <f t="shared" si="30"/>
        <v>Viewers</v>
      </c>
    </row>
    <row r="497" spans="1:29" x14ac:dyDescent="0.3">
      <c r="A497" s="6">
        <v>3469</v>
      </c>
      <c r="B497" s="7" t="s">
        <v>122</v>
      </c>
      <c r="C497" s="10">
        <v>45144</v>
      </c>
      <c r="D497" s="10">
        <v>45644</v>
      </c>
      <c r="E497" s="13">
        <v>7.99</v>
      </c>
      <c r="F497" s="6">
        <v>379</v>
      </c>
      <c r="G497" s="7" t="s">
        <v>36</v>
      </c>
      <c r="H497" s="6">
        <v>3</v>
      </c>
      <c r="I497" s="6">
        <v>5</v>
      </c>
      <c r="J497" s="7" t="b">
        <v>1</v>
      </c>
      <c r="K497" s="6">
        <v>377</v>
      </c>
      <c r="L497" s="6">
        <v>153</v>
      </c>
      <c r="M497" s="7" t="s">
        <v>68</v>
      </c>
      <c r="N497" s="7" t="s">
        <v>75</v>
      </c>
      <c r="O497" s="7" t="s">
        <v>45</v>
      </c>
      <c r="P497" s="6">
        <v>67</v>
      </c>
      <c r="Q497" s="11">
        <v>3.6</v>
      </c>
      <c r="R497" s="7" t="b">
        <v>1</v>
      </c>
      <c r="S497" s="7" t="s">
        <v>30</v>
      </c>
      <c r="T497" s="6">
        <v>3702</v>
      </c>
      <c r="U497" s="7" t="s">
        <v>31</v>
      </c>
      <c r="V497" s="12" t="s">
        <v>59</v>
      </c>
      <c r="W497" s="7" t="s">
        <v>93</v>
      </c>
      <c r="X497" s="6">
        <f t="shared" si="31"/>
        <v>500</v>
      </c>
      <c r="Y497" t="str" cm="1">
        <f t="array" ref="Y497">_xlfn.IFS(E497=7.99,"BASIC",E497=11.99,"STANDARD",E497=15.99,"PREMIUM")</f>
        <v>BASIC</v>
      </c>
      <c r="Z497" s="4">
        <f t="shared" si="29"/>
        <v>5.306</v>
      </c>
      <c r="AA497" s="3" t="str" cm="1">
        <f t="array" ref="AA497">_xlfn.IFS(
(F497/(X497/7)) &lt; 5, "Casual",
AND((F497/(X497/7)) &gt;= 5, (F497/(X497/7)) &lt; 15), "Regular",
(F497/(X497/7)) &gt;= 15, "Power"
)</f>
        <v>Regular</v>
      </c>
      <c r="AB497" s="3">
        <f t="shared" si="32"/>
        <v>0.71509433962264146</v>
      </c>
      <c r="AC497" t="str">
        <f t="shared" si="30"/>
        <v>Viewers</v>
      </c>
    </row>
    <row r="498" spans="1:29" x14ac:dyDescent="0.3">
      <c r="A498" s="6">
        <v>3654</v>
      </c>
      <c r="B498" s="7" t="s">
        <v>153</v>
      </c>
      <c r="C498" s="10">
        <v>45346</v>
      </c>
      <c r="D498" s="10">
        <v>45640</v>
      </c>
      <c r="E498" s="13">
        <v>15.99</v>
      </c>
      <c r="F498" s="6">
        <v>373</v>
      </c>
      <c r="G498" s="7" t="s">
        <v>73</v>
      </c>
      <c r="H498" s="6">
        <v>2</v>
      </c>
      <c r="I498" s="6">
        <v>6</v>
      </c>
      <c r="J498" s="7" t="b">
        <v>1</v>
      </c>
      <c r="K498" s="6">
        <v>818</v>
      </c>
      <c r="L498" s="6">
        <v>34</v>
      </c>
      <c r="M498" s="7" t="s">
        <v>43</v>
      </c>
      <c r="N498" s="7" t="s">
        <v>28</v>
      </c>
      <c r="O498" s="7" t="s">
        <v>64</v>
      </c>
      <c r="P498" s="6">
        <v>57</v>
      </c>
      <c r="Q498" s="11">
        <v>3.8</v>
      </c>
      <c r="R498" s="7" t="b">
        <v>1</v>
      </c>
      <c r="S498" s="7" t="s">
        <v>30</v>
      </c>
      <c r="T498" s="6">
        <v>2400</v>
      </c>
      <c r="U498" s="7" t="s">
        <v>38</v>
      </c>
      <c r="V498" s="12" t="s">
        <v>69</v>
      </c>
      <c r="W498" s="7" t="s">
        <v>40</v>
      </c>
      <c r="X498" s="6">
        <f t="shared" si="31"/>
        <v>294</v>
      </c>
      <c r="Y498" t="str" cm="1">
        <f t="array" ref="Y498">_xlfn.IFS(E498=7.99,"BASIC",E498=11.99,"STANDARD",E498=15.99,"PREMIUM")</f>
        <v>PREMIUM</v>
      </c>
      <c r="Z498" s="4">
        <f t="shared" si="29"/>
        <v>8.8809523809523814</v>
      </c>
      <c r="AA498" s="3" t="str" cm="1">
        <f t="array" ref="AA498">_xlfn.IFS(
(F498/(X498/7)) &lt; 5, "Casual",
AND((F498/(X498/7)) &gt;= 5, (F498/(X498/7)) &lt; 15), "Regular",
(F498/(X498/7)) &gt;= 15, "Power"
)</f>
        <v>Regular</v>
      </c>
      <c r="AB498" s="3">
        <f t="shared" si="32"/>
        <v>0.43779342723004694</v>
      </c>
      <c r="AC498" t="str">
        <f t="shared" si="30"/>
        <v>Viewers</v>
      </c>
    </row>
    <row r="499" spans="1:29" x14ac:dyDescent="0.3">
      <c r="A499" s="6">
        <v>9555</v>
      </c>
      <c r="B499" s="7" t="s">
        <v>345</v>
      </c>
      <c r="C499" s="10">
        <v>45506</v>
      </c>
      <c r="D499" s="10">
        <v>45618</v>
      </c>
      <c r="E499" s="13">
        <v>11.99</v>
      </c>
      <c r="F499" s="6">
        <v>354</v>
      </c>
      <c r="G499" s="7" t="s">
        <v>51</v>
      </c>
      <c r="H499" s="6">
        <v>1</v>
      </c>
      <c r="I499" s="6">
        <v>1</v>
      </c>
      <c r="J499" s="7" t="b">
        <v>1</v>
      </c>
      <c r="K499" s="6">
        <v>225</v>
      </c>
      <c r="L499" s="6">
        <v>1</v>
      </c>
      <c r="M499" s="7" t="s">
        <v>49</v>
      </c>
      <c r="N499" s="7" t="s">
        <v>75</v>
      </c>
      <c r="O499" s="7" t="s">
        <v>29</v>
      </c>
      <c r="P499" s="6">
        <v>83</v>
      </c>
      <c r="Q499" s="11">
        <v>4.3</v>
      </c>
      <c r="R499" s="7" t="b">
        <v>1</v>
      </c>
      <c r="S499" s="7" t="s">
        <v>30</v>
      </c>
      <c r="T499" s="6">
        <v>548</v>
      </c>
      <c r="U499" s="7" t="s">
        <v>76</v>
      </c>
      <c r="V499" s="12" t="s">
        <v>79</v>
      </c>
      <c r="W499" s="7" t="s">
        <v>40</v>
      </c>
      <c r="X499" s="6">
        <f t="shared" si="31"/>
        <v>112</v>
      </c>
      <c r="Y499" t="str" cm="1">
        <f t="array" ref="Y499">_xlfn.IFS(E499=7.99,"BASIC",E499=11.99,"STANDARD",E499=15.99,"PREMIUM")</f>
        <v>STANDARD</v>
      </c>
      <c r="Z499" s="4">
        <f t="shared" si="29"/>
        <v>22.125</v>
      </c>
      <c r="AA499" s="3" t="str" cm="1">
        <f t="array" ref="AA499">_xlfn.IFS(
(F499/(X499/7)) &lt; 5, "Casual",
AND((F499/(X499/7)) &gt;= 5, (F499/(X499/7)) &lt; 15), "Regular",
(F499/(X499/7)) &gt;= 15, "Power"
)</f>
        <v>Power</v>
      </c>
      <c r="AB499" s="3">
        <f t="shared" si="32"/>
        <v>1.5663716814159292</v>
      </c>
      <c r="AC499" t="str">
        <f t="shared" si="30"/>
        <v>Viewers</v>
      </c>
    </row>
    <row r="500" spans="1:29" x14ac:dyDescent="0.3">
      <c r="A500" s="6">
        <v>4028</v>
      </c>
      <c r="B500" s="7" t="s">
        <v>228</v>
      </c>
      <c r="C500" s="10">
        <v>45416</v>
      </c>
      <c r="D500" s="10">
        <v>45635</v>
      </c>
      <c r="E500" s="13">
        <v>7.99</v>
      </c>
      <c r="F500" s="6">
        <v>76</v>
      </c>
      <c r="G500" s="7" t="s">
        <v>63</v>
      </c>
      <c r="H500" s="6">
        <v>2</v>
      </c>
      <c r="I500" s="6">
        <v>4</v>
      </c>
      <c r="J500" s="7" t="b">
        <v>1</v>
      </c>
      <c r="K500" s="6">
        <v>324</v>
      </c>
      <c r="L500" s="6">
        <v>113</v>
      </c>
      <c r="M500" s="7" t="s">
        <v>68</v>
      </c>
      <c r="N500" s="7" t="s">
        <v>56</v>
      </c>
      <c r="O500" s="7" t="s">
        <v>78</v>
      </c>
      <c r="P500" s="6">
        <v>87</v>
      </c>
      <c r="Q500" s="11">
        <v>4.9000000000000004</v>
      </c>
      <c r="R500" s="7" t="b">
        <v>0</v>
      </c>
      <c r="S500" s="7" t="s">
        <v>30</v>
      </c>
      <c r="T500" s="6">
        <v>4702</v>
      </c>
      <c r="U500" s="7" t="s">
        <v>65</v>
      </c>
      <c r="V500" s="12" t="s">
        <v>39</v>
      </c>
      <c r="W500" s="7" t="s">
        <v>60</v>
      </c>
      <c r="X500" s="6">
        <f t="shared" si="31"/>
        <v>219</v>
      </c>
      <c r="Y500" t="str" cm="1">
        <f t="array" ref="Y500">_xlfn.IFS(E500=7.99,"BASIC",E500=11.99,"STANDARD",E500=15.99,"PREMIUM")</f>
        <v>BASIC</v>
      </c>
      <c r="Z500" s="4">
        <f t="shared" si="29"/>
        <v>2.4292237442922375</v>
      </c>
      <c r="AA500" s="3" t="str" cm="1">
        <f t="array" ref="AA500">_xlfn.IFS(
(F500/(X500/7)) &lt; 5, "Casual",
AND((F500/(X500/7)) &gt;= 5, (F500/(X500/7)) &lt; 15), "Regular",
(F500/(X500/7)) &gt;= 15, "Power"
)</f>
        <v>Casual</v>
      </c>
      <c r="AB500" s="3">
        <f t="shared" si="32"/>
        <v>0.17391304347826086</v>
      </c>
      <c r="AC500" t="str">
        <f t="shared" si="30"/>
        <v>Viewers</v>
      </c>
    </row>
    <row r="501" spans="1:29" x14ac:dyDescent="0.3">
      <c r="A501" s="6">
        <v>9499</v>
      </c>
      <c r="B501" s="7" t="s">
        <v>190</v>
      </c>
      <c r="C501" s="10">
        <v>45033</v>
      </c>
      <c r="D501" s="10">
        <v>45640</v>
      </c>
      <c r="E501" s="13">
        <v>11.99</v>
      </c>
      <c r="F501" s="6">
        <v>316</v>
      </c>
      <c r="G501" s="7" t="s">
        <v>26</v>
      </c>
      <c r="H501" s="6">
        <v>1</v>
      </c>
      <c r="I501" s="6">
        <v>3</v>
      </c>
      <c r="J501" s="7" t="b">
        <v>0</v>
      </c>
      <c r="K501" s="6">
        <v>793</v>
      </c>
      <c r="L501" s="6">
        <v>141</v>
      </c>
      <c r="M501" s="7" t="s">
        <v>27</v>
      </c>
      <c r="N501" s="7" t="s">
        <v>28</v>
      </c>
      <c r="O501" s="7" t="s">
        <v>37</v>
      </c>
      <c r="P501" s="6">
        <v>28</v>
      </c>
      <c r="Q501" s="11">
        <v>3.4</v>
      </c>
      <c r="R501" s="7" t="b">
        <v>0</v>
      </c>
      <c r="S501" s="7" t="s">
        <v>30</v>
      </c>
      <c r="T501" s="6">
        <v>2821</v>
      </c>
      <c r="U501" s="7" t="s">
        <v>38</v>
      </c>
      <c r="V501" s="12" t="s">
        <v>69</v>
      </c>
      <c r="W501" s="7" t="s">
        <v>60</v>
      </c>
      <c r="X501" s="6">
        <f t="shared" si="31"/>
        <v>607</v>
      </c>
      <c r="Y501" t="str" cm="1">
        <f t="array" ref="Y501">_xlfn.IFS(E501=7.99,"BASIC",E501=11.99,"STANDARD",E501=15.99,"PREMIUM")</f>
        <v>STANDARD</v>
      </c>
      <c r="Z501" s="4">
        <f t="shared" si="29"/>
        <v>3.6441515650741354</v>
      </c>
      <c r="AA501" s="3" t="str" cm="1">
        <f t="array" ref="AA501">_xlfn.IFS(
(F501/(X501/7)) &lt; 5, "Casual",
AND((F501/(X501/7)) &gt;= 5, (F501/(X501/7)) &lt; 15), "Regular",
(F501/(X501/7)) &gt;= 15, "Power"
)</f>
        <v>Casual</v>
      </c>
      <c r="AB501" s="3">
        <f t="shared" si="32"/>
        <v>0.33832976445396146</v>
      </c>
      <c r="AC501" t="str">
        <f t="shared" si="30"/>
        <v>Viewers</v>
      </c>
    </row>
    <row r="502" spans="1:29" x14ac:dyDescent="0.3">
      <c r="A502" s="6">
        <v>8628</v>
      </c>
      <c r="B502" s="7" t="s">
        <v>164</v>
      </c>
      <c r="C502" s="10">
        <v>44921</v>
      </c>
      <c r="D502" s="10">
        <v>45625</v>
      </c>
      <c r="E502" s="13">
        <v>11.99</v>
      </c>
      <c r="F502" s="6">
        <v>331</v>
      </c>
      <c r="G502" s="7" t="s">
        <v>63</v>
      </c>
      <c r="H502" s="6">
        <v>4</v>
      </c>
      <c r="I502" s="6">
        <v>2</v>
      </c>
      <c r="J502" s="7" t="b">
        <v>1</v>
      </c>
      <c r="K502" s="6">
        <v>133</v>
      </c>
      <c r="L502" s="6">
        <v>143</v>
      </c>
      <c r="M502" s="7" t="s">
        <v>49</v>
      </c>
      <c r="N502" s="7" t="s">
        <v>28</v>
      </c>
      <c r="O502" s="7" t="s">
        <v>57</v>
      </c>
      <c r="P502" s="6">
        <v>35</v>
      </c>
      <c r="Q502" s="11">
        <v>4.5999999999999996</v>
      </c>
      <c r="R502" s="7" t="b">
        <v>1</v>
      </c>
      <c r="S502" s="7" t="s">
        <v>30</v>
      </c>
      <c r="T502" s="6">
        <v>484</v>
      </c>
      <c r="U502" s="7" t="s">
        <v>65</v>
      </c>
      <c r="V502" s="12" t="s">
        <v>79</v>
      </c>
      <c r="W502" s="7" t="s">
        <v>33</v>
      </c>
      <c r="X502" s="6">
        <f t="shared" si="31"/>
        <v>704</v>
      </c>
      <c r="Y502" t="str" cm="1">
        <f t="array" ref="Y502">_xlfn.IFS(E502=7.99,"BASIC",E502=11.99,"STANDARD",E502=15.99,"PREMIUM")</f>
        <v>STANDARD</v>
      </c>
      <c r="Z502" s="4">
        <f t="shared" si="29"/>
        <v>3.2911931818181821</v>
      </c>
      <c r="AA502" s="3" t="str" cm="1">
        <f t="array" ref="AA502">_xlfn.IFS(
(F502/(X502/7)) &lt; 5, "Casual",
AND((F502/(X502/7)) &gt;= 5, (F502/(X502/7)) &lt; 15), "Regular",
(F502/(X502/7)) &gt;= 15, "Power"
)</f>
        <v>Casual</v>
      </c>
      <c r="AB502" s="3">
        <f t="shared" si="32"/>
        <v>1.1992753623188406</v>
      </c>
      <c r="AC502" t="str">
        <f t="shared" si="30"/>
        <v>Viewers</v>
      </c>
    </row>
    <row r="503" spans="1:29" x14ac:dyDescent="0.3">
      <c r="A503" s="6">
        <v>9942</v>
      </c>
      <c r="B503" s="7" t="s">
        <v>157</v>
      </c>
      <c r="C503" s="10">
        <v>45142</v>
      </c>
      <c r="D503" s="10">
        <v>45616</v>
      </c>
      <c r="E503" s="13">
        <v>15.99</v>
      </c>
      <c r="F503" s="6">
        <v>418</v>
      </c>
      <c r="G503" s="7" t="s">
        <v>51</v>
      </c>
      <c r="H503" s="6">
        <v>1</v>
      </c>
      <c r="I503" s="6">
        <v>5</v>
      </c>
      <c r="J503" s="7" t="b">
        <v>1</v>
      </c>
      <c r="K503" s="6">
        <v>260</v>
      </c>
      <c r="L503" s="6">
        <v>161</v>
      </c>
      <c r="M503" s="7" t="s">
        <v>43</v>
      </c>
      <c r="N503" s="7" t="s">
        <v>75</v>
      </c>
      <c r="O503" s="7" t="s">
        <v>64</v>
      </c>
      <c r="P503" s="6">
        <v>49</v>
      </c>
      <c r="Q503" s="11">
        <v>3.6</v>
      </c>
      <c r="R503" s="7" t="b">
        <v>1</v>
      </c>
      <c r="S503" s="7" t="s">
        <v>30</v>
      </c>
      <c r="T503" s="6">
        <v>2871</v>
      </c>
      <c r="U503" s="7" t="s">
        <v>58</v>
      </c>
      <c r="V503" s="12" t="s">
        <v>39</v>
      </c>
      <c r="W503" s="7" t="s">
        <v>33</v>
      </c>
      <c r="X503" s="6">
        <f t="shared" si="31"/>
        <v>474</v>
      </c>
      <c r="Y503" t="str" cm="1">
        <f t="array" ref="Y503">_xlfn.IFS(E503=7.99,"BASIC",E503=11.99,"STANDARD",E503=15.99,"PREMIUM")</f>
        <v>PREMIUM</v>
      </c>
      <c r="Z503" s="4">
        <f t="shared" si="29"/>
        <v>6.1729957805907176</v>
      </c>
      <c r="AA503" s="3" t="str" cm="1">
        <f t="array" ref="AA503">_xlfn.IFS(
(F503/(X503/7)) &lt; 5, "Casual",
AND((F503/(X503/7)) &gt;= 5, (F503/(X503/7)) &lt; 15), "Regular",
(F503/(X503/7)) &gt;= 15, "Power"
)</f>
        <v>Regular</v>
      </c>
      <c r="AB503" s="3">
        <f t="shared" si="32"/>
        <v>0.99287410926365793</v>
      </c>
      <c r="AC503" t="str">
        <f t="shared" si="30"/>
        <v>Viewers</v>
      </c>
    </row>
    <row r="504" spans="1:29" x14ac:dyDescent="0.3">
      <c r="A504" s="6">
        <v>4044</v>
      </c>
      <c r="B504" s="7" t="s">
        <v>536</v>
      </c>
      <c r="C504" s="10">
        <v>45081</v>
      </c>
      <c r="D504" s="10">
        <v>45619</v>
      </c>
      <c r="E504" s="13">
        <v>15.99</v>
      </c>
      <c r="F504" s="6">
        <v>309</v>
      </c>
      <c r="G504" s="7" t="s">
        <v>100</v>
      </c>
      <c r="H504" s="6">
        <v>5</v>
      </c>
      <c r="I504" s="6">
        <v>5</v>
      </c>
      <c r="J504" s="7" t="b">
        <v>0</v>
      </c>
      <c r="K504" s="6">
        <v>851</v>
      </c>
      <c r="L504" s="6">
        <v>166</v>
      </c>
      <c r="M504" s="7" t="s">
        <v>92</v>
      </c>
      <c r="N504" s="7" t="s">
        <v>75</v>
      </c>
      <c r="O504" s="7" t="s">
        <v>57</v>
      </c>
      <c r="P504" s="6">
        <v>66</v>
      </c>
      <c r="Q504" s="11">
        <v>4</v>
      </c>
      <c r="R504" s="7" t="b">
        <v>1</v>
      </c>
      <c r="S504" s="7" t="s">
        <v>30</v>
      </c>
      <c r="T504" s="6">
        <v>4783</v>
      </c>
      <c r="U504" s="7" t="s">
        <v>65</v>
      </c>
      <c r="V504" s="12" t="s">
        <v>69</v>
      </c>
      <c r="W504" s="7" t="s">
        <v>93</v>
      </c>
      <c r="X504" s="6">
        <f t="shared" si="31"/>
        <v>538</v>
      </c>
      <c r="Y504" t="str" cm="1">
        <f t="array" ref="Y504">_xlfn.IFS(E504=7.99,"BASIC",E504=11.99,"STANDARD",E504=15.99,"PREMIUM")</f>
        <v>PREMIUM</v>
      </c>
      <c r="Z504" s="4">
        <f t="shared" si="29"/>
        <v>4.0204460966542745</v>
      </c>
      <c r="AA504" s="3" t="str" cm="1">
        <f t="array" ref="AA504">_xlfn.IFS(
(F504/(X504/7)) &lt; 5, "Casual",
AND((F504/(X504/7)) &gt;= 5, (F504/(X504/7)) &lt; 15), "Regular",
(F504/(X504/7)) &gt;= 15, "Power"
)</f>
        <v>Casual</v>
      </c>
      <c r="AB504" s="3">
        <f t="shared" si="32"/>
        <v>0.30383480825958703</v>
      </c>
      <c r="AC504" t="str">
        <f t="shared" si="30"/>
        <v>Viewers</v>
      </c>
    </row>
    <row r="505" spans="1:29" x14ac:dyDescent="0.3">
      <c r="A505" s="6">
        <v>8143</v>
      </c>
      <c r="B505" s="7" t="s">
        <v>106</v>
      </c>
      <c r="C505" s="10">
        <v>45441</v>
      </c>
      <c r="D505" s="10">
        <v>45637</v>
      </c>
      <c r="E505" s="13">
        <v>7.99</v>
      </c>
      <c r="F505" s="6">
        <v>252</v>
      </c>
      <c r="G505" s="7" t="s">
        <v>36</v>
      </c>
      <c r="H505" s="6">
        <v>3</v>
      </c>
      <c r="I505" s="6">
        <v>5</v>
      </c>
      <c r="J505" s="7" t="b">
        <v>1</v>
      </c>
      <c r="K505" s="6">
        <v>105</v>
      </c>
      <c r="L505" s="6">
        <v>118</v>
      </c>
      <c r="M505" s="7" t="s">
        <v>74</v>
      </c>
      <c r="N505" s="7" t="s">
        <v>44</v>
      </c>
      <c r="O505" s="7" t="s">
        <v>37</v>
      </c>
      <c r="P505" s="6">
        <v>52</v>
      </c>
      <c r="Q505" s="11">
        <v>4.4000000000000004</v>
      </c>
      <c r="R505" s="7" t="b">
        <v>1</v>
      </c>
      <c r="S505" s="7" t="s">
        <v>30</v>
      </c>
      <c r="T505" s="6">
        <v>2725</v>
      </c>
      <c r="U505" s="7" t="s">
        <v>65</v>
      </c>
      <c r="V505" s="12" t="s">
        <v>39</v>
      </c>
      <c r="W505" s="7" t="s">
        <v>60</v>
      </c>
      <c r="X505" s="6">
        <f t="shared" si="31"/>
        <v>196</v>
      </c>
      <c r="Y505" t="str" cm="1">
        <f t="array" ref="Y505">_xlfn.IFS(E505=7.99,"BASIC",E505=11.99,"STANDARD",E505=15.99,"PREMIUM")</f>
        <v>BASIC</v>
      </c>
      <c r="Z505" s="4">
        <f t="shared" si="29"/>
        <v>9</v>
      </c>
      <c r="AA505" s="3" t="str" cm="1">
        <f t="array" ref="AA505">_xlfn.IFS(
(F505/(X505/7)) &lt; 5, "Casual",
AND((F505/(X505/7)) &gt;= 5, (F505/(X505/7)) &lt; 15), "Regular",
(F505/(X505/7)) &gt;= 15, "Power"
)</f>
        <v>Regular</v>
      </c>
      <c r="AB505" s="3">
        <f t="shared" si="32"/>
        <v>1.1300448430493273</v>
      </c>
      <c r="AC505" t="str">
        <f t="shared" si="30"/>
        <v>Viewers</v>
      </c>
    </row>
    <row r="506" spans="1:29" x14ac:dyDescent="0.3">
      <c r="A506" s="6">
        <v>3984</v>
      </c>
      <c r="B506" s="7" t="s">
        <v>257</v>
      </c>
      <c r="C506" s="10">
        <v>45006</v>
      </c>
      <c r="D506" s="10">
        <v>45627</v>
      </c>
      <c r="E506" s="13">
        <v>15.99</v>
      </c>
      <c r="F506" s="6">
        <v>146</v>
      </c>
      <c r="G506" s="7" t="s">
        <v>73</v>
      </c>
      <c r="H506" s="6">
        <v>4</v>
      </c>
      <c r="I506" s="6">
        <v>6</v>
      </c>
      <c r="J506" s="7" t="b">
        <v>0</v>
      </c>
      <c r="K506" s="6">
        <v>646</v>
      </c>
      <c r="L506" s="6">
        <v>139</v>
      </c>
      <c r="M506" s="7" t="s">
        <v>74</v>
      </c>
      <c r="N506" s="7" t="s">
        <v>28</v>
      </c>
      <c r="O506" s="7" t="s">
        <v>37</v>
      </c>
      <c r="P506" s="6">
        <v>27</v>
      </c>
      <c r="Q506" s="11">
        <v>3.7</v>
      </c>
      <c r="R506" s="7" t="b">
        <v>1</v>
      </c>
      <c r="S506" s="7" t="s">
        <v>30</v>
      </c>
      <c r="T506" s="6">
        <v>4400</v>
      </c>
      <c r="U506" s="7" t="s">
        <v>76</v>
      </c>
      <c r="V506" s="12" t="s">
        <v>59</v>
      </c>
      <c r="W506" s="7" t="s">
        <v>33</v>
      </c>
      <c r="X506" s="6">
        <f t="shared" si="31"/>
        <v>621</v>
      </c>
      <c r="Y506" t="str" cm="1">
        <f t="array" ref="Y506">_xlfn.IFS(E506=7.99,"BASIC",E506=11.99,"STANDARD",E506=15.99,"PREMIUM")</f>
        <v>PREMIUM</v>
      </c>
      <c r="Z506" s="4">
        <f t="shared" si="29"/>
        <v>1.6457326892109503</v>
      </c>
      <c r="AA506" s="3" t="str" cm="1">
        <f t="array" ref="AA506">_xlfn.IFS(
(F506/(X506/7)) &lt; 5, "Casual",
AND((F506/(X506/7)) &gt;= 5, (F506/(X506/7)) &lt; 15), "Regular",
(F506/(X506/7)) &gt;= 15, "Power"
)</f>
        <v>Casual</v>
      </c>
      <c r="AB506" s="3">
        <f t="shared" si="32"/>
        <v>0.1859872611464968</v>
      </c>
      <c r="AC506" t="str">
        <f t="shared" si="30"/>
        <v>Viewers</v>
      </c>
    </row>
    <row r="507" spans="1:29" x14ac:dyDescent="0.3">
      <c r="A507" s="6">
        <v>9294</v>
      </c>
      <c r="B507" s="7" t="s">
        <v>539</v>
      </c>
      <c r="C507" s="10">
        <v>44977</v>
      </c>
      <c r="D507" s="10">
        <v>45617</v>
      </c>
      <c r="E507" s="13">
        <v>11.99</v>
      </c>
      <c r="F507" s="6">
        <v>352</v>
      </c>
      <c r="G507" s="7" t="s">
        <v>63</v>
      </c>
      <c r="H507" s="6">
        <v>4</v>
      </c>
      <c r="I507" s="6">
        <v>4</v>
      </c>
      <c r="J507" s="7" t="b">
        <v>1</v>
      </c>
      <c r="K507" s="6">
        <v>358</v>
      </c>
      <c r="L507" s="6">
        <v>6</v>
      </c>
      <c r="M507" s="7" t="s">
        <v>43</v>
      </c>
      <c r="N507" s="7" t="s">
        <v>44</v>
      </c>
      <c r="O507" s="7" t="s">
        <v>45</v>
      </c>
      <c r="P507" s="6">
        <v>32</v>
      </c>
      <c r="Q507" s="11">
        <v>3.8</v>
      </c>
      <c r="R507" s="7" t="b">
        <v>0</v>
      </c>
      <c r="S507" s="7" t="s">
        <v>30</v>
      </c>
      <c r="T507" s="6">
        <v>2218</v>
      </c>
      <c r="U507" s="7" t="s">
        <v>31</v>
      </c>
      <c r="V507" s="12" t="s">
        <v>39</v>
      </c>
      <c r="W507" s="7" t="s">
        <v>40</v>
      </c>
      <c r="X507" s="6">
        <f t="shared" si="31"/>
        <v>640</v>
      </c>
      <c r="Y507" t="str" cm="1">
        <f t="array" ref="Y507">_xlfn.IFS(E507=7.99,"BASIC",E507=11.99,"STANDARD",E507=15.99,"PREMIUM")</f>
        <v>STANDARD</v>
      </c>
      <c r="Z507" s="4">
        <f t="shared" si="29"/>
        <v>3.85</v>
      </c>
      <c r="AA507" s="3" t="str" cm="1">
        <f t="array" ref="AA507">_xlfn.IFS(
(F507/(X507/7)) &lt; 5, "Casual",
AND((F507/(X507/7)) &gt;= 5, (F507/(X507/7)) &lt; 15), "Regular",
(F507/(X507/7)) &gt;= 15, "Power"
)</f>
        <v>Casual</v>
      </c>
      <c r="AB507" s="3">
        <f t="shared" si="32"/>
        <v>0.96703296703296704</v>
      </c>
      <c r="AC507" t="str">
        <f t="shared" si="30"/>
        <v>Viewers</v>
      </c>
    </row>
    <row r="508" spans="1:29" x14ac:dyDescent="0.3">
      <c r="A508" s="6">
        <v>4769</v>
      </c>
      <c r="B508" s="7" t="s">
        <v>157</v>
      </c>
      <c r="C508" s="10">
        <v>45357</v>
      </c>
      <c r="D508" s="10">
        <v>45643</v>
      </c>
      <c r="E508" s="13">
        <v>7.99</v>
      </c>
      <c r="F508" s="6">
        <v>43</v>
      </c>
      <c r="G508" s="7" t="s">
        <v>100</v>
      </c>
      <c r="H508" s="6">
        <v>5</v>
      </c>
      <c r="I508" s="6">
        <v>3</v>
      </c>
      <c r="J508" s="7" t="b">
        <v>1</v>
      </c>
      <c r="K508" s="6">
        <v>336</v>
      </c>
      <c r="L508" s="6">
        <v>135</v>
      </c>
      <c r="M508" s="7" t="s">
        <v>27</v>
      </c>
      <c r="N508" s="7" t="s">
        <v>28</v>
      </c>
      <c r="O508" s="7" t="s">
        <v>64</v>
      </c>
      <c r="P508" s="6">
        <v>70</v>
      </c>
      <c r="Q508" s="11">
        <v>4</v>
      </c>
      <c r="R508" s="7" t="b">
        <v>1</v>
      </c>
      <c r="S508" s="7" t="s">
        <v>30</v>
      </c>
      <c r="T508" s="6">
        <v>4552</v>
      </c>
      <c r="U508" s="7" t="s">
        <v>31</v>
      </c>
      <c r="V508" s="12" t="s">
        <v>59</v>
      </c>
      <c r="W508" s="7" t="s">
        <v>33</v>
      </c>
      <c r="X508" s="6">
        <f t="shared" si="31"/>
        <v>286</v>
      </c>
      <c r="Y508" t="str" cm="1">
        <f t="array" ref="Y508">_xlfn.IFS(E508=7.99,"BASIC",E508=11.99,"STANDARD",E508=15.99,"PREMIUM")</f>
        <v>BASIC</v>
      </c>
      <c r="Z508" s="4">
        <f t="shared" si="29"/>
        <v>1.0524475524475525</v>
      </c>
      <c r="AA508" s="3" t="str" cm="1">
        <f t="array" ref="AA508">_xlfn.IFS(
(F508/(X508/7)) &lt; 5, "Casual",
AND((F508/(X508/7)) &gt;= 5, (F508/(X508/7)) &lt; 15), "Regular",
(F508/(X508/7)) &gt;= 15, "Power"
)</f>
        <v>Casual</v>
      </c>
      <c r="AB508" s="3">
        <f t="shared" si="32"/>
        <v>9.1295116772823773E-2</v>
      </c>
      <c r="AC508" t="str">
        <f t="shared" si="30"/>
        <v xml:space="preserve"> Browsers</v>
      </c>
    </row>
    <row r="509" spans="1:29" x14ac:dyDescent="0.3">
      <c r="A509" s="6">
        <v>8864</v>
      </c>
      <c r="B509" s="7" t="s">
        <v>157</v>
      </c>
      <c r="C509" s="10">
        <v>45371</v>
      </c>
      <c r="D509" s="10">
        <v>45625</v>
      </c>
      <c r="E509" s="13">
        <v>11.99</v>
      </c>
      <c r="F509" s="6">
        <v>440</v>
      </c>
      <c r="G509" s="7" t="s">
        <v>36</v>
      </c>
      <c r="H509" s="6">
        <v>4</v>
      </c>
      <c r="I509" s="6">
        <v>3</v>
      </c>
      <c r="J509" s="7" t="b">
        <v>1</v>
      </c>
      <c r="K509" s="6">
        <v>80</v>
      </c>
      <c r="L509" s="6">
        <v>143</v>
      </c>
      <c r="M509" s="7" t="s">
        <v>49</v>
      </c>
      <c r="N509" s="7" t="s">
        <v>75</v>
      </c>
      <c r="O509" s="7" t="s">
        <v>37</v>
      </c>
      <c r="P509" s="6">
        <v>2</v>
      </c>
      <c r="Q509" s="11">
        <v>3.4</v>
      </c>
      <c r="R509" s="7" t="b">
        <v>0</v>
      </c>
      <c r="S509" s="7" t="s">
        <v>30</v>
      </c>
      <c r="T509" s="6">
        <v>4125</v>
      </c>
      <c r="U509" s="7" t="s">
        <v>76</v>
      </c>
      <c r="V509" s="12" t="s">
        <v>32</v>
      </c>
      <c r="W509" s="7" t="s">
        <v>33</v>
      </c>
      <c r="X509" s="6">
        <f t="shared" si="31"/>
        <v>254</v>
      </c>
      <c r="Y509" t="str" cm="1">
        <f t="array" ref="Y509">_xlfn.IFS(E509=7.99,"BASIC",E509=11.99,"STANDARD",E509=15.99,"PREMIUM")</f>
        <v>STANDARD</v>
      </c>
      <c r="Z509" s="4">
        <f t="shared" si="29"/>
        <v>12.125984251968504</v>
      </c>
      <c r="AA509" s="3" t="str" cm="1">
        <f t="array" ref="AA509">_xlfn.IFS(
(F509/(X509/7)) &lt; 5, "Casual",
AND((F509/(X509/7)) &gt;= 5, (F509/(X509/7)) &lt; 15), "Regular",
(F509/(X509/7)) &gt;= 15, "Power"
)</f>
        <v>Regular</v>
      </c>
      <c r="AB509" s="3">
        <f t="shared" si="32"/>
        <v>1.9730941704035874</v>
      </c>
      <c r="AC509" t="str">
        <f t="shared" si="30"/>
        <v>Viewers</v>
      </c>
    </row>
    <row r="510" spans="1:29" x14ac:dyDescent="0.3">
      <c r="A510" s="6">
        <v>1857</v>
      </c>
      <c r="B510" s="7" t="s">
        <v>541</v>
      </c>
      <c r="C510" s="10">
        <v>45447</v>
      </c>
      <c r="D510" s="10">
        <v>45619</v>
      </c>
      <c r="E510" s="13">
        <v>15.99</v>
      </c>
      <c r="F510" s="6">
        <v>376</v>
      </c>
      <c r="G510" s="7" t="s">
        <v>100</v>
      </c>
      <c r="H510" s="6">
        <v>2</v>
      </c>
      <c r="I510" s="6">
        <v>2</v>
      </c>
      <c r="J510" s="7" t="b">
        <v>0</v>
      </c>
      <c r="K510" s="6">
        <v>326</v>
      </c>
      <c r="L510" s="6">
        <v>89</v>
      </c>
      <c r="M510" s="7" t="s">
        <v>55</v>
      </c>
      <c r="N510" s="7" t="s">
        <v>75</v>
      </c>
      <c r="O510" s="7" t="s">
        <v>57</v>
      </c>
      <c r="P510" s="6">
        <v>84</v>
      </c>
      <c r="Q510" s="11">
        <v>4.5999999999999996</v>
      </c>
      <c r="R510" s="7" t="b">
        <v>1</v>
      </c>
      <c r="S510" s="7" t="s">
        <v>30</v>
      </c>
      <c r="T510" s="6">
        <v>424</v>
      </c>
      <c r="U510" s="7" t="s">
        <v>65</v>
      </c>
      <c r="V510" s="12" t="s">
        <v>79</v>
      </c>
      <c r="W510" s="7" t="s">
        <v>33</v>
      </c>
      <c r="X510" s="6">
        <f t="shared" si="31"/>
        <v>172</v>
      </c>
      <c r="Y510" t="str" cm="1">
        <f t="array" ref="Y510">_xlfn.IFS(E510=7.99,"BASIC",E510=11.99,"STANDARD",E510=15.99,"PREMIUM")</f>
        <v>PREMIUM</v>
      </c>
      <c r="Z510" s="4">
        <f t="shared" si="29"/>
        <v>15.302325581395348</v>
      </c>
      <c r="AA510" s="3" t="str" cm="1">
        <f t="array" ref="AA510">_xlfn.IFS(
(F510/(X510/7)) &lt; 5, "Casual",
AND((F510/(X510/7)) &gt;= 5, (F510/(X510/7)) &lt; 15), "Regular",
(F510/(X510/7)) &gt;= 15, "Power"
)</f>
        <v>Power</v>
      </c>
      <c r="AB510" s="3">
        <f t="shared" si="32"/>
        <v>0.90602409638554215</v>
      </c>
      <c r="AC510" t="str">
        <f t="shared" si="30"/>
        <v>Viewers</v>
      </c>
    </row>
    <row r="511" spans="1:29" x14ac:dyDescent="0.3">
      <c r="A511" s="6">
        <v>5566</v>
      </c>
      <c r="B511" s="7" t="s">
        <v>345</v>
      </c>
      <c r="C511" s="10">
        <v>45278</v>
      </c>
      <c r="D511" s="10">
        <v>45633</v>
      </c>
      <c r="E511" s="13">
        <v>11.99</v>
      </c>
      <c r="F511" s="6">
        <v>137</v>
      </c>
      <c r="G511" s="7" t="s">
        <v>26</v>
      </c>
      <c r="H511" s="6">
        <v>3</v>
      </c>
      <c r="I511" s="6">
        <v>6</v>
      </c>
      <c r="J511" s="7" t="b">
        <v>1</v>
      </c>
      <c r="K511" s="6">
        <v>699</v>
      </c>
      <c r="L511" s="6">
        <v>70</v>
      </c>
      <c r="M511" s="7" t="s">
        <v>74</v>
      </c>
      <c r="N511" s="7" t="s">
        <v>28</v>
      </c>
      <c r="O511" s="7" t="s">
        <v>57</v>
      </c>
      <c r="P511" s="6">
        <v>25</v>
      </c>
      <c r="Q511" s="11">
        <v>3.9</v>
      </c>
      <c r="R511" s="7" t="b">
        <v>1</v>
      </c>
      <c r="S511" s="7" t="s">
        <v>30</v>
      </c>
      <c r="T511" s="6">
        <v>2418</v>
      </c>
      <c r="U511" s="7" t="s">
        <v>65</v>
      </c>
      <c r="V511" s="12" t="s">
        <v>32</v>
      </c>
      <c r="W511" s="7" t="s">
        <v>40</v>
      </c>
      <c r="X511" s="6">
        <f t="shared" si="31"/>
        <v>355</v>
      </c>
      <c r="Y511" t="str" cm="1">
        <f t="array" ref="Y511">_xlfn.IFS(E511=7.99,"BASIC",E511=11.99,"STANDARD",E511=15.99,"PREMIUM")</f>
        <v>STANDARD</v>
      </c>
      <c r="Z511" s="4">
        <f t="shared" si="29"/>
        <v>2.7014084507042253</v>
      </c>
      <c r="AA511" s="3" t="str" cm="1">
        <f t="array" ref="AA511">_xlfn.IFS(
(F511/(X511/7)) &lt; 5, "Casual",
AND((F511/(X511/7)) &gt;= 5, (F511/(X511/7)) &lt; 15), "Regular",
(F511/(X511/7)) &gt;= 15, "Power"
)</f>
        <v>Casual</v>
      </c>
      <c r="AB511" s="3">
        <f t="shared" si="32"/>
        <v>0.17815344603381014</v>
      </c>
      <c r="AC511" t="str">
        <f t="shared" si="30"/>
        <v>Viewers</v>
      </c>
    </row>
    <row r="512" spans="1:29" x14ac:dyDescent="0.3">
      <c r="A512" s="6">
        <v>1373</v>
      </c>
      <c r="B512" s="7" t="s">
        <v>147</v>
      </c>
      <c r="C512" s="10">
        <v>44998</v>
      </c>
      <c r="D512" s="10">
        <v>45638</v>
      </c>
      <c r="E512" s="13">
        <v>7.99</v>
      </c>
      <c r="F512" s="6">
        <v>301</v>
      </c>
      <c r="G512" s="7" t="s">
        <v>26</v>
      </c>
      <c r="H512" s="6">
        <v>2</v>
      </c>
      <c r="I512" s="6">
        <v>5</v>
      </c>
      <c r="J512" s="7" t="b">
        <v>0</v>
      </c>
      <c r="K512" s="6">
        <v>89</v>
      </c>
      <c r="L512" s="6">
        <v>55</v>
      </c>
      <c r="M512" s="7" t="s">
        <v>27</v>
      </c>
      <c r="N512" s="7" t="s">
        <v>56</v>
      </c>
      <c r="O512" s="7" t="s">
        <v>78</v>
      </c>
      <c r="P512" s="6">
        <v>54</v>
      </c>
      <c r="Q512" s="11">
        <v>4.2</v>
      </c>
      <c r="R512" s="7" t="b">
        <v>1</v>
      </c>
      <c r="S512" s="7" t="s">
        <v>30</v>
      </c>
      <c r="T512" s="6">
        <v>756</v>
      </c>
      <c r="U512" s="7" t="s">
        <v>65</v>
      </c>
      <c r="V512" s="12" t="s">
        <v>79</v>
      </c>
      <c r="W512" s="7" t="s">
        <v>33</v>
      </c>
      <c r="X512" s="6">
        <f t="shared" si="31"/>
        <v>640</v>
      </c>
      <c r="Y512" t="str" cm="1">
        <f t="array" ref="Y512">_xlfn.IFS(E512=7.99,"BASIC",E512=11.99,"STANDARD",E512=15.99,"PREMIUM")</f>
        <v>BASIC</v>
      </c>
      <c r="Z512" s="4">
        <f t="shared" si="29"/>
        <v>3.2921874999999998</v>
      </c>
      <c r="AA512" s="3" t="str" cm="1">
        <f t="array" ref="AA512">_xlfn.IFS(
(F512/(X512/7)) &lt; 5, "Casual",
AND((F512/(X512/7)) &gt;= 5, (F512/(X512/7)) &lt; 15), "Regular",
(F512/(X512/7)) &gt;= 15, "Power"
)</f>
        <v>Casual</v>
      </c>
      <c r="AB512" s="3">
        <f t="shared" si="32"/>
        <v>2.0902777777777777</v>
      </c>
      <c r="AC512" t="str">
        <f t="shared" si="30"/>
        <v>Viewers</v>
      </c>
    </row>
    <row r="513" spans="1:29" x14ac:dyDescent="0.3">
      <c r="A513" s="6">
        <v>6345</v>
      </c>
      <c r="B513" s="7" t="s">
        <v>542</v>
      </c>
      <c r="C513" s="10">
        <v>44927</v>
      </c>
      <c r="D513" s="10">
        <v>45635</v>
      </c>
      <c r="E513" s="13">
        <v>7.99</v>
      </c>
      <c r="F513" s="6">
        <v>410</v>
      </c>
      <c r="G513" s="7" t="s">
        <v>51</v>
      </c>
      <c r="H513" s="6">
        <v>1</v>
      </c>
      <c r="I513" s="6">
        <v>1</v>
      </c>
      <c r="J513" s="7" t="b">
        <v>1</v>
      </c>
      <c r="K513" s="6">
        <v>909</v>
      </c>
      <c r="L513" s="6">
        <v>99</v>
      </c>
      <c r="M513" s="7" t="s">
        <v>43</v>
      </c>
      <c r="N513" s="7" t="s">
        <v>28</v>
      </c>
      <c r="O513" s="7" t="s">
        <v>45</v>
      </c>
      <c r="P513" s="6">
        <v>22</v>
      </c>
      <c r="Q513" s="11">
        <v>3.2</v>
      </c>
      <c r="R513" s="7" t="b">
        <v>0</v>
      </c>
      <c r="S513" s="7" t="s">
        <v>30</v>
      </c>
      <c r="T513" s="6">
        <v>754</v>
      </c>
      <c r="U513" s="7" t="s">
        <v>58</v>
      </c>
      <c r="V513" s="12" t="s">
        <v>39</v>
      </c>
      <c r="W513" s="7" t="s">
        <v>40</v>
      </c>
      <c r="X513" s="6">
        <f t="shared" si="31"/>
        <v>708</v>
      </c>
      <c r="Y513" t="str" cm="1">
        <f t="array" ref="Y513">_xlfn.IFS(E513=7.99,"BASIC",E513=11.99,"STANDARD",E513=15.99,"PREMIUM")</f>
        <v>BASIC</v>
      </c>
      <c r="Z513" s="4">
        <f t="shared" si="29"/>
        <v>4.0536723163841808</v>
      </c>
      <c r="AA513" s="3" t="str" cm="1">
        <f t="array" ref="AA513">_xlfn.IFS(
(F513/(X513/7)) &lt; 5, "Casual",
AND((F513/(X513/7)) &gt;= 5, (F513/(X513/7)) &lt; 15), "Regular",
(F513/(X513/7)) &gt;= 15, "Power"
)</f>
        <v>Casual</v>
      </c>
      <c r="AB513" s="3">
        <f t="shared" si="32"/>
        <v>0.40674603174603174</v>
      </c>
      <c r="AC513" t="str">
        <f t="shared" si="30"/>
        <v>Viewers</v>
      </c>
    </row>
    <row r="514" spans="1:29" x14ac:dyDescent="0.3">
      <c r="A514" s="6">
        <v>3234</v>
      </c>
      <c r="B514" s="7" t="s">
        <v>143</v>
      </c>
      <c r="C514" s="10">
        <v>45292</v>
      </c>
      <c r="D514" s="10">
        <v>45633</v>
      </c>
      <c r="E514" s="13">
        <v>11.99</v>
      </c>
      <c r="F514" s="6">
        <v>298</v>
      </c>
      <c r="G514" s="7" t="s">
        <v>63</v>
      </c>
      <c r="H514" s="6">
        <v>2</v>
      </c>
      <c r="I514" s="6">
        <v>1</v>
      </c>
      <c r="J514" s="7" t="b">
        <v>0</v>
      </c>
      <c r="K514" s="6">
        <v>918</v>
      </c>
      <c r="L514" s="6">
        <v>153</v>
      </c>
      <c r="M514" s="7" t="s">
        <v>68</v>
      </c>
      <c r="N514" s="7" t="s">
        <v>28</v>
      </c>
      <c r="O514" s="7" t="s">
        <v>57</v>
      </c>
      <c r="P514" s="6">
        <v>52</v>
      </c>
      <c r="Q514" s="11">
        <v>4.4000000000000004</v>
      </c>
      <c r="R514" s="7" t="b">
        <v>1</v>
      </c>
      <c r="S514" s="7" t="s">
        <v>30</v>
      </c>
      <c r="T514" s="6">
        <v>3476</v>
      </c>
      <c r="U514" s="7" t="s">
        <v>58</v>
      </c>
      <c r="V514" s="12" t="s">
        <v>59</v>
      </c>
      <c r="W514" s="7" t="s">
        <v>60</v>
      </c>
      <c r="X514" s="6">
        <f t="shared" si="31"/>
        <v>341</v>
      </c>
      <c r="Y514" t="str" cm="1">
        <f t="array" ref="Y514">_xlfn.IFS(E514=7.99,"BASIC",E514=11.99,"STANDARD",E514=15.99,"PREMIUM")</f>
        <v>STANDARD</v>
      </c>
      <c r="Z514" s="4">
        <f t="shared" ref="Z514:Z577" si="33">F514/(X514/7)</f>
        <v>6.1173020527859236</v>
      </c>
      <c r="AA514" s="3" t="str" cm="1">
        <f t="array" ref="AA514">_xlfn.IFS(
(F514/(X514/7)) &lt; 5, "Casual",
AND((F514/(X514/7)) &gt;= 5, (F514/(X514/7)) &lt; 15), "Regular",
(F514/(X514/7)) &gt;= 15, "Power"
)</f>
        <v>Regular</v>
      </c>
      <c r="AB514" s="3">
        <f t="shared" si="32"/>
        <v>0.27824463118580767</v>
      </c>
      <c r="AC514" t="str">
        <f t="shared" ref="AC514:AC577" si="34">IF(F514/(K514+L514) &lt; 0.15," Browsers","Viewers")</f>
        <v>Viewers</v>
      </c>
    </row>
    <row r="515" spans="1:29" x14ac:dyDescent="0.3">
      <c r="A515" s="6">
        <v>6998</v>
      </c>
      <c r="B515" s="7" t="s">
        <v>126</v>
      </c>
      <c r="C515" s="10">
        <v>45373</v>
      </c>
      <c r="D515" s="10">
        <v>45628</v>
      </c>
      <c r="E515" s="13">
        <v>7.99</v>
      </c>
      <c r="F515" s="6">
        <v>54</v>
      </c>
      <c r="G515" s="7" t="s">
        <v>48</v>
      </c>
      <c r="H515" s="6">
        <v>4</v>
      </c>
      <c r="I515" s="6">
        <v>5</v>
      </c>
      <c r="J515" s="7" t="b">
        <v>1</v>
      </c>
      <c r="K515" s="6">
        <v>285</v>
      </c>
      <c r="L515" s="6">
        <v>66</v>
      </c>
      <c r="M515" s="7" t="s">
        <v>55</v>
      </c>
      <c r="N515" s="7" t="s">
        <v>56</v>
      </c>
      <c r="O515" s="7" t="s">
        <v>64</v>
      </c>
      <c r="P515" s="6">
        <v>43</v>
      </c>
      <c r="Q515" s="11">
        <v>3.8</v>
      </c>
      <c r="R515" s="7" t="b">
        <v>0</v>
      </c>
      <c r="S515" s="7" t="s">
        <v>30</v>
      </c>
      <c r="T515" s="6">
        <v>290</v>
      </c>
      <c r="U515" s="7" t="s">
        <v>76</v>
      </c>
      <c r="V515" s="12" t="s">
        <v>69</v>
      </c>
      <c r="W515" s="7" t="s">
        <v>33</v>
      </c>
      <c r="X515" s="6">
        <f t="shared" ref="X515:X578" si="35">D515-C515</f>
        <v>255</v>
      </c>
      <c r="Y515" t="str" cm="1">
        <f t="array" ref="Y515">_xlfn.IFS(E515=7.99,"BASIC",E515=11.99,"STANDARD",E515=15.99,"PREMIUM")</f>
        <v>BASIC</v>
      </c>
      <c r="Z515" s="4">
        <f t="shared" si="33"/>
        <v>1.4823529411764704</v>
      </c>
      <c r="AA515" s="3" t="str" cm="1">
        <f t="array" ref="AA515">_xlfn.IFS(
(F515/(X515/7)) &lt; 5, "Casual",
AND((F515/(X515/7)) &gt;= 5, (F515/(X515/7)) &lt; 15), "Regular",
(F515/(X515/7)) &gt;= 15, "Power"
)</f>
        <v>Casual</v>
      </c>
      <c r="AB515" s="3">
        <f t="shared" si="32"/>
        <v>0.15384615384615385</v>
      </c>
      <c r="AC515" t="str">
        <f t="shared" si="34"/>
        <v>Viewers</v>
      </c>
    </row>
    <row r="516" spans="1:29" x14ac:dyDescent="0.3">
      <c r="A516" s="6">
        <v>5809</v>
      </c>
      <c r="B516" s="7" t="s">
        <v>238</v>
      </c>
      <c r="C516" s="10">
        <v>45548</v>
      </c>
      <c r="D516" s="10">
        <v>45615</v>
      </c>
      <c r="E516" s="13">
        <v>7.99</v>
      </c>
      <c r="F516" s="6">
        <v>486</v>
      </c>
      <c r="G516" s="7" t="s">
        <v>63</v>
      </c>
      <c r="H516" s="6">
        <v>4</v>
      </c>
      <c r="I516" s="6">
        <v>3</v>
      </c>
      <c r="J516" s="7" t="b">
        <v>0</v>
      </c>
      <c r="K516" s="6">
        <v>463</v>
      </c>
      <c r="L516" s="6">
        <v>171</v>
      </c>
      <c r="M516" s="7" t="s">
        <v>49</v>
      </c>
      <c r="N516" s="7" t="s">
        <v>44</v>
      </c>
      <c r="O516" s="7" t="s">
        <v>78</v>
      </c>
      <c r="P516" s="6">
        <v>10</v>
      </c>
      <c r="Q516" s="11">
        <v>3.2</v>
      </c>
      <c r="R516" s="7" t="b">
        <v>0</v>
      </c>
      <c r="S516" s="7" t="s">
        <v>30</v>
      </c>
      <c r="T516" s="6">
        <v>987</v>
      </c>
      <c r="U516" s="7" t="s">
        <v>38</v>
      </c>
      <c r="V516" s="12" t="s">
        <v>79</v>
      </c>
      <c r="W516" s="7" t="s">
        <v>40</v>
      </c>
      <c r="X516" s="6">
        <f t="shared" si="35"/>
        <v>67</v>
      </c>
      <c r="Y516" t="str" cm="1">
        <f t="array" ref="Y516">_xlfn.IFS(E516=7.99,"BASIC",E516=11.99,"STANDARD",E516=15.99,"PREMIUM")</f>
        <v>BASIC</v>
      </c>
      <c r="Z516" s="4">
        <f t="shared" si="33"/>
        <v>50.776119402985074</v>
      </c>
      <c r="AA516" s="3" t="str" cm="1">
        <f t="array" ref="AA516">_xlfn.IFS(
(F516/(X516/7)) &lt; 5, "Casual",
AND((F516/(X516/7)) &gt;= 5, (F516/(X516/7)) &lt; 15), "Regular",
(F516/(X516/7)) &gt;= 15, "Power"
)</f>
        <v>Power</v>
      </c>
      <c r="AB516" s="3">
        <f t="shared" si="32"/>
        <v>0.7665615141955836</v>
      </c>
      <c r="AC516" t="str">
        <f t="shared" si="34"/>
        <v>Viewers</v>
      </c>
    </row>
    <row r="517" spans="1:29" x14ac:dyDescent="0.3">
      <c r="A517" s="6">
        <v>6522</v>
      </c>
      <c r="B517" s="7" t="s">
        <v>544</v>
      </c>
      <c r="C517" s="10">
        <v>45179</v>
      </c>
      <c r="D517" s="10">
        <v>45623</v>
      </c>
      <c r="E517" s="13">
        <v>11.99</v>
      </c>
      <c r="F517" s="6">
        <v>38</v>
      </c>
      <c r="G517" s="7" t="s">
        <v>73</v>
      </c>
      <c r="H517" s="6">
        <v>1</v>
      </c>
      <c r="I517" s="6">
        <v>4</v>
      </c>
      <c r="J517" s="7" t="b">
        <v>1</v>
      </c>
      <c r="K517" s="6">
        <v>875</v>
      </c>
      <c r="L517" s="6">
        <v>115</v>
      </c>
      <c r="M517" s="7" t="s">
        <v>43</v>
      </c>
      <c r="N517" s="7" t="s">
        <v>75</v>
      </c>
      <c r="O517" s="7" t="s">
        <v>37</v>
      </c>
      <c r="P517" s="6">
        <v>75</v>
      </c>
      <c r="Q517" s="11">
        <v>4.7</v>
      </c>
      <c r="R517" s="7" t="b">
        <v>1</v>
      </c>
      <c r="S517" s="7" t="s">
        <v>30</v>
      </c>
      <c r="T517" s="6">
        <v>4972</v>
      </c>
      <c r="U517" s="7" t="s">
        <v>58</v>
      </c>
      <c r="V517" s="12" t="s">
        <v>59</v>
      </c>
      <c r="W517" s="7" t="s">
        <v>33</v>
      </c>
      <c r="X517" s="6">
        <f t="shared" si="35"/>
        <v>444</v>
      </c>
      <c r="Y517" t="str" cm="1">
        <f t="array" ref="Y517">_xlfn.IFS(E517=7.99,"BASIC",E517=11.99,"STANDARD",E517=15.99,"PREMIUM")</f>
        <v>STANDARD</v>
      </c>
      <c r="Z517" s="4">
        <f t="shared" si="33"/>
        <v>0.59909909909909909</v>
      </c>
      <c r="AA517" s="3" t="str" cm="1">
        <f t="array" ref="AA517">_xlfn.IFS(
(F517/(X517/7)) &lt; 5, "Casual",
AND((F517/(X517/7)) &gt;= 5, (F517/(X517/7)) &lt; 15), "Regular",
(F517/(X517/7)) &gt;= 15, "Power"
)</f>
        <v>Casual</v>
      </c>
      <c r="AB517" s="3">
        <f t="shared" si="32"/>
        <v>3.8383838383838381E-2</v>
      </c>
      <c r="AC517" t="str">
        <f t="shared" si="34"/>
        <v xml:space="preserve"> Browsers</v>
      </c>
    </row>
    <row r="518" spans="1:29" x14ac:dyDescent="0.3">
      <c r="A518" s="6">
        <v>3892</v>
      </c>
      <c r="B518" s="7" t="s">
        <v>280</v>
      </c>
      <c r="C518" s="10">
        <v>45128</v>
      </c>
      <c r="D518" s="10">
        <v>45629</v>
      </c>
      <c r="E518" s="13">
        <v>7.99</v>
      </c>
      <c r="F518" s="6">
        <v>442</v>
      </c>
      <c r="G518" s="7" t="s">
        <v>26</v>
      </c>
      <c r="H518" s="6">
        <v>3</v>
      </c>
      <c r="I518" s="6">
        <v>6</v>
      </c>
      <c r="J518" s="7" t="b">
        <v>1</v>
      </c>
      <c r="K518" s="6">
        <v>875</v>
      </c>
      <c r="L518" s="6">
        <v>70</v>
      </c>
      <c r="M518" s="7" t="s">
        <v>43</v>
      </c>
      <c r="N518" s="7" t="s">
        <v>28</v>
      </c>
      <c r="O518" s="7" t="s">
        <v>37</v>
      </c>
      <c r="P518" s="6">
        <v>96</v>
      </c>
      <c r="Q518" s="11">
        <v>3.7</v>
      </c>
      <c r="R518" s="7" t="b">
        <v>0</v>
      </c>
      <c r="S518" s="7" t="s">
        <v>30</v>
      </c>
      <c r="T518" s="6">
        <v>1628</v>
      </c>
      <c r="U518" s="7" t="s">
        <v>38</v>
      </c>
      <c r="V518" s="12" t="s">
        <v>32</v>
      </c>
      <c r="W518" s="7" t="s">
        <v>40</v>
      </c>
      <c r="X518" s="6">
        <f t="shared" si="35"/>
        <v>501</v>
      </c>
      <c r="Y518" t="str" cm="1">
        <f t="array" ref="Y518">_xlfn.IFS(E518=7.99,"BASIC",E518=11.99,"STANDARD",E518=15.99,"PREMIUM")</f>
        <v>BASIC</v>
      </c>
      <c r="Z518" s="4">
        <f t="shared" si="33"/>
        <v>6.1756487025948106</v>
      </c>
      <c r="AA518" s="3" t="str" cm="1">
        <f t="array" ref="AA518">_xlfn.IFS(
(F518/(X518/7)) &lt; 5, "Casual",
AND((F518/(X518/7)) &gt;= 5, (F518/(X518/7)) &lt; 15), "Regular",
(F518/(X518/7)) &gt;= 15, "Power"
)</f>
        <v>Regular</v>
      </c>
      <c r="AB518" s="3">
        <f t="shared" si="32"/>
        <v>0.46772486772486771</v>
      </c>
      <c r="AC518" t="str">
        <f t="shared" si="34"/>
        <v>Viewers</v>
      </c>
    </row>
    <row r="519" spans="1:29" x14ac:dyDescent="0.3">
      <c r="A519" s="6">
        <v>4427</v>
      </c>
      <c r="B519" s="7" t="s">
        <v>545</v>
      </c>
      <c r="C519" s="10">
        <v>45094</v>
      </c>
      <c r="D519" s="10">
        <v>45624</v>
      </c>
      <c r="E519" s="13">
        <v>7.99</v>
      </c>
      <c r="F519" s="6">
        <v>474</v>
      </c>
      <c r="G519" s="7" t="s">
        <v>63</v>
      </c>
      <c r="H519" s="6">
        <v>3</v>
      </c>
      <c r="I519" s="6">
        <v>5</v>
      </c>
      <c r="J519" s="7" t="b">
        <v>1</v>
      </c>
      <c r="K519" s="6">
        <v>341</v>
      </c>
      <c r="L519" s="6">
        <v>165</v>
      </c>
      <c r="M519" s="7" t="s">
        <v>68</v>
      </c>
      <c r="N519" s="7" t="s">
        <v>75</v>
      </c>
      <c r="O519" s="7" t="s">
        <v>45</v>
      </c>
      <c r="P519" s="6">
        <v>30</v>
      </c>
      <c r="Q519" s="11">
        <v>4.8</v>
      </c>
      <c r="R519" s="7" t="b">
        <v>0</v>
      </c>
      <c r="S519" s="7" t="s">
        <v>30</v>
      </c>
      <c r="T519" s="6">
        <v>1285</v>
      </c>
      <c r="U519" s="7" t="s">
        <v>31</v>
      </c>
      <c r="V519" s="12" t="s">
        <v>69</v>
      </c>
      <c r="W519" s="7" t="s">
        <v>40</v>
      </c>
      <c r="X519" s="6">
        <f t="shared" si="35"/>
        <v>530</v>
      </c>
      <c r="Y519" t="str" cm="1">
        <f t="array" ref="Y519">_xlfn.IFS(E519=7.99,"BASIC",E519=11.99,"STANDARD",E519=15.99,"PREMIUM")</f>
        <v>BASIC</v>
      </c>
      <c r="Z519" s="4">
        <f t="shared" si="33"/>
        <v>6.2603773584905662</v>
      </c>
      <c r="AA519" s="3" t="str" cm="1">
        <f t="array" ref="AA519">_xlfn.IFS(
(F519/(X519/7)) &lt; 5, "Casual",
AND((F519/(X519/7)) &gt;= 5, (F519/(X519/7)) &lt; 15), "Regular",
(F519/(X519/7)) &gt;= 15, "Power"
)</f>
        <v>Regular</v>
      </c>
      <c r="AB519" s="3">
        <f t="shared" si="32"/>
        <v>0.93675889328063244</v>
      </c>
      <c r="AC519" t="str">
        <f t="shared" si="34"/>
        <v>Viewers</v>
      </c>
    </row>
    <row r="520" spans="1:29" x14ac:dyDescent="0.3">
      <c r="A520" s="6">
        <v>8145</v>
      </c>
      <c r="B520" s="7" t="s">
        <v>546</v>
      </c>
      <c r="C520" s="10">
        <v>44967</v>
      </c>
      <c r="D520" s="10">
        <v>45617</v>
      </c>
      <c r="E520" s="13">
        <v>15.99</v>
      </c>
      <c r="F520" s="6">
        <v>96</v>
      </c>
      <c r="G520" s="7" t="s">
        <v>73</v>
      </c>
      <c r="H520" s="6">
        <v>5</v>
      </c>
      <c r="I520" s="6">
        <v>1</v>
      </c>
      <c r="J520" s="7" t="b">
        <v>1</v>
      </c>
      <c r="K520" s="6">
        <v>273</v>
      </c>
      <c r="L520" s="6">
        <v>79</v>
      </c>
      <c r="M520" s="7" t="s">
        <v>49</v>
      </c>
      <c r="N520" s="7" t="s">
        <v>28</v>
      </c>
      <c r="O520" s="7" t="s">
        <v>64</v>
      </c>
      <c r="P520" s="6">
        <v>60</v>
      </c>
      <c r="Q520" s="11">
        <v>4.3</v>
      </c>
      <c r="R520" s="7" t="b">
        <v>0</v>
      </c>
      <c r="S520" s="7" t="s">
        <v>30</v>
      </c>
      <c r="T520" s="6">
        <v>1960</v>
      </c>
      <c r="U520" s="7" t="s">
        <v>38</v>
      </c>
      <c r="V520" s="12" t="s">
        <v>39</v>
      </c>
      <c r="W520" s="7" t="s">
        <v>93</v>
      </c>
      <c r="X520" s="6">
        <f t="shared" si="35"/>
        <v>650</v>
      </c>
      <c r="Y520" t="str" cm="1">
        <f t="array" ref="Y520">_xlfn.IFS(E520=7.99,"BASIC",E520=11.99,"STANDARD",E520=15.99,"PREMIUM")</f>
        <v>PREMIUM</v>
      </c>
      <c r="Z520" s="4">
        <f t="shared" si="33"/>
        <v>1.0338461538461539</v>
      </c>
      <c r="AA520" s="3" t="str" cm="1">
        <f t="array" ref="AA520">_xlfn.IFS(
(F520/(X520/7)) &lt; 5, "Casual",
AND((F520/(X520/7)) &gt;= 5, (F520/(X520/7)) &lt; 15), "Regular",
(F520/(X520/7)) &gt;= 15, "Power"
)</f>
        <v>Casual</v>
      </c>
      <c r="AB520" s="3">
        <f t="shared" si="32"/>
        <v>0.27272727272727271</v>
      </c>
      <c r="AC520" t="str">
        <f t="shared" si="34"/>
        <v>Viewers</v>
      </c>
    </row>
    <row r="521" spans="1:29" x14ac:dyDescent="0.3">
      <c r="A521" s="6">
        <v>1150</v>
      </c>
      <c r="B521" s="7" t="s">
        <v>224</v>
      </c>
      <c r="C521" s="10">
        <v>45222</v>
      </c>
      <c r="D521" s="10">
        <v>45625</v>
      </c>
      <c r="E521" s="13">
        <v>11.99</v>
      </c>
      <c r="F521" s="6">
        <v>160</v>
      </c>
      <c r="G521" s="7" t="s">
        <v>63</v>
      </c>
      <c r="H521" s="6">
        <v>5</v>
      </c>
      <c r="I521" s="6">
        <v>5</v>
      </c>
      <c r="J521" s="7" t="b">
        <v>1</v>
      </c>
      <c r="K521" s="6">
        <v>352</v>
      </c>
      <c r="L521" s="6">
        <v>31</v>
      </c>
      <c r="M521" s="7" t="s">
        <v>55</v>
      </c>
      <c r="N521" s="7" t="s">
        <v>28</v>
      </c>
      <c r="O521" s="7" t="s">
        <v>29</v>
      </c>
      <c r="P521" s="6">
        <v>37</v>
      </c>
      <c r="Q521" s="11">
        <v>3.7</v>
      </c>
      <c r="R521" s="7" t="b">
        <v>1</v>
      </c>
      <c r="S521" s="7" t="s">
        <v>30</v>
      </c>
      <c r="T521" s="6">
        <v>771</v>
      </c>
      <c r="U521" s="7" t="s">
        <v>76</v>
      </c>
      <c r="V521" s="12" t="s">
        <v>39</v>
      </c>
      <c r="W521" s="7" t="s">
        <v>93</v>
      </c>
      <c r="X521" s="6">
        <f t="shared" si="35"/>
        <v>403</v>
      </c>
      <c r="Y521" t="str" cm="1">
        <f t="array" ref="Y521">_xlfn.IFS(E521=7.99,"BASIC",E521=11.99,"STANDARD",E521=15.99,"PREMIUM")</f>
        <v>STANDARD</v>
      </c>
      <c r="Z521" s="4">
        <f t="shared" si="33"/>
        <v>2.7791563275434243</v>
      </c>
      <c r="AA521" s="3" t="str" cm="1">
        <f t="array" ref="AA521">_xlfn.IFS(
(F521/(X521/7)) &lt; 5, "Casual",
AND((F521/(X521/7)) &gt;= 5, (F521/(X521/7)) &lt; 15), "Regular",
(F521/(X521/7)) &gt;= 15, "Power"
)</f>
        <v>Casual</v>
      </c>
      <c r="AB521" s="3">
        <f t="shared" ref="AB521:AB584" si="36">(F521/(K521+L521))</f>
        <v>0.4177545691906005</v>
      </c>
      <c r="AC521" t="str">
        <f t="shared" si="34"/>
        <v>Viewers</v>
      </c>
    </row>
    <row r="522" spans="1:29" x14ac:dyDescent="0.3">
      <c r="A522" s="6">
        <v>7366</v>
      </c>
      <c r="B522" s="7" t="s">
        <v>547</v>
      </c>
      <c r="C522" s="10">
        <v>45465</v>
      </c>
      <c r="D522" s="10">
        <v>45641</v>
      </c>
      <c r="E522" s="13">
        <v>7.99</v>
      </c>
      <c r="F522" s="6">
        <v>451</v>
      </c>
      <c r="G522" s="7" t="s">
        <v>73</v>
      </c>
      <c r="H522" s="6">
        <v>3</v>
      </c>
      <c r="I522" s="6">
        <v>3</v>
      </c>
      <c r="J522" s="7" t="b">
        <v>0</v>
      </c>
      <c r="K522" s="6">
        <v>588</v>
      </c>
      <c r="L522" s="6">
        <v>147</v>
      </c>
      <c r="M522" s="7" t="s">
        <v>74</v>
      </c>
      <c r="N522" s="7" t="s">
        <v>44</v>
      </c>
      <c r="O522" s="7" t="s">
        <v>37</v>
      </c>
      <c r="P522" s="6">
        <v>75</v>
      </c>
      <c r="Q522" s="11">
        <v>3.3</v>
      </c>
      <c r="R522" s="7" t="b">
        <v>1</v>
      </c>
      <c r="S522" s="7" t="s">
        <v>30</v>
      </c>
      <c r="T522" s="6">
        <v>1785</v>
      </c>
      <c r="U522" s="7" t="s">
        <v>76</v>
      </c>
      <c r="V522" s="12" t="s">
        <v>69</v>
      </c>
      <c r="W522" s="7" t="s">
        <v>40</v>
      </c>
      <c r="X522" s="6">
        <f t="shared" si="35"/>
        <v>176</v>
      </c>
      <c r="Y522" t="str" cm="1">
        <f t="array" ref="Y522">_xlfn.IFS(E522=7.99,"BASIC",E522=11.99,"STANDARD",E522=15.99,"PREMIUM")</f>
        <v>BASIC</v>
      </c>
      <c r="Z522" s="4">
        <f t="shared" si="33"/>
        <v>17.9375</v>
      </c>
      <c r="AA522" s="3" t="str" cm="1">
        <f t="array" ref="AA522">_xlfn.IFS(
(F522/(X522/7)) &lt; 5, "Casual",
AND((F522/(X522/7)) &gt;= 5, (F522/(X522/7)) &lt; 15), "Regular",
(F522/(X522/7)) &gt;= 15, "Power"
)</f>
        <v>Power</v>
      </c>
      <c r="AB522" s="3">
        <f t="shared" si="36"/>
        <v>0.61360544217687074</v>
      </c>
      <c r="AC522" t="str">
        <f t="shared" si="34"/>
        <v>Viewers</v>
      </c>
    </row>
    <row r="523" spans="1:29" x14ac:dyDescent="0.3">
      <c r="A523" s="6">
        <v>3004</v>
      </c>
      <c r="B523" s="7" t="s">
        <v>304</v>
      </c>
      <c r="C523" s="10">
        <v>45587</v>
      </c>
      <c r="D523" s="10">
        <v>45644</v>
      </c>
      <c r="E523" s="13">
        <v>11.99</v>
      </c>
      <c r="F523" s="6">
        <v>184</v>
      </c>
      <c r="G523" s="7" t="s">
        <v>51</v>
      </c>
      <c r="H523" s="6">
        <v>3</v>
      </c>
      <c r="I523" s="6">
        <v>4</v>
      </c>
      <c r="J523" s="7" t="b">
        <v>0</v>
      </c>
      <c r="K523" s="6">
        <v>233</v>
      </c>
      <c r="L523" s="6">
        <v>15</v>
      </c>
      <c r="M523" s="7" t="s">
        <v>43</v>
      </c>
      <c r="N523" s="7" t="s">
        <v>75</v>
      </c>
      <c r="O523" s="7" t="s">
        <v>45</v>
      </c>
      <c r="P523" s="6">
        <v>28</v>
      </c>
      <c r="Q523" s="11">
        <v>3.5</v>
      </c>
      <c r="R523" s="7" t="b">
        <v>1</v>
      </c>
      <c r="S523" s="7" t="s">
        <v>30</v>
      </c>
      <c r="T523" s="6">
        <v>2760</v>
      </c>
      <c r="U523" s="7" t="s">
        <v>58</v>
      </c>
      <c r="V523" s="12" t="s">
        <v>69</v>
      </c>
      <c r="W523" s="7" t="s">
        <v>33</v>
      </c>
      <c r="X523" s="6">
        <f t="shared" si="35"/>
        <v>57</v>
      </c>
      <c r="Y523" t="str" cm="1">
        <f t="array" ref="Y523">_xlfn.IFS(E523=7.99,"BASIC",E523=11.99,"STANDARD",E523=15.99,"PREMIUM")</f>
        <v>STANDARD</v>
      </c>
      <c r="Z523" s="4">
        <f t="shared" si="33"/>
        <v>22.596491228070178</v>
      </c>
      <c r="AA523" s="3" t="str" cm="1">
        <f t="array" ref="AA523">_xlfn.IFS(
(F523/(X523/7)) &lt; 5, "Casual",
AND((F523/(X523/7)) &gt;= 5, (F523/(X523/7)) &lt; 15), "Regular",
(F523/(X523/7)) &gt;= 15, "Power"
)</f>
        <v>Power</v>
      </c>
      <c r="AB523" s="3">
        <f t="shared" si="36"/>
        <v>0.74193548387096775</v>
      </c>
      <c r="AC523" t="str">
        <f t="shared" si="34"/>
        <v>Viewers</v>
      </c>
    </row>
    <row r="524" spans="1:29" x14ac:dyDescent="0.3">
      <c r="A524" s="6">
        <v>9934</v>
      </c>
      <c r="B524" s="7" t="s">
        <v>549</v>
      </c>
      <c r="C524" s="10">
        <v>45288</v>
      </c>
      <c r="D524" s="10">
        <v>45642</v>
      </c>
      <c r="E524" s="13">
        <v>15.99</v>
      </c>
      <c r="F524" s="6">
        <v>50</v>
      </c>
      <c r="G524" s="7" t="s">
        <v>36</v>
      </c>
      <c r="H524" s="6">
        <v>2</v>
      </c>
      <c r="I524" s="6">
        <v>6</v>
      </c>
      <c r="J524" s="7" t="b">
        <v>1</v>
      </c>
      <c r="K524" s="6">
        <v>159</v>
      </c>
      <c r="L524" s="6">
        <v>131</v>
      </c>
      <c r="M524" s="7" t="s">
        <v>68</v>
      </c>
      <c r="N524" s="7" t="s">
        <v>44</v>
      </c>
      <c r="O524" s="7" t="s">
        <v>45</v>
      </c>
      <c r="P524" s="6">
        <v>49</v>
      </c>
      <c r="Q524" s="11">
        <v>3.8</v>
      </c>
      <c r="R524" s="7" t="b">
        <v>0</v>
      </c>
      <c r="S524" s="7" t="s">
        <v>30</v>
      </c>
      <c r="T524" s="6">
        <v>388</v>
      </c>
      <c r="U524" s="7" t="s">
        <v>38</v>
      </c>
      <c r="V524" s="12" t="s">
        <v>39</v>
      </c>
      <c r="W524" s="7" t="s">
        <v>93</v>
      </c>
      <c r="X524" s="6">
        <f t="shared" si="35"/>
        <v>354</v>
      </c>
      <c r="Y524" t="str" cm="1">
        <f t="array" ref="Y524">_xlfn.IFS(E524=7.99,"BASIC",E524=11.99,"STANDARD",E524=15.99,"PREMIUM")</f>
        <v>PREMIUM</v>
      </c>
      <c r="Z524" s="4">
        <f t="shared" si="33"/>
        <v>0.98870056497175141</v>
      </c>
      <c r="AA524" s="3" t="str" cm="1">
        <f t="array" ref="AA524">_xlfn.IFS(
(F524/(X524/7)) &lt; 5, "Casual",
AND((F524/(X524/7)) &gt;= 5, (F524/(X524/7)) &lt; 15), "Regular",
(F524/(X524/7)) &gt;= 15, "Power"
)</f>
        <v>Casual</v>
      </c>
      <c r="AB524" s="3">
        <f t="shared" si="36"/>
        <v>0.17241379310344829</v>
      </c>
      <c r="AC524" t="str">
        <f t="shared" si="34"/>
        <v>Viewers</v>
      </c>
    </row>
    <row r="525" spans="1:29" x14ac:dyDescent="0.3">
      <c r="A525" s="6">
        <v>1228</v>
      </c>
      <c r="B525" s="7" t="s">
        <v>263</v>
      </c>
      <c r="C525" s="10">
        <v>45014</v>
      </c>
      <c r="D525" s="10">
        <v>45640</v>
      </c>
      <c r="E525" s="13">
        <v>7.99</v>
      </c>
      <c r="F525" s="6">
        <v>299</v>
      </c>
      <c r="G525" s="7" t="s">
        <v>63</v>
      </c>
      <c r="H525" s="6">
        <v>3</v>
      </c>
      <c r="I525" s="6">
        <v>1</v>
      </c>
      <c r="J525" s="7" t="b">
        <v>0</v>
      </c>
      <c r="K525" s="6">
        <v>488</v>
      </c>
      <c r="L525" s="6">
        <v>135</v>
      </c>
      <c r="M525" s="7" t="s">
        <v>74</v>
      </c>
      <c r="N525" s="7" t="s">
        <v>44</v>
      </c>
      <c r="O525" s="7" t="s">
        <v>37</v>
      </c>
      <c r="P525" s="6">
        <v>100</v>
      </c>
      <c r="Q525" s="11">
        <v>4.8</v>
      </c>
      <c r="R525" s="7" t="b">
        <v>0</v>
      </c>
      <c r="S525" s="7" t="s">
        <v>30</v>
      </c>
      <c r="T525" s="6">
        <v>2385</v>
      </c>
      <c r="U525" s="7" t="s">
        <v>38</v>
      </c>
      <c r="V525" s="12" t="s">
        <v>69</v>
      </c>
      <c r="W525" s="7" t="s">
        <v>93</v>
      </c>
      <c r="X525" s="6">
        <f t="shared" si="35"/>
        <v>626</v>
      </c>
      <c r="Y525" t="str" cm="1">
        <f t="array" ref="Y525">_xlfn.IFS(E525=7.99,"BASIC",E525=11.99,"STANDARD",E525=15.99,"PREMIUM")</f>
        <v>BASIC</v>
      </c>
      <c r="Z525" s="4">
        <f t="shared" si="33"/>
        <v>3.3434504792332267</v>
      </c>
      <c r="AA525" s="3" t="str" cm="1">
        <f t="array" ref="AA525">_xlfn.IFS(
(F525/(X525/7)) &lt; 5, "Casual",
AND((F525/(X525/7)) &gt;= 5, (F525/(X525/7)) &lt; 15), "Regular",
(F525/(X525/7)) &gt;= 15, "Power"
)</f>
        <v>Casual</v>
      </c>
      <c r="AB525" s="3">
        <f t="shared" si="36"/>
        <v>0.4799357945425361</v>
      </c>
      <c r="AC525" t="str">
        <f t="shared" si="34"/>
        <v>Viewers</v>
      </c>
    </row>
    <row r="526" spans="1:29" x14ac:dyDescent="0.3">
      <c r="A526" s="6">
        <v>5806</v>
      </c>
      <c r="B526" s="7" t="s">
        <v>551</v>
      </c>
      <c r="C526" s="10">
        <v>45505</v>
      </c>
      <c r="D526" s="10">
        <v>45641</v>
      </c>
      <c r="E526" s="13">
        <v>7.99</v>
      </c>
      <c r="F526" s="6">
        <v>495</v>
      </c>
      <c r="G526" s="7" t="s">
        <v>36</v>
      </c>
      <c r="H526" s="6">
        <v>5</v>
      </c>
      <c r="I526" s="6">
        <v>6</v>
      </c>
      <c r="J526" s="7" t="b">
        <v>0</v>
      </c>
      <c r="K526" s="6">
        <v>522</v>
      </c>
      <c r="L526" s="6">
        <v>32</v>
      </c>
      <c r="M526" s="7" t="s">
        <v>68</v>
      </c>
      <c r="N526" s="7" t="s">
        <v>75</v>
      </c>
      <c r="O526" s="7" t="s">
        <v>78</v>
      </c>
      <c r="P526" s="6">
        <v>41</v>
      </c>
      <c r="Q526" s="11">
        <v>3.9</v>
      </c>
      <c r="R526" s="7" t="b">
        <v>1</v>
      </c>
      <c r="S526" s="7" t="s">
        <v>30</v>
      </c>
      <c r="T526" s="6">
        <v>3714</v>
      </c>
      <c r="U526" s="7" t="s">
        <v>76</v>
      </c>
      <c r="V526" s="12" t="s">
        <v>79</v>
      </c>
      <c r="W526" s="7" t="s">
        <v>93</v>
      </c>
      <c r="X526" s="6">
        <f t="shared" si="35"/>
        <v>136</v>
      </c>
      <c r="Y526" t="str" cm="1">
        <f t="array" ref="Y526">_xlfn.IFS(E526=7.99,"BASIC",E526=11.99,"STANDARD",E526=15.99,"PREMIUM")</f>
        <v>BASIC</v>
      </c>
      <c r="Z526" s="4">
        <f t="shared" si="33"/>
        <v>25.477941176470591</v>
      </c>
      <c r="AA526" s="3" t="str" cm="1">
        <f t="array" ref="AA526">_xlfn.IFS(
(F526/(X526/7)) &lt; 5, "Casual",
AND((F526/(X526/7)) &gt;= 5, (F526/(X526/7)) &lt; 15), "Regular",
(F526/(X526/7)) &gt;= 15, "Power"
)</f>
        <v>Power</v>
      </c>
      <c r="AB526" s="3">
        <f t="shared" si="36"/>
        <v>0.89350180505415167</v>
      </c>
      <c r="AC526" t="str">
        <f t="shared" si="34"/>
        <v>Viewers</v>
      </c>
    </row>
    <row r="527" spans="1:29" x14ac:dyDescent="0.3">
      <c r="A527" s="6">
        <v>7538</v>
      </c>
      <c r="B527" s="7" t="s">
        <v>232</v>
      </c>
      <c r="C527" s="10">
        <v>45424</v>
      </c>
      <c r="D527" s="10">
        <v>45622</v>
      </c>
      <c r="E527" s="13">
        <v>7.99</v>
      </c>
      <c r="F527" s="6">
        <v>132</v>
      </c>
      <c r="G527" s="7" t="s">
        <v>63</v>
      </c>
      <c r="H527" s="6">
        <v>4</v>
      </c>
      <c r="I527" s="6">
        <v>5</v>
      </c>
      <c r="J527" s="7" t="b">
        <v>1</v>
      </c>
      <c r="K527" s="6">
        <v>30</v>
      </c>
      <c r="L527" s="6">
        <v>177</v>
      </c>
      <c r="M527" s="7" t="s">
        <v>27</v>
      </c>
      <c r="N527" s="7" t="s">
        <v>28</v>
      </c>
      <c r="O527" s="7" t="s">
        <v>78</v>
      </c>
      <c r="P527" s="6">
        <v>31</v>
      </c>
      <c r="Q527" s="11">
        <v>5</v>
      </c>
      <c r="R527" s="7" t="b">
        <v>0</v>
      </c>
      <c r="S527" s="7" t="s">
        <v>30</v>
      </c>
      <c r="T527" s="6">
        <v>2015</v>
      </c>
      <c r="U527" s="7" t="s">
        <v>58</v>
      </c>
      <c r="V527" s="12" t="s">
        <v>69</v>
      </c>
      <c r="W527" s="7" t="s">
        <v>40</v>
      </c>
      <c r="X527" s="6">
        <f t="shared" si="35"/>
        <v>198</v>
      </c>
      <c r="Y527" t="str" cm="1">
        <f t="array" ref="Y527">_xlfn.IFS(E527=7.99,"BASIC",E527=11.99,"STANDARD",E527=15.99,"PREMIUM")</f>
        <v>BASIC</v>
      </c>
      <c r="Z527" s="4">
        <f t="shared" si="33"/>
        <v>4.666666666666667</v>
      </c>
      <c r="AA527" s="3" t="str" cm="1">
        <f t="array" ref="AA527">_xlfn.IFS(
(F527/(X527/7)) &lt; 5, "Casual",
AND((F527/(X527/7)) &gt;= 5, (F527/(X527/7)) &lt; 15), "Regular",
(F527/(X527/7)) &gt;= 15, "Power"
)</f>
        <v>Casual</v>
      </c>
      <c r="AB527" s="3">
        <f t="shared" si="36"/>
        <v>0.6376811594202898</v>
      </c>
      <c r="AC527" t="str">
        <f t="shared" si="34"/>
        <v>Viewers</v>
      </c>
    </row>
    <row r="528" spans="1:29" x14ac:dyDescent="0.3">
      <c r="A528" s="6">
        <v>1035</v>
      </c>
      <c r="B528" s="7" t="s">
        <v>201</v>
      </c>
      <c r="C528" s="10">
        <v>45338</v>
      </c>
      <c r="D528" s="10">
        <v>45618</v>
      </c>
      <c r="E528" s="13">
        <v>11.99</v>
      </c>
      <c r="F528" s="6">
        <v>395</v>
      </c>
      <c r="G528" s="7" t="s">
        <v>100</v>
      </c>
      <c r="H528" s="6">
        <v>2</v>
      </c>
      <c r="I528" s="6">
        <v>4</v>
      </c>
      <c r="J528" s="7" t="b">
        <v>1</v>
      </c>
      <c r="K528" s="6">
        <v>139</v>
      </c>
      <c r="L528" s="6">
        <v>29</v>
      </c>
      <c r="M528" s="7" t="s">
        <v>74</v>
      </c>
      <c r="N528" s="7" t="s">
        <v>44</v>
      </c>
      <c r="O528" s="7" t="s">
        <v>57</v>
      </c>
      <c r="P528" s="6">
        <v>44</v>
      </c>
      <c r="Q528" s="11">
        <v>3.9</v>
      </c>
      <c r="R528" s="7" t="b">
        <v>1</v>
      </c>
      <c r="S528" s="7" t="s">
        <v>30</v>
      </c>
      <c r="T528" s="6">
        <v>3201</v>
      </c>
      <c r="U528" s="7" t="s">
        <v>76</v>
      </c>
      <c r="V528" s="12" t="s">
        <v>69</v>
      </c>
      <c r="W528" s="7" t="s">
        <v>60</v>
      </c>
      <c r="X528" s="6">
        <f t="shared" si="35"/>
        <v>280</v>
      </c>
      <c r="Y528" t="str" cm="1">
        <f t="array" ref="Y528">_xlfn.IFS(E528=7.99,"BASIC",E528=11.99,"STANDARD",E528=15.99,"PREMIUM")</f>
        <v>STANDARD</v>
      </c>
      <c r="Z528" s="4">
        <f t="shared" si="33"/>
        <v>9.875</v>
      </c>
      <c r="AA528" s="3" t="str" cm="1">
        <f t="array" ref="AA528">_xlfn.IFS(
(F528/(X528/7)) &lt; 5, "Casual",
AND((F528/(X528/7)) &gt;= 5, (F528/(X528/7)) &lt; 15), "Regular",
(F528/(X528/7)) &gt;= 15, "Power"
)</f>
        <v>Regular</v>
      </c>
      <c r="AB528" s="3">
        <f t="shared" si="36"/>
        <v>2.3511904761904763</v>
      </c>
      <c r="AC528" t="str">
        <f t="shared" si="34"/>
        <v>Viewers</v>
      </c>
    </row>
    <row r="529" spans="1:30" x14ac:dyDescent="0.3">
      <c r="A529" s="6">
        <v>8399</v>
      </c>
      <c r="B529" s="7" t="s">
        <v>382</v>
      </c>
      <c r="C529" s="10">
        <v>44990</v>
      </c>
      <c r="D529" s="10">
        <v>45629</v>
      </c>
      <c r="E529" s="13">
        <v>11.99</v>
      </c>
      <c r="F529" s="6">
        <v>34</v>
      </c>
      <c r="G529" s="7" t="s">
        <v>26</v>
      </c>
      <c r="H529" s="6">
        <v>1</v>
      </c>
      <c r="I529" s="6">
        <v>2</v>
      </c>
      <c r="J529" s="7" t="b">
        <v>1</v>
      </c>
      <c r="K529" s="6">
        <v>393</v>
      </c>
      <c r="L529" s="6">
        <v>130</v>
      </c>
      <c r="M529" s="7" t="s">
        <v>49</v>
      </c>
      <c r="N529" s="7" t="s">
        <v>75</v>
      </c>
      <c r="O529" s="7" t="s">
        <v>45</v>
      </c>
      <c r="P529" s="6">
        <v>10</v>
      </c>
      <c r="Q529" s="11">
        <v>3.9</v>
      </c>
      <c r="R529" s="7" t="b">
        <v>0</v>
      </c>
      <c r="S529" s="7" t="s">
        <v>30</v>
      </c>
      <c r="T529" s="6">
        <v>3426</v>
      </c>
      <c r="U529" s="7" t="s">
        <v>65</v>
      </c>
      <c r="V529" s="12" t="s">
        <v>32</v>
      </c>
      <c r="W529" s="7" t="s">
        <v>33</v>
      </c>
      <c r="X529" s="6">
        <f t="shared" si="35"/>
        <v>639</v>
      </c>
      <c r="Y529" t="str" cm="1">
        <f t="array" ref="Y529">_xlfn.IFS(E529=7.99,"BASIC",E529=11.99,"STANDARD",E529=15.99,"PREMIUM")</f>
        <v>STANDARD</v>
      </c>
      <c r="Z529" s="4">
        <f t="shared" si="33"/>
        <v>0.37245696400625977</v>
      </c>
      <c r="AA529" s="3" t="str" cm="1">
        <f t="array" ref="AA529">_xlfn.IFS(
(F529/(X529/7)) &lt; 5, "Casual",
AND((F529/(X529/7)) &gt;= 5, (F529/(X529/7)) &lt; 15), "Regular",
(F529/(X529/7)) &gt;= 15, "Power"
)</f>
        <v>Casual</v>
      </c>
      <c r="AB529" s="3">
        <f t="shared" si="36"/>
        <v>6.5009560229445512E-2</v>
      </c>
      <c r="AC529" t="str">
        <f t="shared" si="34"/>
        <v xml:space="preserve"> Browsers</v>
      </c>
    </row>
    <row r="530" spans="1:30" x14ac:dyDescent="0.3">
      <c r="A530" s="6">
        <v>1912</v>
      </c>
      <c r="B530" s="7" t="s">
        <v>281</v>
      </c>
      <c r="C530" s="10">
        <v>45135</v>
      </c>
      <c r="D530" s="10">
        <v>45640</v>
      </c>
      <c r="E530" s="13">
        <v>11.99</v>
      </c>
      <c r="F530" s="6">
        <v>348</v>
      </c>
      <c r="G530" s="7" t="s">
        <v>100</v>
      </c>
      <c r="H530" s="6">
        <v>1</v>
      </c>
      <c r="I530" s="6">
        <v>4</v>
      </c>
      <c r="J530" s="7" t="b">
        <v>0</v>
      </c>
      <c r="K530" s="6">
        <v>792</v>
      </c>
      <c r="L530" s="6">
        <v>67</v>
      </c>
      <c r="M530" s="7" t="s">
        <v>68</v>
      </c>
      <c r="N530" s="7" t="s">
        <v>75</v>
      </c>
      <c r="O530" s="7" t="s">
        <v>78</v>
      </c>
      <c r="P530" s="6">
        <v>60</v>
      </c>
      <c r="Q530" s="11">
        <v>4.0999999999999996</v>
      </c>
      <c r="R530" s="7" t="b">
        <v>0</v>
      </c>
      <c r="S530" s="7" t="s">
        <v>30</v>
      </c>
      <c r="T530" s="6">
        <v>3366</v>
      </c>
      <c r="U530" s="7" t="s">
        <v>38</v>
      </c>
      <c r="V530" s="12" t="s">
        <v>32</v>
      </c>
      <c r="W530" s="7" t="s">
        <v>33</v>
      </c>
      <c r="X530" s="6">
        <f t="shared" si="35"/>
        <v>505</v>
      </c>
      <c r="Y530" t="str" cm="1">
        <f t="array" ref="Y530">_xlfn.IFS(E530=7.99,"BASIC",E530=11.99,"STANDARD",E530=15.99,"PREMIUM")</f>
        <v>STANDARD</v>
      </c>
      <c r="Z530" s="4">
        <f t="shared" si="33"/>
        <v>4.8237623762376236</v>
      </c>
      <c r="AA530" s="3" t="str" cm="1">
        <f t="array" ref="AA530">_xlfn.IFS(
(F530/(X530/7)) &lt; 5, "Casual",
AND((F530/(X530/7)) &gt;= 5, (F530/(X530/7)) &lt; 15), "Regular",
(F530/(X530/7)) &gt;= 15, "Power"
)</f>
        <v>Casual</v>
      </c>
      <c r="AB530" s="3">
        <f t="shared" si="36"/>
        <v>0.4051222351571595</v>
      </c>
      <c r="AC530" t="str">
        <f t="shared" si="34"/>
        <v>Viewers</v>
      </c>
    </row>
    <row r="531" spans="1:30" x14ac:dyDescent="0.3">
      <c r="A531" s="6">
        <v>6604</v>
      </c>
      <c r="B531" s="7" t="s">
        <v>148</v>
      </c>
      <c r="C531" s="10">
        <v>45459</v>
      </c>
      <c r="D531" s="10">
        <v>45618</v>
      </c>
      <c r="E531" s="13">
        <v>15.99</v>
      </c>
      <c r="F531" s="6">
        <v>247</v>
      </c>
      <c r="G531" s="7" t="s">
        <v>100</v>
      </c>
      <c r="H531" s="6">
        <v>5</v>
      </c>
      <c r="I531" s="6">
        <v>4</v>
      </c>
      <c r="J531" s="7" t="b">
        <v>0</v>
      </c>
      <c r="K531" s="6">
        <v>186</v>
      </c>
      <c r="L531" s="6">
        <v>158</v>
      </c>
      <c r="M531" s="7" t="s">
        <v>49</v>
      </c>
      <c r="N531" s="7" t="s">
        <v>75</v>
      </c>
      <c r="O531" s="7" t="s">
        <v>57</v>
      </c>
      <c r="P531" s="6">
        <v>19</v>
      </c>
      <c r="Q531" s="11">
        <v>3.8</v>
      </c>
      <c r="R531" s="7" t="b">
        <v>0</v>
      </c>
      <c r="S531" s="7" t="s">
        <v>30</v>
      </c>
      <c r="T531" s="6">
        <v>125</v>
      </c>
      <c r="U531" s="7" t="s">
        <v>76</v>
      </c>
      <c r="V531" s="12" t="s">
        <v>69</v>
      </c>
      <c r="W531" s="7" t="s">
        <v>40</v>
      </c>
      <c r="X531" s="6">
        <f t="shared" si="35"/>
        <v>159</v>
      </c>
      <c r="Y531" t="str" cm="1">
        <f t="array" ref="Y531">_xlfn.IFS(E531=7.99,"BASIC",E531=11.99,"STANDARD",E531=15.99,"PREMIUM")</f>
        <v>PREMIUM</v>
      </c>
      <c r="Z531" s="4">
        <f t="shared" si="33"/>
        <v>10.874213836477987</v>
      </c>
      <c r="AA531" s="3" t="str" cm="1">
        <f t="array" ref="AA531">_xlfn.IFS(
(F531/(X531/7)) &lt; 5, "Casual",
AND((F531/(X531/7)) &gt;= 5, (F531/(X531/7)) &lt; 15), "Regular",
(F531/(X531/7)) &gt;= 15, "Power"
)</f>
        <v>Regular</v>
      </c>
      <c r="AB531" s="3">
        <f t="shared" si="36"/>
        <v>0.71802325581395354</v>
      </c>
      <c r="AC531" t="str">
        <f t="shared" si="34"/>
        <v>Viewers</v>
      </c>
    </row>
    <row r="532" spans="1:30" x14ac:dyDescent="0.3">
      <c r="A532" s="6">
        <v>8952</v>
      </c>
      <c r="B532" s="7" t="s">
        <v>183</v>
      </c>
      <c r="C532" s="10">
        <v>44965</v>
      </c>
      <c r="D532" s="10">
        <v>45618</v>
      </c>
      <c r="E532" s="13">
        <v>11.99</v>
      </c>
      <c r="F532" s="6">
        <v>216</v>
      </c>
      <c r="G532" s="7" t="s">
        <v>100</v>
      </c>
      <c r="H532" s="6">
        <v>1</v>
      </c>
      <c r="I532" s="6">
        <v>1</v>
      </c>
      <c r="J532" s="7" t="b">
        <v>0</v>
      </c>
      <c r="K532" s="6">
        <v>872</v>
      </c>
      <c r="L532" s="6">
        <v>150</v>
      </c>
      <c r="M532" s="7" t="s">
        <v>92</v>
      </c>
      <c r="N532" s="7" t="s">
        <v>56</v>
      </c>
      <c r="O532" s="7" t="s">
        <v>64</v>
      </c>
      <c r="P532" s="6">
        <v>10</v>
      </c>
      <c r="Q532" s="11">
        <v>3.8</v>
      </c>
      <c r="R532" s="7" t="b">
        <v>1</v>
      </c>
      <c r="S532" s="7" t="s">
        <v>30</v>
      </c>
      <c r="T532" s="6">
        <v>4037</v>
      </c>
      <c r="U532" s="7" t="s">
        <v>76</v>
      </c>
      <c r="V532" s="12" t="s">
        <v>59</v>
      </c>
      <c r="W532" s="7" t="s">
        <v>33</v>
      </c>
      <c r="X532" s="6">
        <f t="shared" si="35"/>
        <v>653</v>
      </c>
      <c r="Y532" t="str" cm="1">
        <f t="array" ref="Y532">_xlfn.IFS(E532=7.99,"BASIC",E532=11.99,"STANDARD",E532=15.99,"PREMIUM")</f>
        <v>STANDARD</v>
      </c>
      <c r="Z532" s="4">
        <f t="shared" si="33"/>
        <v>2.3154670750382849</v>
      </c>
      <c r="AA532" s="3" t="str" cm="1">
        <f t="array" ref="AA532">_xlfn.IFS(
(F532/(X532/7)) &lt; 5, "Casual",
AND((F532/(X532/7)) &gt;= 5, (F532/(X532/7)) &lt; 15), "Regular",
(F532/(X532/7)) &gt;= 15, "Power"
)</f>
        <v>Casual</v>
      </c>
      <c r="AB532" s="3">
        <f t="shared" si="36"/>
        <v>0.21135029354207435</v>
      </c>
      <c r="AC532" t="str">
        <f t="shared" si="34"/>
        <v>Viewers</v>
      </c>
    </row>
    <row r="533" spans="1:30" x14ac:dyDescent="0.3">
      <c r="A533" s="6">
        <v>2549</v>
      </c>
      <c r="B533" s="7" t="s">
        <v>152</v>
      </c>
      <c r="C533" s="10">
        <v>45520</v>
      </c>
      <c r="D533" s="10">
        <v>45622</v>
      </c>
      <c r="E533" s="13">
        <v>11.99</v>
      </c>
      <c r="F533" s="6">
        <v>299</v>
      </c>
      <c r="G533" s="7" t="s">
        <v>73</v>
      </c>
      <c r="H533" s="6">
        <v>4</v>
      </c>
      <c r="I533" s="6">
        <v>6</v>
      </c>
      <c r="J533" s="7" t="b">
        <v>0</v>
      </c>
      <c r="K533" s="6">
        <v>77</v>
      </c>
      <c r="L533" s="6">
        <v>191</v>
      </c>
      <c r="M533" s="7" t="s">
        <v>68</v>
      </c>
      <c r="N533" s="7" t="s">
        <v>75</v>
      </c>
      <c r="O533" s="7" t="s">
        <v>64</v>
      </c>
      <c r="P533" s="6">
        <v>85</v>
      </c>
      <c r="Q533" s="11">
        <v>3.4</v>
      </c>
      <c r="R533" s="7" t="b">
        <v>1</v>
      </c>
      <c r="S533" s="7" t="s">
        <v>30</v>
      </c>
      <c r="T533" s="6">
        <v>4348</v>
      </c>
      <c r="U533" s="7" t="s">
        <v>38</v>
      </c>
      <c r="V533" s="12" t="s">
        <v>69</v>
      </c>
      <c r="W533" s="7" t="s">
        <v>93</v>
      </c>
      <c r="X533" s="6">
        <f t="shared" si="35"/>
        <v>102</v>
      </c>
      <c r="Y533" t="str" cm="1">
        <f t="array" ref="Y533">_xlfn.IFS(E533=7.99,"BASIC",E533=11.99,"STANDARD",E533=15.99,"PREMIUM")</f>
        <v>STANDARD</v>
      </c>
      <c r="Z533" s="4">
        <f t="shared" si="33"/>
        <v>20.519607843137255</v>
      </c>
      <c r="AA533" s="3" t="str" cm="1">
        <f t="array" ref="AA533">_xlfn.IFS(
(F533/(X533/7)) &lt; 5, "Casual",
AND((F533/(X533/7)) &gt;= 5, (F533/(X533/7)) &lt; 15), "Regular",
(F533/(X533/7)) &gt;= 15, "Power"
)</f>
        <v>Power</v>
      </c>
      <c r="AB533" s="3">
        <f t="shared" si="36"/>
        <v>1.1156716417910448</v>
      </c>
      <c r="AC533" t="str">
        <f t="shared" si="34"/>
        <v>Viewers</v>
      </c>
    </row>
    <row r="534" spans="1:30" x14ac:dyDescent="0.3">
      <c r="A534" s="6">
        <v>8954</v>
      </c>
      <c r="B534" s="7" t="s">
        <v>238</v>
      </c>
      <c r="C534" s="10">
        <v>45243</v>
      </c>
      <c r="D534" s="10">
        <v>45623</v>
      </c>
      <c r="E534" s="13">
        <v>15.99</v>
      </c>
      <c r="F534" s="6">
        <v>315</v>
      </c>
      <c r="G534" s="7" t="s">
        <v>73</v>
      </c>
      <c r="H534" s="6">
        <v>2</v>
      </c>
      <c r="I534" s="6">
        <v>1</v>
      </c>
      <c r="J534" s="7" t="b">
        <v>1</v>
      </c>
      <c r="K534" s="6">
        <v>829</v>
      </c>
      <c r="L534" s="6">
        <v>178</v>
      </c>
      <c r="M534" s="7" t="s">
        <v>27</v>
      </c>
      <c r="N534" s="7" t="s">
        <v>44</v>
      </c>
      <c r="O534" s="7" t="s">
        <v>57</v>
      </c>
      <c r="P534" s="6">
        <v>53</v>
      </c>
      <c r="Q534" s="11">
        <v>3.1</v>
      </c>
      <c r="R534" s="7" t="b">
        <v>0</v>
      </c>
      <c r="S534" s="7" t="s">
        <v>30</v>
      </c>
      <c r="T534" s="6">
        <v>546</v>
      </c>
      <c r="U534" s="7" t="s">
        <v>31</v>
      </c>
      <c r="V534" s="12" t="s">
        <v>32</v>
      </c>
      <c r="W534" s="7" t="s">
        <v>40</v>
      </c>
      <c r="X534" s="6">
        <f t="shared" si="35"/>
        <v>380</v>
      </c>
      <c r="Y534" t="str" cm="1">
        <f t="array" ref="Y534">_xlfn.IFS(E534=7.99,"BASIC",E534=11.99,"STANDARD",E534=15.99,"PREMIUM")</f>
        <v>PREMIUM</v>
      </c>
      <c r="Z534" s="4">
        <f t="shared" si="33"/>
        <v>5.8026315789473681</v>
      </c>
      <c r="AA534" s="3" t="str" cm="1">
        <f t="array" ref="AA534">_xlfn.IFS(
(F534/(X534/7)) &lt; 5, "Casual",
AND((F534/(X534/7)) &gt;= 5, (F534/(X534/7)) &lt; 15), "Regular",
(F534/(X534/7)) &gt;= 15, "Power"
)</f>
        <v>Regular</v>
      </c>
      <c r="AB534" s="3">
        <f t="shared" si="36"/>
        <v>0.3128103277060576</v>
      </c>
      <c r="AC534" t="str">
        <f t="shared" si="34"/>
        <v>Viewers</v>
      </c>
    </row>
    <row r="535" spans="1:30" x14ac:dyDescent="0.3">
      <c r="A535" s="6">
        <v>1922</v>
      </c>
      <c r="B535" s="7" t="s">
        <v>104</v>
      </c>
      <c r="C535" s="10">
        <v>45627</v>
      </c>
      <c r="D535" s="10">
        <v>45629</v>
      </c>
      <c r="E535" s="13">
        <v>11.99</v>
      </c>
      <c r="F535" s="6">
        <v>35</v>
      </c>
      <c r="G535" s="7" t="s">
        <v>51</v>
      </c>
      <c r="H535" s="6">
        <v>2</v>
      </c>
      <c r="I535" s="6">
        <v>4</v>
      </c>
      <c r="J535" s="7" t="b">
        <v>0</v>
      </c>
      <c r="K535" s="6">
        <v>821</v>
      </c>
      <c r="L535" s="6">
        <v>7</v>
      </c>
      <c r="M535" s="7" t="s">
        <v>55</v>
      </c>
      <c r="N535" s="7" t="s">
        <v>44</v>
      </c>
      <c r="O535" s="7" t="s">
        <v>45</v>
      </c>
      <c r="P535" s="6">
        <v>3</v>
      </c>
      <c r="Q535" s="11">
        <v>3.3</v>
      </c>
      <c r="R535" s="7" t="b">
        <v>0</v>
      </c>
      <c r="S535" s="7" t="s">
        <v>30</v>
      </c>
      <c r="T535" s="6">
        <v>2785</v>
      </c>
      <c r="U535" s="7" t="s">
        <v>58</v>
      </c>
      <c r="V535" s="12" t="s">
        <v>32</v>
      </c>
      <c r="W535" s="7" t="s">
        <v>93</v>
      </c>
      <c r="X535" s="6">
        <f t="shared" si="35"/>
        <v>2</v>
      </c>
      <c r="Y535" t="str" cm="1">
        <f t="array" ref="Y535">_xlfn.IFS(E535=7.99,"BASIC",E535=11.99,"STANDARD",E535=15.99,"PREMIUM")</f>
        <v>STANDARD</v>
      </c>
      <c r="Z535" s="4">
        <f t="shared" si="33"/>
        <v>122.5</v>
      </c>
      <c r="AA535" s="3" t="str" cm="1">
        <f t="array" ref="AA535">_xlfn.IFS(
(F535/(X535/7)) &lt; 5, "Casual",
AND((F535/(X535/7)) &gt;= 5, (F535/(X535/7)) &lt; 15), "Regular",
(F535/(X535/7)) &gt;= 15, "Power"
)</f>
        <v>Power</v>
      </c>
      <c r="AB535" s="3">
        <f t="shared" si="36"/>
        <v>4.2270531400966184E-2</v>
      </c>
      <c r="AC535" t="str">
        <f t="shared" si="34"/>
        <v xml:space="preserve"> Browsers</v>
      </c>
    </row>
    <row r="536" spans="1:30" x14ac:dyDescent="0.3">
      <c r="A536" s="6">
        <v>9861</v>
      </c>
      <c r="B536" s="7" t="s">
        <v>140</v>
      </c>
      <c r="C536" s="10">
        <v>45267</v>
      </c>
      <c r="D536" s="10">
        <v>45642</v>
      </c>
      <c r="E536" s="13">
        <v>15.99</v>
      </c>
      <c r="F536" s="6">
        <v>359</v>
      </c>
      <c r="G536" s="7" t="s">
        <v>73</v>
      </c>
      <c r="H536" s="6">
        <v>3</v>
      </c>
      <c r="I536" s="6">
        <v>1</v>
      </c>
      <c r="J536" s="7" t="b">
        <v>0</v>
      </c>
      <c r="K536" s="6">
        <v>265</v>
      </c>
      <c r="L536" s="6">
        <v>34</v>
      </c>
      <c r="M536" s="7" t="s">
        <v>68</v>
      </c>
      <c r="N536" s="7" t="s">
        <v>56</v>
      </c>
      <c r="O536" s="7" t="s">
        <v>64</v>
      </c>
      <c r="P536" s="6">
        <v>64</v>
      </c>
      <c r="Q536" s="11">
        <v>4.9000000000000004</v>
      </c>
      <c r="R536" s="7" t="b">
        <v>1</v>
      </c>
      <c r="S536" s="7" t="s">
        <v>30</v>
      </c>
      <c r="T536" s="6">
        <v>3308</v>
      </c>
      <c r="U536" s="7" t="s">
        <v>31</v>
      </c>
      <c r="V536" s="12" t="s">
        <v>39</v>
      </c>
      <c r="W536" s="7" t="s">
        <v>60</v>
      </c>
      <c r="X536" s="6">
        <f t="shared" si="35"/>
        <v>375</v>
      </c>
      <c r="Y536" t="str" cm="1">
        <f t="array" ref="Y536">_xlfn.IFS(E536=7.99,"BASIC",E536=11.99,"STANDARD",E536=15.99,"PREMIUM")</f>
        <v>PREMIUM</v>
      </c>
      <c r="Z536" s="4">
        <f t="shared" si="33"/>
        <v>6.7013333333333334</v>
      </c>
      <c r="AA536" s="3" t="str" cm="1">
        <f t="array" ref="AA536">_xlfn.IFS(
(F536/(X536/7)) &lt; 5, "Casual",
AND((F536/(X536/7)) &gt;= 5, (F536/(X536/7)) &lt; 15), "Regular",
(F536/(X536/7)) &gt;= 15, "Power"
)</f>
        <v>Regular</v>
      </c>
      <c r="AB536" s="3">
        <f t="shared" si="36"/>
        <v>1.2006688963210703</v>
      </c>
      <c r="AC536" t="str">
        <f t="shared" si="34"/>
        <v>Viewers</v>
      </c>
    </row>
    <row r="537" spans="1:30" x14ac:dyDescent="0.3">
      <c r="A537" s="6">
        <v>4383</v>
      </c>
      <c r="B537" s="7" t="s">
        <v>553</v>
      </c>
      <c r="C537" s="10">
        <v>45543</v>
      </c>
      <c r="D537" s="10">
        <v>45626</v>
      </c>
      <c r="E537" s="13">
        <v>15.99</v>
      </c>
      <c r="F537" s="6">
        <v>361</v>
      </c>
      <c r="G537" s="7" t="s">
        <v>26</v>
      </c>
      <c r="H537" s="6">
        <v>4</v>
      </c>
      <c r="I537" s="6">
        <v>5</v>
      </c>
      <c r="J537" s="7" t="b">
        <v>1</v>
      </c>
      <c r="K537" s="6">
        <v>416</v>
      </c>
      <c r="L537" s="6">
        <v>143</v>
      </c>
      <c r="M537" s="7" t="s">
        <v>68</v>
      </c>
      <c r="N537" s="7" t="s">
        <v>56</v>
      </c>
      <c r="O537" s="7" t="s">
        <v>78</v>
      </c>
      <c r="P537" s="6">
        <v>99</v>
      </c>
      <c r="Q537" s="11">
        <v>3.7</v>
      </c>
      <c r="R537" s="7" t="b">
        <v>0</v>
      </c>
      <c r="S537" s="7" t="s">
        <v>30</v>
      </c>
      <c r="T537" s="6">
        <v>527</v>
      </c>
      <c r="U537" s="7" t="s">
        <v>58</v>
      </c>
      <c r="V537" s="12" t="s">
        <v>59</v>
      </c>
      <c r="W537" s="7" t="s">
        <v>60</v>
      </c>
      <c r="X537" s="6">
        <f t="shared" si="35"/>
        <v>83</v>
      </c>
      <c r="Y537" t="str" cm="1">
        <f t="array" ref="Y537">_xlfn.IFS(E537=7.99,"BASIC",E537=11.99,"STANDARD",E537=15.99,"PREMIUM")</f>
        <v>PREMIUM</v>
      </c>
      <c r="Z537" s="4">
        <f t="shared" si="33"/>
        <v>30.445783132530121</v>
      </c>
      <c r="AA537" s="3" t="str" cm="1">
        <f t="array" ref="AA537">_xlfn.IFS(
(F537/(X537/7)) &lt; 5, "Casual",
AND((F537/(X537/7)) &gt;= 5, (F537/(X537/7)) &lt; 15), "Regular",
(F537/(X537/7)) &gt;= 15, "Power"
)</f>
        <v>Power</v>
      </c>
      <c r="AB537" s="3">
        <f t="shared" si="36"/>
        <v>0.64579606440071557</v>
      </c>
      <c r="AC537" t="str">
        <f t="shared" si="34"/>
        <v>Viewers</v>
      </c>
    </row>
    <row r="538" spans="1:30" x14ac:dyDescent="0.3">
      <c r="A538" s="6">
        <v>4328</v>
      </c>
      <c r="B538" s="7" t="s">
        <v>120</v>
      </c>
      <c r="C538" s="10">
        <v>45064</v>
      </c>
      <c r="D538" s="10">
        <v>45620</v>
      </c>
      <c r="E538" s="13">
        <v>11.99</v>
      </c>
      <c r="F538" s="6">
        <v>273</v>
      </c>
      <c r="G538" s="7" t="s">
        <v>26</v>
      </c>
      <c r="H538" s="6">
        <v>3</v>
      </c>
      <c r="I538" s="6">
        <v>4</v>
      </c>
      <c r="J538" s="7" t="b">
        <v>1</v>
      </c>
      <c r="K538" s="6">
        <v>253</v>
      </c>
      <c r="L538" s="6">
        <v>70</v>
      </c>
      <c r="M538" s="7" t="s">
        <v>74</v>
      </c>
      <c r="N538" s="7" t="s">
        <v>28</v>
      </c>
      <c r="O538" s="7" t="s">
        <v>64</v>
      </c>
      <c r="P538" s="6">
        <v>42</v>
      </c>
      <c r="Q538" s="11">
        <v>4.9000000000000004</v>
      </c>
      <c r="R538" s="7" t="b">
        <v>0</v>
      </c>
      <c r="S538" s="7" t="s">
        <v>30</v>
      </c>
      <c r="T538" s="6">
        <v>837</v>
      </c>
      <c r="U538" s="7" t="s">
        <v>31</v>
      </c>
      <c r="V538" s="12" t="s">
        <v>39</v>
      </c>
      <c r="W538" s="7" t="s">
        <v>40</v>
      </c>
      <c r="X538" s="6">
        <f t="shared" si="35"/>
        <v>556</v>
      </c>
      <c r="Y538" t="str" cm="1">
        <f t="array" ref="Y538">_xlfn.IFS(E538=7.99,"BASIC",E538=11.99,"STANDARD",E538=15.99,"PREMIUM")</f>
        <v>STANDARD</v>
      </c>
      <c r="Z538" s="4">
        <f t="shared" si="33"/>
        <v>3.4370503597122299</v>
      </c>
      <c r="AA538" s="3" t="str" cm="1">
        <f t="array" ref="AA538">_xlfn.IFS(
(F538/(X538/7)) &lt; 5, "Casual",
AND((F538/(X538/7)) &gt;= 5, (F538/(X538/7)) &lt; 15), "Regular",
(F538/(X538/7)) &gt;= 15, "Power"
)</f>
        <v>Casual</v>
      </c>
      <c r="AB538" s="3">
        <f t="shared" si="36"/>
        <v>0.84520123839009287</v>
      </c>
      <c r="AC538" t="str">
        <f t="shared" si="34"/>
        <v>Viewers</v>
      </c>
    </row>
    <row r="539" spans="1:30" x14ac:dyDescent="0.3">
      <c r="A539" s="6">
        <v>4622</v>
      </c>
      <c r="B539" s="7" t="s">
        <v>191</v>
      </c>
      <c r="C539" s="10">
        <v>45616</v>
      </c>
      <c r="D539" s="10">
        <v>45641</v>
      </c>
      <c r="E539" s="13">
        <v>7.99</v>
      </c>
      <c r="F539" s="6">
        <v>47</v>
      </c>
      <c r="G539" s="7" t="s">
        <v>26</v>
      </c>
      <c r="H539" s="6">
        <v>2</v>
      </c>
      <c r="I539" s="6">
        <v>4</v>
      </c>
      <c r="J539" s="7" t="b">
        <v>1</v>
      </c>
      <c r="K539" s="6">
        <v>770</v>
      </c>
      <c r="L539" s="6">
        <v>2</v>
      </c>
      <c r="M539" s="7" t="s">
        <v>68</v>
      </c>
      <c r="N539" s="7" t="s">
        <v>56</v>
      </c>
      <c r="O539" s="7" t="s">
        <v>64</v>
      </c>
      <c r="P539" s="6">
        <v>46</v>
      </c>
      <c r="Q539" s="11">
        <v>4.7</v>
      </c>
      <c r="R539" s="7" t="b">
        <v>1</v>
      </c>
      <c r="S539" s="7" t="s">
        <v>30</v>
      </c>
      <c r="T539" s="6">
        <v>371</v>
      </c>
      <c r="U539" s="7" t="s">
        <v>38</v>
      </c>
      <c r="V539" s="12" t="s">
        <v>69</v>
      </c>
      <c r="W539" s="7" t="s">
        <v>93</v>
      </c>
      <c r="X539" s="6">
        <f t="shared" si="35"/>
        <v>25</v>
      </c>
      <c r="Y539" t="str" cm="1">
        <f t="array" ref="Y539">_xlfn.IFS(E539=7.99,"BASIC",E539=11.99,"STANDARD",E539=15.99,"PREMIUM")</f>
        <v>BASIC</v>
      </c>
      <c r="Z539" s="4">
        <f t="shared" si="33"/>
        <v>13.16</v>
      </c>
      <c r="AA539" s="3" t="str" cm="1">
        <f t="array" ref="AA539">_xlfn.IFS(
(F539/(X539/7)) &lt; 5, "Casual",
AND((F539/(X539/7)) &gt;= 5, (F539/(X539/7)) &lt; 15), "Regular",
(F539/(X539/7)) &gt;= 15, "Power"
)</f>
        <v>Regular</v>
      </c>
      <c r="AB539" s="3">
        <f t="shared" si="36"/>
        <v>6.0880829015544043E-2</v>
      </c>
      <c r="AC539" t="str">
        <f t="shared" si="34"/>
        <v xml:space="preserve"> Browsers</v>
      </c>
    </row>
    <row r="540" spans="1:30" x14ac:dyDescent="0.3">
      <c r="A540" s="6">
        <v>7828</v>
      </c>
      <c r="B540" s="7" t="s">
        <v>555</v>
      </c>
      <c r="C540" s="10">
        <v>45024</v>
      </c>
      <c r="D540" s="10">
        <v>45628</v>
      </c>
      <c r="E540" s="13">
        <v>7.99</v>
      </c>
      <c r="F540" s="6">
        <v>477</v>
      </c>
      <c r="G540" s="7" t="s">
        <v>63</v>
      </c>
      <c r="H540" s="6">
        <v>5</v>
      </c>
      <c r="I540" s="6">
        <v>5</v>
      </c>
      <c r="J540" s="7" t="b">
        <v>0</v>
      </c>
      <c r="K540" s="6">
        <v>969</v>
      </c>
      <c r="L540" s="6">
        <v>12</v>
      </c>
      <c r="M540" s="7" t="s">
        <v>92</v>
      </c>
      <c r="N540" s="7" t="s">
        <v>44</v>
      </c>
      <c r="O540" s="7" t="s">
        <v>64</v>
      </c>
      <c r="P540" s="6">
        <v>37</v>
      </c>
      <c r="Q540" s="11">
        <v>4.7</v>
      </c>
      <c r="R540" s="7" t="b">
        <v>0</v>
      </c>
      <c r="S540" s="7" t="s">
        <v>30</v>
      </c>
      <c r="T540" s="6">
        <v>877</v>
      </c>
      <c r="U540" s="7" t="s">
        <v>76</v>
      </c>
      <c r="V540" s="12" t="s">
        <v>39</v>
      </c>
      <c r="W540" s="7" t="s">
        <v>33</v>
      </c>
      <c r="X540" s="6">
        <f t="shared" si="35"/>
        <v>604</v>
      </c>
      <c r="Y540" t="str" cm="1">
        <f t="array" ref="Y540">_xlfn.IFS(E540=7.99,"BASIC",E540=11.99,"STANDARD",E540=15.99,"PREMIUM")</f>
        <v>BASIC</v>
      </c>
      <c r="Z540" s="4">
        <f t="shared" si="33"/>
        <v>5.5281456953642376</v>
      </c>
      <c r="AA540" s="3" t="str" cm="1">
        <f t="array" ref="AA540">_xlfn.IFS(
(F540/(X540/7)) &lt; 5, "Casual",
AND((F540/(X540/7)) &gt;= 5, (F540/(X540/7)) &lt; 15), "Regular",
(F540/(X540/7)) &gt;= 15, "Power"
)</f>
        <v>Regular</v>
      </c>
      <c r="AB540" s="3">
        <f t="shared" si="36"/>
        <v>0.48623853211009177</v>
      </c>
      <c r="AC540" t="str">
        <f t="shared" si="34"/>
        <v>Viewers</v>
      </c>
    </row>
    <row r="541" spans="1:30" x14ac:dyDescent="0.3">
      <c r="A541" s="6">
        <v>1393</v>
      </c>
      <c r="B541" s="7" t="s">
        <v>254</v>
      </c>
      <c r="C541" s="10">
        <v>44943</v>
      </c>
      <c r="D541" s="10">
        <v>45629</v>
      </c>
      <c r="E541" s="13">
        <v>7.99</v>
      </c>
      <c r="F541" s="6">
        <v>418</v>
      </c>
      <c r="G541" s="7" t="s">
        <v>26</v>
      </c>
      <c r="H541" s="6">
        <v>3</v>
      </c>
      <c r="I541" s="6">
        <v>4</v>
      </c>
      <c r="J541" s="7" t="b">
        <v>1</v>
      </c>
      <c r="K541" s="6">
        <v>701</v>
      </c>
      <c r="L541" s="6">
        <v>125</v>
      </c>
      <c r="M541" s="7" t="s">
        <v>55</v>
      </c>
      <c r="N541" s="7" t="s">
        <v>44</v>
      </c>
      <c r="O541" s="7" t="s">
        <v>29</v>
      </c>
      <c r="P541" s="6">
        <v>68</v>
      </c>
      <c r="Q541" s="11">
        <v>4.8</v>
      </c>
      <c r="R541" s="7" t="b">
        <v>1</v>
      </c>
      <c r="S541" s="7" t="s">
        <v>30</v>
      </c>
      <c r="T541" s="6">
        <v>4873</v>
      </c>
      <c r="U541" s="7" t="s">
        <v>76</v>
      </c>
      <c r="V541" s="12" t="s">
        <v>39</v>
      </c>
      <c r="W541" s="7" t="s">
        <v>40</v>
      </c>
      <c r="X541" s="6">
        <f t="shared" si="35"/>
        <v>686</v>
      </c>
      <c r="Y541" t="str" cm="1">
        <f t="array" ref="Y541">_xlfn.IFS(E541=7.99,"BASIC",E541=11.99,"STANDARD",E541=15.99,"PREMIUM")</f>
        <v>BASIC</v>
      </c>
      <c r="Z541" s="4">
        <f t="shared" si="33"/>
        <v>4.2653061224489797</v>
      </c>
      <c r="AA541" s="3" t="str" cm="1">
        <f t="array" ref="AA541">_xlfn.IFS(
(F541/(X541/7)) &lt; 5, "Casual",
AND((F541/(X541/7)) &gt;= 5, (F541/(X541/7)) &lt; 15), "Regular",
(F541/(X541/7)) &gt;= 15, "Power"
)</f>
        <v>Casual</v>
      </c>
      <c r="AB541" s="3">
        <f t="shared" si="36"/>
        <v>0.50605326876513312</v>
      </c>
      <c r="AC541" t="str">
        <f t="shared" si="34"/>
        <v>Viewers</v>
      </c>
    </row>
    <row r="542" spans="1:30" x14ac:dyDescent="0.3">
      <c r="A542" s="6">
        <v>9239</v>
      </c>
      <c r="B542" s="7" t="s">
        <v>257</v>
      </c>
      <c r="C542" s="10">
        <f>_xlfn.XLOOKUP(A542,'Data Anomalies -Pls Read It'!A:A,'Data Anomalies -Pls Read It'!D:D,1,0)</f>
        <v>45617</v>
      </c>
      <c r="D542" s="10">
        <f>_xlfn.XLOOKUP(A542,'Data Anomalies -Pls Read It'!A:A,'Data Anomalies -Pls Read It'!C:C,1,0)</f>
        <v>45621</v>
      </c>
      <c r="E542" s="13">
        <v>15.99</v>
      </c>
      <c r="F542" s="6">
        <v>274</v>
      </c>
      <c r="G542" s="7" t="s">
        <v>36</v>
      </c>
      <c r="H542" s="6">
        <v>5</v>
      </c>
      <c r="I542" s="6">
        <v>6</v>
      </c>
      <c r="J542" s="7" t="b">
        <v>0</v>
      </c>
      <c r="K542" s="6">
        <v>732</v>
      </c>
      <c r="L542" s="6">
        <v>105</v>
      </c>
      <c r="M542" s="7" t="s">
        <v>49</v>
      </c>
      <c r="N542" s="7" t="s">
        <v>28</v>
      </c>
      <c r="O542" s="7" t="s">
        <v>29</v>
      </c>
      <c r="P542" s="6">
        <v>36</v>
      </c>
      <c r="Q542" s="11">
        <v>4.0999999999999996</v>
      </c>
      <c r="R542" s="7" t="b">
        <v>1</v>
      </c>
      <c r="S542" s="7" t="s">
        <v>30</v>
      </c>
      <c r="T542" s="6">
        <v>4194</v>
      </c>
      <c r="U542" s="7" t="s">
        <v>58</v>
      </c>
      <c r="V542" s="12" t="s">
        <v>69</v>
      </c>
      <c r="W542" s="7" t="s">
        <v>40</v>
      </c>
      <c r="X542" s="6">
        <f t="shared" si="35"/>
        <v>4</v>
      </c>
      <c r="Y542" t="str" cm="1">
        <f t="array" ref="Y542">_xlfn.IFS(E542=7.99,"BASIC",E542=11.99,"STANDARD",E542=15.99,"PREMIUM")</f>
        <v>PREMIUM</v>
      </c>
      <c r="Z542" s="4">
        <f t="shared" si="33"/>
        <v>479.5</v>
      </c>
      <c r="AA542" s="3" t="str" cm="1">
        <f t="array" ref="AA542">_xlfn.IFS(
(F542/(X542/7)) &lt; 5, "Casual",
AND((F542/(X542/7)) &gt;= 5, (F542/(X542/7)) &lt; 15), "Regular",
(F542/(X542/7)) &gt;= 15, "Power"
)</f>
        <v>Power</v>
      </c>
      <c r="AB542" s="3">
        <f t="shared" si="36"/>
        <v>0.32735961768219835</v>
      </c>
      <c r="AC542" t="str">
        <f t="shared" si="34"/>
        <v>Viewers</v>
      </c>
      <c r="AD542" t="s">
        <v>779</v>
      </c>
    </row>
    <row r="543" spans="1:30" x14ac:dyDescent="0.3">
      <c r="A543" s="6">
        <v>1636</v>
      </c>
      <c r="B543" s="7" t="s">
        <v>147</v>
      </c>
      <c r="C543" s="10">
        <v>45073</v>
      </c>
      <c r="D543" s="10">
        <v>45632</v>
      </c>
      <c r="E543" s="13">
        <v>11.99</v>
      </c>
      <c r="F543" s="6">
        <v>102</v>
      </c>
      <c r="G543" s="7" t="s">
        <v>100</v>
      </c>
      <c r="H543" s="6">
        <v>5</v>
      </c>
      <c r="I543" s="6">
        <v>2</v>
      </c>
      <c r="J543" s="7" t="b">
        <v>0</v>
      </c>
      <c r="K543" s="6">
        <v>989</v>
      </c>
      <c r="L543" s="6">
        <v>44</v>
      </c>
      <c r="M543" s="7" t="s">
        <v>68</v>
      </c>
      <c r="N543" s="7" t="s">
        <v>75</v>
      </c>
      <c r="O543" s="7" t="s">
        <v>64</v>
      </c>
      <c r="P543" s="6">
        <v>63</v>
      </c>
      <c r="Q543" s="11">
        <v>4.8</v>
      </c>
      <c r="R543" s="7" t="b">
        <v>0</v>
      </c>
      <c r="S543" s="7" t="s">
        <v>30</v>
      </c>
      <c r="T543" s="6">
        <v>3118</v>
      </c>
      <c r="U543" s="7" t="s">
        <v>38</v>
      </c>
      <c r="V543" s="12" t="s">
        <v>32</v>
      </c>
      <c r="W543" s="7" t="s">
        <v>33</v>
      </c>
      <c r="X543" s="6">
        <f t="shared" si="35"/>
        <v>559</v>
      </c>
      <c r="Y543" t="str" cm="1">
        <f t="array" ref="Y543">_xlfn.IFS(E543=7.99,"BASIC",E543=11.99,"STANDARD",E543=15.99,"PREMIUM")</f>
        <v>STANDARD</v>
      </c>
      <c r="Z543" s="4">
        <f t="shared" si="33"/>
        <v>1.2772808586762074</v>
      </c>
      <c r="AA543" s="3" t="str" cm="1">
        <f t="array" ref="AA543">_xlfn.IFS(
(F543/(X543/7)) &lt; 5, "Casual",
AND((F543/(X543/7)) &gt;= 5, (F543/(X543/7)) &lt; 15), "Regular",
(F543/(X543/7)) &gt;= 15, "Power"
)</f>
        <v>Casual</v>
      </c>
      <c r="AB543" s="3">
        <f t="shared" si="36"/>
        <v>9.8741529525653432E-2</v>
      </c>
      <c r="AC543" t="str">
        <f t="shared" si="34"/>
        <v xml:space="preserve"> Browsers</v>
      </c>
    </row>
    <row r="544" spans="1:30" x14ac:dyDescent="0.3">
      <c r="A544" s="6">
        <v>4401</v>
      </c>
      <c r="B544" s="7" t="s">
        <v>558</v>
      </c>
      <c r="C544" s="10">
        <v>45396</v>
      </c>
      <c r="D544" s="10">
        <v>45641</v>
      </c>
      <c r="E544" s="13">
        <v>15.99</v>
      </c>
      <c r="F544" s="6">
        <v>164</v>
      </c>
      <c r="G544" s="7" t="s">
        <v>51</v>
      </c>
      <c r="H544" s="6">
        <v>3</v>
      </c>
      <c r="I544" s="6">
        <v>5</v>
      </c>
      <c r="J544" s="7" t="b">
        <v>1</v>
      </c>
      <c r="K544" s="6">
        <v>89</v>
      </c>
      <c r="L544" s="6">
        <v>32</v>
      </c>
      <c r="M544" s="7" t="s">
        <v>74</v>
      </c>
      <c r="N544" s="7" t="s">
        <v>75</v>
      </c>
      <c r="O544" s="7" t="s">
        <v>37</v>
      </c>
      <c r="P544" s="6">
        <v>83</v>
      </c>
      <c r="Q544" s="11">
        <v>3</v>
      </c>
      <c r="R544" s="7" t="b">
        <v>1</v>
      </c>
      <c r="S544" s="7" t="s">
        <v>30</v>
      </c>
      <c r="T544" s="6">
        <v>2088</v>
      </c>
      <c r="U544" s="7" t="s">
        <v>76</v>
      </c>
      <c r="V544" s="12" t="s">
        <v>79</v>
      </c>
      <c r="W544" s="7" t="s">
        <v>40</v>
      </c>
      <c r="X544" s="6">
        <f t="shared" si="35"/>
        <v>245</v>
      </c>
      <c r="Y544" t="str" cm="1">
        <f t="array" ref="Y544">_xlfn.IFS(E544=7.99,"BASIC",E544=11.99,"STANDARD",E544=15.99,"PREMIUM")</f>
        <v>PREMIUM</v>
      </c>
      <c r="Z544" s="4">
        <f t="shared" si="33"/>
        <v>4.6857142857142859</v>
      </c>
      <c r="AA544" s="3" t="str" cm="1">
        <f t="array" ref="AA544">_xlfn.IFS(
(F544/(X544/7)) &lt; 5, "Casual",
AND((F544/(X544/7)) &gt;= 5, (F544/(X544/7)) &lt; 15), "Regular",
(F544/(X544/7)) &gt;= 15, "Power"
)</f>
        <v>Casual</v>
      </c>
      <c r="AB544" s="3">
        <f t="shared" si="36"/>
        <v>1.3553719008264462</v>
      </c>
      <c r="AC544" t="str">
        <f t="shared" si="34"/>
        <v>Viewers</v>
      </c>
    </row>
    <row r="545" spans="1:30" x14ac:dyDescent="0.3">
      <c r="A545" s="6">
        <v>7135</v>
      </c>
      <c r="B545" s="7" t="s">
        <v>560</v>
      </c>
      <c r="C545" s="10">
        <v>45272</v>
      </c>
      <c r="D545" s="10">
        <v>45643</v>
      </c>
      <c r="E545" s="13">
        <v>15.99</v>
      </c>
      <c r="F545" s="6">
        <v>478</v>
      </c>
      <c r="G545" s="7" t="s">
        <v>36</v>
      </c>
      <c r="H545" s="6">
        <v>4</v>
      </c>
      <c r="I545" s="6">
        <v>5</v>
      </c>
      <c r="J545" s="7" t="b">
        <v>1</v>
      </c>
      <c r="K545" s="6">
        <v>578</v>
      </c>
      <c r="L545" s="6">
        <v>117</v>
      </c>
      <c r="M545" s="7" t="s">
        <v>74</v>
      </c>
      <c r="N545" s="7" t="s">
        <v>56</v>
      </c>
      <c r="O545" s="7" t="s">
        <v>29</v>
      </c>
      <c r="P545" s="6">
        <v>27</v>
      </c>
      <c r="Q545" s="11">
        <v>4.9000000000000004</v>
      </c>
      <c r="R545" s="7" t="b">
        <v>0</v>
      </c>
      <c r="S545" s="7" t="s">
        <v>30</v>
      </c>
      <c r="T545" s="6">
        <v>3468</v>
      </c>
      <c r="U545" s="7" t="s">
        <v>58</v>
      </c>
      <c r="V545" s="12" t="s">
        <v>69</v>
      </c>
      <c r="W545" s="7" t="s">
        <v>60</v>
      </c>
      <c r="X545" s="6">
        <f t="shared" si="35"/>
        <v>371</v>
      </c>
      <c r="Y545" t="str" cm="1">
        <f t="array" ref="Y545">_xlfn.IFS(E545=7.99,"BASIC",E545=11.99,"STANDARD",E545=15.99,"PREMIUM")</f>
        <v>PREMIUM</v>
      </c>
      <c r="Z545" s="4">
        <f t="shared" si="33"/>
        <v>9.0188679245283012</v>
      </c>
      <c r="AA545" s="3" t="str" cm="1">
        <f t="array" ref="AA545">_xlfn.IFS(
(F545/(X545/7)) &lt; 5, "Casual",
AND((F545/(X545/7)) &gt;= 5, (F545/(X545/7)) &lt; 15), "Regular",
(F545/(X545/7)) &gt;= 15, "Power"
)</f>
        <v>Regular</v>
      </c>
      <c r="AB545" s="3">
        <f t="shared" si="36"/>
        <v>0.68776978417266188</v>
      </c>
      <c r="AC545" t="str">
        <f t="shared" si="34"/>
        <v>Viewers</v>
      </c>
    </row>
    <row r="546" spans="1:30" x14ac:dyDescent="0.3">
      <c r="A546" s="6">
        <v>8923</v>
      </c>
      <c r="B546" s="7" t="s">
        <v>184</v>
      </c>
      <c r="C546" s="10">
        <f>_xlfn.XLOOKUP(A546,'Data Anomalies -Pls Read It'!A:A,'Data Anomalies -Pls Read It'!D:D,1,0)</f>
        <v>45636</v>
      </c>
      <c r="D546" s="10">
        <f>_xlfn.XLOOKUP(A546,'Data Anomalies -Pls Read It'!A:A,'Data Anomalies -Pls Read It'!C:C,1,0)</f>
        <v>45637</v>
      </c>
      <c r="E546" s="13">
        <v>11.99</v>
      </c>
      <c r="F546" s="6">
        <v>100</v>
      </c>
      <c r="G546" s="7" t="s">
        <v>100</v>
      </c>
      <c r="H546" s="6">
        <v>3</v>
      </c>
      <c r="I546" s="6">
        <v>4</v>
      </c>
      <c r="J546" s="7" t="b">
        <v>0</v>
      </c>
      <c r="K546" s="6">
        <v>417</v>
      </c>
      <c r="L546" s="6">
        <v>87</v>
      </c>
      <c r="M546" s="7" t="s">
        <v>92</v>
      </c>
      <c r="N546" s="7" t="s">
        <v>56</v>
      </c>
      <c r="O546" s="7" t="s">
        <v>64</v>
      </c>
      <c r="P546" s="6">
        <v>14</v>
      </c>
      <c r="Q546" s="11">
        <v>3.4</v>
      </c>
      <c r="R546" s="7" t="b">
        <v>0</v>
      </c>
      <c r="S546" s="7" t="s">
        <v>30</v>
      </c>
      <c r="T546" s="6">
        <v>3183</v>
      </c>
      <c r="U546" s="7" t="s">
        <v>58</v>
      </c>
      <c r="V546" s="12" t="s">
        <v>32</v>
      </c>
      <c r="W546" s="7" t="s">
        <v>93</v>
      </c>
      <c r="X546" s="6">
        <f t="shared" si="35"/>
        <v>1</v>
      </c>
      <c r="Y546" t="str" cm="1">
        <f t="array" ref="Y546">_xlfn.IFS(E546=7.99,"BASIC",E546=11.99,"STANDARD",E546=15.99,"PREMIUM")</f>
        <v>STANDARD</v>
      </c>
      <c r="Z546" s="4">
        <f t="shared" si="33"/>
        <v>700</v>
      </c>
      <c r="AA546" s="3" t="str" cm="1">
        <f t="array" ref="AA546">_xlfn.IFS(
(F546/(X546/7)) &lt; 5, "Casual",
AND((F546/(X546/7)) &gt;= 5, (F546/(X546/7)) &lt; 15), "Regular",
(F546/(X546/7)) &gt;= 15, "Power"
)</f>
        <v>Power</v>
      </c>
      <c r="AB546" s="3">
        <f t="shared" si="36"/>
        <v>0.1984126984126984</v>
      </c>
      <c r="AC546" t="str">
        <f t="shared" si="34"/>
        <v>Viewers</v>
      </c>
      <c r="AD546" t="s">
        <v>779</v>
      </c>
    </row>
    <row r="547" spans="1:30" x14ac:dyDescent="0.3">
      <c r="A547" s="6">
        <v>9748</v>
      </c>
      <c r="B547" s="7" t="s">
        <v>323</v>
      </c>
      <c r="C547" s="10">
        <v>45272</v>
      </c>
      <c r="D547" s="10">
        <v>45633</v>
      </c>
      <c r="E547" s="13">
        <v>15.99</v>
      </c>
      <c r="F547" s="6">
        <v>264</v>
      </c>
      <c r="G547" s="7" t="s">
        <v>100</v>
      </c>
      <c r="H547" s="6">
        <v>2</v>
      </c>
      <c r="I547" s="6">
        <v>6</v>
      </c>
      <c r="J547" s="7" t="b">
        <v>0</v>
      </c>
      <c r="K547" s="6">
        <v>474</v>
      </c>
      <c r="L547" s="6">
        <v>10</v>
      </c>
      <c r="M547" s="7" t="s">
        <v>27</v>
      </c>
      <c r="N547" s="7" t="s">
        <v>75</v>
      </c>
      <c r="O547" s="7" t="s">
        <v>37</v>
      </c>
      <c r="P547" s="6">
        <v>18</v>
      </c>
      <c r="Q547" s="11">
        <v>4.7</v>
      </c>
      <c r="R547" s="7" t="b">
        <v>1</v>
      </c>
      <c r="S547" s="7" t="s">
        <v>30</v>
      </c>
      <c r="T547" s="6">
        <v>4070</v>
      </c>
      <c r="U547" s="7" t="s">
        <v>31</v>
      </c>
      <c r="V547" s="12" t="s">
        <v>32</v>
      </c>
      <c r="W547" s="7" t="s">
        <v>60</v>
      </c>
      <c r="X547" s="6">
        <f t="shared" si="35"/>
        <v>361</v>
      </c>
      <c r="Y547" t="str" cm="1">
        <f t="array" ref="Y547">_xlfn.IFS(E547=7.99,"BASIC",E547=11.99,"STANDARD",E547=15.99,"PREMIUM")</f>
        <v>PREMIUM</v>
      </c>
      <c r="Z547" s="4">
        <f t="shared" si="33"/>
        <v>5.1191135734072022</v>
      </c>
      <c r="AA547" s="3" t="str" cm="1">
        <f t="array" ref="AA547">_xlfn.IFS(
(F547/(X547/7)) &lt; 5, "Casual",
AND((F547/(X547/7)) &gt;= 5, (F547/(X547/7)) &lt; 15), "Regular",
(F547/(X547/7)) &gt;= 15, "Power"
)</f>
        <v>Regular</v>
      </c>
      <c r="AB547" s="3">
        <f t="shared" si="36"/>
        <v>0.54545454545454541</v>
      </c>
      <c r="AC547" t="str">
        <f t="shared" si="34"/>
        <v>Viewers</v>
      </c>
    </row>
    <row r="548" spans="1:30" x14ac:dyDescent="0.3">
      <c r="A548" s="6">
        <v>7046</v>
      </c>
      <c r="B548" s="7" t="s">
        <v>344</v>
      </c>
      <c r="C548" s="10">
        <v>44983</v>
      </c>
      <c r="D548" s="10">
        <v>45636</v>
      </c>
      <c r="E548" s="13">
        <v>15.99</v>
      </c>
      <c r="F548" s="6">
        <v>208</v>
      </c>
      <c r="G548" s="7" t="s">
        <v>63</v>
      </c>
      <c r="H548" s="6">
        <v>5</v>
      </c>
      <c r="I548" s="6">
        <v>6</v>
      </c>
      <c r="J548" s="7" t="b">
        <v>0</v>
      </c>
      <c r="K548" s="6">
        <v>512</v>
      </c>
      <c r="L548" s="6">
        <v>176</v>
      </c>
      <c r="M548" s="7" t="s">
        <v>68</v>
      </c>
      <c r="N548" s="7" t="s">
        <v>28</v>
      </c>
      <c r="O548" s="7" t="s">
        <v>78</v>
      </c>
      <c r="P548" s="6">
        <v>36</v>
      </c>
      <c r="Q548" s="11">
        <v>4.7</v>
      </c>
      <c r="R548" s="7" t="b">
        <v>0</v>
      </c>
      <c r="S548" s="7" t="s">
        <v>30</v>
      </c>
      <c r="T548" s="6">
        <v>4147</v>
      </c>
      <c r="U548" s="7" t="s">
        <v>31</v>
      </c>
      <c r="V548" s="12" t="s">
        <v>79</v>
      </c>
      <c r="W548" s="7" t="s">
        <v>93</v>
      </c>
      <c r="X548" s="6">
        <f t="shared" si="35"/>
        <v>653</v>
      </c>
      <c r="Y548" t="str" cm="1">
        <f t="array" ref="Y548">_xlfn.IFS(E548=7.99,"BASIC",E548=11.99,"STANDARD",E548=15.99,"PREMIUM")</f>
        <v>PREMIUM</v>
      </c>
      <c r="Z548" s="4">
        <f t="shared" si="33"/>
        <v>2.2297090352220521</v>
      </c>
      <c r="AA548" s="3" t="str" cm="1">
        <f t="array" ref="AA548">_xlfn.IFS(
(F548/(X548/7)) &lt; 5, "Casual",
AND((F548/(X548/7)) &gt;= 5, (F548/(X548/7)) &lt; 15), "Regular",
(F548/(X548/7)) &gt;= 15, "Power"
)</f>
        <v>Casual</v>
      </c>
      <c r="AB548" s="3">
        <f t="shared" si="36"/>
        <v>0.30232558139534882</v>
      </c>
      <c r="AC548" t="str">
        <f t="shared" si="34"/>
        <v>Viewers</v>
      </c>
    </row>
    <row r="549" spans="1:30" x14ac:dyDescent="0.3">
      <c r="A549" s="6">
        <v>9688</v>
      </c>
      <c r="B549" s="7" t="s">
        <v>562</v>
      </c>
      <c r="C549" s="10">
        <v>45307</v>
      </c>
      <c r="D549" s="10">
        <v>45630</v>
      </c>
      <c r="E549" s="13">
        <v>7.99</v>
      </c>
      <c r="F549" s="6">
        <v>56</v>
      </c>
      <c r="G549" s="7" t="s">
        <v>73</v>
      </c>
      <c r="H549" s="6">
        <v>1</v>
      </c>
      <c r="I549" s="6">
        <v>2</v>
      </c>
      <c r="J549" s="7" t="b">
        <v>1</v>
      </c>
      <c r="K549" s="6">
        <v>280</v>
      </c>
      <c r="L549" s="6">
        <v>67</v>
      </c>
      <c r="M549" s="7" t="s">
        <v>92</v>
      </c>
      <c r="N549" s="7" t="s">
        <v>75</v>
      </c>
      <c r="O549" s="7" t="s">
        <v>57</v>
      </c>
      <c r="P549" s="6">
        <v>21</v>
      </c>
      <c r="Q549" s="11">
        <v>4.5999999999999996</v>
      </c>
      <c r="R549" s="7" t="b">
        <v>0</v>
      </c>
      <c r="S549" s="7" t="s">
        <v>30</v>
      </c>
      <c r="T549" s="6">
        <v>255</v>
      </c>
      <c r="U549" s="7" t="s">
        <v>31</v>
      </c>
      <c r="V549" s="12" t="s">
        <v>39</v>
      </c>
      <c r="W549" s="7" t="s">
        <v>60</v>
      </c>
      <c r="X549" s="6">
        <f t="shared" si="35"/>
        <v>323</v>
      </c>
      <c r="Y549" t="str" cm="1">
        <f t="array" ref="Y549">_xlfn.IFS(E549=7.99,"BASIC",E549=11.99,"STANDARD",E549=15.99,"PREMIUM")</f>
        <v>BASIC</v>
      </c>
      <c r="Z549" s="4">
        <f t="shared" si="33"/>
        <v>1.2136222910216719</v>
      </c>
      <c r="AA549" s="3" t="str" cm="1">
        <f t="array" ref="AA549">_xlfn.IFS(
(F549/(X549/7)) &lt; 5, "Casual",
AND((F549/(X549/7)) &gt;= 5, (F549/(X549/7)) &lt; 15), "Regular",
(F549/(X549/7)) &gt;= 15, "Power"
)</f>
        <v>Casual</v>
      </c>
      <c r="AB549" s="3">
        <f t="shared" si="36"/>
        <v>0.16138328530259366</v>
      </c>
      <c r="AC549" t="str">
        <f t="shared" si="34"/>
        <v>Viewers</v>
      </c>
    </row>
    <row r="550" spans="1:30" x14ac:dyDescent="0.3">
      <c r="A550" s="6">
        <v>6720</v>
      </c>
      <c r="B550" s="7" t="s">
        <v>157</v>
      </c>
      <c r="C550" s="10">
        <v>45115</v>
      </c>
      <c r="D550" s="10">
        <v>45639</v>
      </c>
      <c r="E550" s="13">
        <v>15.99</v>
      </c>
      <c r="F550" s="6">
        <v>207</v>
      </c>
      <c r="G550" s="7" t="s">
        <v>63</v>
      </c>
      <c r="H550" s="6">
        <v>2</v>
      </c>
      <c r="I550" s="6">
        <v>2</v>
      </c>
      <c r="J550" s="7" t="b">
        <v>1</v>
      </c>
      <c r="K550" s="6">
        <v>494</v>
      </c>
      <c r="L550" s="6">
        <v>28</v>
      </c>
      <c r="M550" s="7" t="s">
        <v>92</v>
      </c>
      <c r="N550" s="7" t="s">
        <v>75</v>
      </c>
      <c r="O550" s="7" t="s">
        <v>37</v>
      </c>
      <c r="P550" s="6">
        <v>99</v>
      </c>
      <c r="Q550" s="11">
        <v>3.6</v>
      </c>
      <c r="R550" s="7" t="b">
        <v>0</v>
      </c>
      <c r="S550" s="7" t="s">
        <v>30</v>
      </c>
      <c r="T550" s="6">
        <v>3278</v>
      </c>
      <c r="U550" s="7" t="s">
        <v>38</v>
      </c>
      <c r="V550" s="12" t="s">
        <v>79</v>
      </c>
      <c r="W550" s="7" t="s">
        <v>33</v>
      </c>
      <c r="X550" s="6">
        <f t="shared" si="35"/>
        <v>524</v>
      </c>
      <c r="Y550" t="str" cm="1">
        <f t="array" ref="Y550">_xlfn.IFS(E550=7.99,"BASIC",E550=11.99,"STANDARD",E550=15.99,"PREMIUM")</f>
        <v>PREMIUM</v>
      </c>
      <c r="Z550" s="4">
        <f t="shared" si="33"/>
        <v>2.7652671755725189</v>
      </c>
      <c r="AA550" s="3" t="str" cm="1">
        <f t="array" ref="AA550">_xlfn.IFS(
(F550/(X550/7)) &lt; 5, "Casual",
AND((F550/(X550/7)) &gt;= 5, (F550/(X550/7)) &lt; 15), "Regular",
(F550/(X550/7)) &gt;= 15, "Power"
)</f>
        <v>Casual</v>
      </c>
      <c r="AB550" s="3">
        <f t="shared" si="36"/>
        <v>0.39655172413793105</v>
      </c>
      <c r="AC550" t="str">
        <f t="shared" si="34"/>
        <v>Viewers</v>
      </c>
    </row>
    <row r="551" spans="1:30" x14ac:dyDescent="0.3">
      <c r="A551" s="6">
        <v>2766</v>
      </c>
      <c r="B551" s="7" t="s">
        <v>563</v>
      </c>
      <c r="C551" s="10">
        <v>44934</v>
      </c>
      <c r="D551" s="10">
        <v>45621</v>
      </c>
      <c r="E551" s="13">
        <v>7.99</v>
      </c>
      <c r="F551" s="6">
        <v>187</v>
      </c>
      <c r="G551" s="7" t="s">
        <v>51</v>
      </c>
      <c r="H551" s="6">
        <v>2</v>
      </c>
      <c r="I551" s="6">
        <v>3</v>
      </c>
      <c r="J551" s="7" t="b">
        <v>1</v>
      </c>
      <c r="K551" s="6">
        <v>697</v>
      </c>
      <c r="L551" s="6">
        <v>5</v>
      </c>
      <c r="M551" s="7" t="s">
        <v>68</v>
      </c>
      <c r="N551" s="7" t="s">
        <v>44</v>
      </c>
      <c r="O551" s="7" t="s">
        <v>37</v>
      </c>
      <c r="P551" s="6">
        <v>29</v>
      </c>
      <c r="Q551" s="11">
        <v>4.5</v>
      </c>
      <c r="R551" s="7" t="b">
        <v>0</v>
      </c>
      <c r="S551" s="7" t="s">
        <v>30</v>
      </c>
      <c r="T551" s="6">
        <v>213</v>
      </c>
      <c r="U551" s="7" t="s">
        <v>58</v>
      </c>
      <c r="V551" s="12" t="s">
        <v>59</v>
      </c>
      <c r="W551" s="7" t="s">
        <v>60</v>
      </c>
      <c r="X551" s="6">
        <f t="shared" si="35"/>
        <v>687</v>
      </c>
      <c r="Y551" t="str" cm="1">
        <f t="array" ref="Y551">_xlfn.IFS(E551=7.99,"BASIC",E551=11.99,"STANDARD",E551=15.99,"PREMIUM")</f>
        <v>BASIC</v>
      </c>
      <c r="Z551" s="4">
        <f t="shared" si="33"/>
        <v>1.9053857350800583</v>
      </c>
      <c r="AA551" s="3" t="str" cm="1">
        <f t="array" ref="AA551">_xlfn.IFS(
(F551/(X551/7)) &lt; 5, "Casual",
AND((F551/(X551/7)) &gt;= 5, (F551/(X551/7)) &lt; 15), "Regular",
(F551/(X551/7)) &gt;= 15, "Power"
)</f>
        <v>Casual</v>
      </c>
      <c r="AB551" s="3">
        <f t="shared" si="36"/>
        <v>0.26638176638176636</v>
      </c>
      <c r="AC551" t="str">
        <f t="shared" si="34"/>
        <v>Viewers</v>
      </c>
    </row>
    <row r="552" spans="1:30" x14ac:dyDescent="0.3">
      <c r="A552" s="6">
        <v>3847</v>
      </c>
      <c r="B552" s="7" t="s">
        <v>114</v>
      </c>
      <c r="C552" s="10">
        <v>45356</v>
      </c>
      <c r="D552" s="10">
        <v>45619</v>
      </c>
      <c r="E552" s="13">
        <v>11.99</v>
      </c>
      <c r="F552" s="6">
        <v>62</v>
      </c>
      <c r="G552" s="7" t="s">
        <v>26</v>
      </c>
      <c r="H552" s="6">
        <v>3</v>
      </c>
      <c r="I552" s="6">
        <v>1</v>
      </c>
      <c r="J552" s="7" t="b">
        <v>1</v>
      </c>
      <c r="K552" s="6">
        <v>879</v>
      </c>
      <c r="L552" s="6">
        <v>128</v>
      </c>
      <c r="M552" s="7" t="s">
        <v>55</v>
      </c>
      <c r="N552" s="7" t="s">
        <v>28</v>
      </c>
      <c r="O552" s="7" t="s">
        <v>45</v>
      </c>
      <c r="P552" s="6">
        <v>56</v>
      </c>
      <c r="Q552" s="11">
        <v>3.4</v>
      </c>
      <c r="R552" s="7" t="b">
        <v>0</v>
      </c>
      <c r="S552" s="7" t="s">
        <v>30</v>
      </c>
      <c r="T552" s="6">
        <v>2886</v>
      </c>
      <c r="U552" s="7" t="s">
        <v>65</v>
      </c>
      <c r="V552" s="12" t="s">
        <v>39</v>
      </c>
      <c r="W552" s="7" t="s">
        <v>33</v>
      </c>
      <c r="X552" s="6">
        <f t="shared" si="35"/>
        <v>263</v>
      </c>
      <c r="Y552" t="str" cm="1">
        <f t="array" ref="Y552">_xlfn.IFS(E552=7.99,"BASIC",E552=11.99,"STANDARD",E552=15.99,"PREMIUM")</f>
        <v>STANDARD</v>
      </c>
      <c r="Z552" s="4">
        <f t="shared" si="33"/>
        <v>1.6501901140684412</v>
      </c>
      <c r="AA552" s="3" t="str" cm="1">
        <f t="array" ref="AA552">_xlfn.IFS(
(F552/(X552/7)) &lt; 5, "Casual",
AND((F552/(X552/7)) &gt;= 5, (F552/(X552/7)) &lt; 15), "Regular",
(F552/(X552/7)) &gt;= 15, "Power"
)</f>
        <v>Casual</v>
      </c>
      <c r="AB552" s="3">
        <f t="shared" si="36"/>
        <v>6.1569016881827213E-2</v>
      </c>
      <c r="AC552" t="str">
        <f t="shared" si="34"/>
        <v xml:space="preserve"> Browsers</v>
      </c>
    </row>
    <row r="553" spans="1:30" x14ac:dyDescent="0.3">
      <c r="A553" s="6">
        <v>8554</v>
      </c>
      <c r="B553" s="7" t="s">
        <v>153</v>
      </c>
      <c r="C553" s="10">
        <v>45262</v>
      </c>
      <c r="D553" s="10">
        <v>45617</v>
      </c>
      <c r="E553" s="13">
        <v>15.99</v>
      </c>
      <c r="F553" s="6">
        <v>182</v>
      </c>
      <c r="G553" s="7" t="s">
        <v>100</v>
      </c>
      <c r="H553" s="6">
        <v>1</v>
      </c>
      <c r="I553" s="6">
        <v>2</v>
      </c>
      <c r="J553" s="7" t="b">
        <v>1</v>
      </c>
      <c r="K553" s="6">
        <v>442</v>
      </c>
      <c r="L553" s="6">
        <v>87</v>
      </c>
      <c r="M553" s="7" t="s">
        <v>27</v>
      </c>
      <c r="N553" s="7" t="s">
        <v>56</v>
      </c>
      <c r="O553" s="7" t="s">
        <v>45</v>
      </c>
      <c r="P553" s="6">
        <v>62</v>
      </c>
      <c r="Q553" s="11">
        <v>4.9000000000000004</v>
      </c>
      <c r="R553" s="7" t="b">
        <v>0</v>
      </c>
      <c r="S553" s="7" t="s">
        <v>30</v>
      </c>
      <c r="T553" s="6">
        <v>1901</v>
      </c>
      <c r="U553" s="7" t="s">
        <v>38</v>
      </c>
      <c r="V553" s="12" t="s">
        <v>69</v>
      </c>
      <c r="W553" s="7" t="s">
        <v>40</v>
      </c>
      <c r="X553" s="6">
        <f t="shared" si="35"/>
        <v>355</v>
      </c>
      <c r="Y553" t="str" cm="1">
        <f t="array" ref="Y553">_xlfn.IFS(E553=7.99,"BASIC",E553=11.99,"STANDARD",E553=15.99,"PREMIUM")</f>
        <v>PREMIUM</v>
      </c>
      <c r="Z553" s="4">
        <f t="shared" si="33"/>
        <v>3.5887323943661973</v>
      </c>
      <c r="AA553" s="3" t="str" cm="1">
        <f t="array" ref="AA553">_xlfn.IFS(
(F553/(X553/7)) &lt; 5, "Casual",
AND((F553/(X553/7)) &gt;= 5, (F553/(X553/7)) &lt; 15), "Regular",
(F553/(X553/7)) &gt;= 15, "Power"
)</f>
        <v>Casual</v>
      </c>
      <c r="AB553" s="3">
        <f t="shared" si="36"/>
        <v>0.34404536862003782</v>
      </c>
      <c r="AC553" t="str">
        <f t="shared" si="34"/>
        <v>Viewers</v>
      </c>
    </row>
    <row r="554" spans="1:30" x14ac:dyDescent="0.3">
      <c r="A554" s="6">
        <v>6569</v>
      </c>
      <c r="B554" s="7" t="s">
        <v>34</v>
      </c>
      <c r="C554" s="10">
        <v>45230</v>
      </c>
      <c r="D554" s="10">
        <v>45621</v>
      </c>
      <c r="E554" s="13">
        <v>7.99</v>
      </c>
      <c r="F554" s="6">
        <v>468</v>
      </c>
      <c r="G554" s="7" t="s">
        <v>100</v>
      </c>
      <c r="H554" s="6">
        <v>2</v>
      </c>
      <c r="I554" s="6">
        <v>3</v>
      </c>
      <c r="J554" s="7" t="b">
        <v>0</v>
      </c>
      <c r="K554" s="6">
        <v>514</v>
      </c>
      <c r="L554" s="6">
        <v>46</v>
      </c>
      <c r="M554" s="7" t="s">
        <v>43</v>
      </c>
      <c r="N554" s="7" t="s">
        <v>44</v>
      </c>
      <c r="O554" s="7" t="s">
        <v>64</v>
      </c>
      <c r="P554" s="6">
        <v>74</v>
      </c>
      <c r="Q554" s="11">
        <v>3.2</v>
      </c>
      <c r="R554" s="7" t="b">
        <v>0</v>
      </c>
      <c r="S554" s="7" t="s">
        <v>30</v>
      </c>
      <c r="T554" s="6">
        <v>4456</v>
      </c>
      <c r="U554" s="7" t="s">
        <v>31</v>
      </c>
      <c r="V554" s="12" t="s">
        <v>39</v>
      </c>
      <c r="W554" s="7" t="s">
        <v>93</v>
      </c>
      <c r="X554" s="6">
        <f t="shared" si="35"/>
        <v>391</v>
      </c>
      <c r="Y554" t="str" cm="1">
        <f t="array" ref="Y554">_xlfn.IFS(E554=7.99,"BASIC",E554=11.99,"STANDARD",E554=15.99,"PREMIUM")</f>
        <v>BASIC</v>
      </c>
      <c r="Z554" s="4">
        <f t="shared" si="33"/>
        <v>8.3785166240409215</v>
      </c>
      <c r="AA554" s="3" t="str" cm="1">
        <f t="array" ref="AA554">_xlfn.IFS(
(F554/(X554/7)) &lt; 5, "Casual",
AND((F554/(X554/7)) &gt;= 5, (F554/(X554/7)) &lt; 15), "Regular",
(F554/(X554/7)) &gt;= 15, "Power"
)</f>
        <v>Regular</v>
      </c>
      <c r="AB554" s="3">
        <f t="shared" si="36"/>
        <v>0.83571428571428574</v>
      </c>
      <c r="AC554" t="str">
        <f t="shared" si="34"/>
        <v>Viewers</v>
      </c>
    </row>
    <row r="555" spans="1:30" x14ac:dyDescent="0.3">
      <c r="A555" s="6">
        <v>6391</v>
      </c>
      <c r="B555" s="7" t="s">
        <v>257</v>
      </c>
      <c r="C555" s="10">
        <v>45423</v>
      </c>
      <c r="D555" s="10">
        <v>45620</v>
      </c>
      <c r="E555" s="13">
        <v>15.99</v>
      </c>
      <c r="F555" s="6">
        <v>389</v>
      </c>
      <c r="G555" s="7" t="s">
        <v>36</v>
      </c>
      <c r="H555" s="6">
        <v>2</v>
      </c>
      <c r="I555" s="6">
        <v>2</v>
      </c>
      <c r="J555" s="7" t="b">
        <v>0</v>
      </c>
      <c r="K555" s="6">
        <v>120</v>
      </c>
      <c r="L555" s="6">
        <v>191</v>
      </c>
      <c r="M555" s="7" t="s">
        <v>49</v>
      </c>
      <c r="N555" s="7" t="s">
        <v>44</v>
      </c>
      <c r="O555" s="7" t="s">
        <v>64</v>
      </c>
      <c r="P555" s="6">
        <v>75</v>
      </c>
      <c r="Q555" s="11">
        <v>3.8</v>
      </c>
      <c r="R555" s="7" t="b">
        <v>1</v>
      </c>
      <c r="S555" s="7" t="s">
        <v>30</v>
      </c>
      <c r="T555" s="6">
        <v>237</v>
      </c>
      <c r="U555" s="7" t="s">
        <v>38</v>
      </c>
      <c r="V555" s="12" t="s">
        <v>59</v>
      </c>
      <c r="W555" s="7" t="s">
        <v>60</v>
      </c>
      <c r="X555" s="6">
        <f t="shared" si="35"/>
        <v>197</v>
      </c>
      <c r="Y555" t="str" cm="1">
        <f t="array" ref="Y555">_xlfn.IFS(E555=7.99,"BASIC",E555=11.99,"STANDARD",E555=15.99,"PREMIUM")</f>
        <v>PREMIUM</v>
      </c>
      <c r="Z555" s="4">
        <f t="shared" si="33"/>
        <v>13.822335025380712</v>
      </c>
      <c r="AA555" s="3" t="str" cm="1">
        <f t="array" ref="AA555">_xlfn.IFS(
(F555/(X555/7)) &lt; 5, "Casual",
AND((F555/(X555/7)) &gt;= 5, (F555/(X555/7)) &lt; 15), "Regular",
(F555/(X555/7)) &gt;= 15, "Power"
)</f>
        <v>Regular</v>
      </c>
      <c r="AB555" s="3">
        <f t="shared" si="36"/>
        <v>1.2508038585209003</v>
      </c>
      <c r="AC555" t="str">
        <f t="shared" si="34"/>
        <v>Viewers</v>
      </c>
    </row>
    <row r="556" spans="1:30" x14ac:dyDescent="0.3">
      <c r="A556" s="6">
        <v>4883</v>
      </c>
      <c r="B556" s="7" t="s">
        <v>564</v>
      </c>
      <c r="C556" s="10">
        <v>45329</v>
      </c>
      <c r="D556" s="10">
        <v>45635</v>
      </c>
      <c r="E556" s="13">
        <v>15.99</v>
      </c>
      <c r="F556" s="6">
        <v>155</v>
      </c>
      <c r="G556" s="7" t="s">
        <v>26</v>
      </c>
      <c r="H556" s="6">
        <v>4</v>
      </c>
      <c r="I556" s="6">
        <v>5</v>
      </c>
      <c r="J556" s="7" t="b">
        <v>0</v>
      </c>
      <c r="K556" s="6">
        <v>573</v>
      </c>
      <c r="L556" s="6">
        <v>190</v>
      </c>
      <c r="M556" s="7" t="s">
        <v>55</v>
      </c>
      <c r="N556" s="7" t="s">
        <v>75</v>
      </c>
      <c r="O556" s="7" t="s">
        <v>57</v>
      </c>
      <c r="P556" s="6">
        <v>86</v>
      </c>
      <c r="Q556" s="11">
        <v>3.5</v>
      </c>
      <c r="R556" s="7" t="b">
        <v>1</v>
      </c>
      <c r="S556" s="7" t="s">
        <v>30</v>
      </c>
      <c r="T556" s="6">
        <v>4659</v>
      </c>
      <c r="U556" s="7" t="s">
        <v>76</v>
      </c>
      <c r="V556" s="12" t="s">
        <v>32</v>
      </c>
      <c r="W556" s="7" t="s">
        <v>33</v>
      </c>
      <c r="X556" s="6">
        <f t="shared" si="35"/>
        <v>306</v>
      </c>
      <c r="Y556" t="str" cm="1">
        <f t="array" ref="Y556">_xlfn.IFS(E556=7.99,"BASIC",E556=11.99,"STANDARD",E556=15.99,"PREMIUM")</f>
        <v>PREMIUM</v>
      </c>
      <c r="Z556" s="4">
        <f t="shared" si="33"/>
        <v>3.5457516339869279</v>
      </c>
      <c r="AA556" s="3" t="str" cm="1">
        <f t="array" ref="AA556">_xlfn.IFS(
(F556/(X556/7)) &lt; 5, "Casual",
AND((F556/(X556/7)) &gt;= 5, (F556/(X556/7)) &lt; 15), "Regular",
(F556/(X556/7)) &gt;= 15, "Power"
)</f>
        <v>Casual</v>
      </c>
      <c r="AB556" s="3">
        <f t="shared" si="36"/>
        <v>0.20314547837483618</v>
      </c>
      <c r="AC556" t="str">
        <f t="shared" si="34"/>
        <v>Viewers</v>
      </c>
    </row>
    <row r="557" spans="1:30" x14ac:dyDescent="0.3">
      <c r="A557" s="6">
        <v>4530</v>
      </c>
      <c r="B557" s="7" t="s">
        <v>226</v>
      </c>
      <c r="C557" s="10">
        <v>45275</v>
      </c>
      <c r="D557" s="10">
        <v>45622</v>
      </c>
      <c r="E557" s="13">
        <v>7.99</v>
      </c>
      <c r="F557" s="6">
        <v>331</v>
      </c>
      <c r="G557" s="7" t="s">
        <v>26</v>
      </c>
      <c r="H557" s="6">
        <v>1</v>
      </c>
      <c r="I557" s="6">
        <v>6</v>
      </c>
      <c r="J557" s="7" t="b">
        <v>1</v>
      </c>
      <c r="K557" s="6">
        <v>231</v>
      </c>
      <c r="L557" s="6">
        <v>199</v>
      </c>
      <c r="M557" s="7" t="s">
        <v>74</v>
      </c>
      <c r="N557" s="7" t="s">
        <v>28</v>
      </c>
      <c r="O557" s="7" t="s">
        <v>45</v>
      </c>
      <c r="P557" s="6">
        <v>93</v>
      </c>
      <c r="Q557" s="11">
        <v>3.4</v>
      </c>
      <c r="R557" s="7" t="b">
        <v>0</v>
      </c>
      <c r="S557" s="7" t="s">
        <v>30</v>
      </c>
      <c r="T557" s="6">
        <v>4906</v>
      </c>
      <c r="U557" s="7" t="s">
        <v>38</v>
      </c>
      <c r="V557" s="12" t="s">
        <v>79</v>
      </c>
      <c r="W557" s="7" t="s">
        <v>33</v>
      </c>
      <c r="X557" s="6">
        <f t="shared" si="35"/>
        <v>347</v>
      </c>
      <c r="Y557" t="str" cm="1">
        <f t="array" ref="Y557">_xlfn.IFS(E557=7.99,"BASIC",E557=11.99,"STANDARD",E557=15.99,"PREMIUM")</f>
        <v>BASIC</v>
      </c>
      <c r="Z557" s="4">
        <f t="shared" si="33"/>
        <v>6.6772334293948132</v>
      </c>
      <c r="AA557" s="3" t="str" cm="1">
        <f t="array" ref="AA557">_xlfn.IFS(
(F557/(X557/7)) &lt; 5, "Casual",
AND((F557/(X557/7)) &gt;= 5, (F557/(X557/7)) &lt; 15), "Regular",
(F557/(X557/7)) &gt;= 15, "Power"
)</f>
        <v>Regular</v>
      </c>
      <c r="AB557" s="3">
        <f t="shared" si="36"/>
        <v>0.76976744186046508</v>
      </c>
      <c r="AC557" t="str">
        <f t="shared" si="34"/>
        <v>Viewers</v>
      </c>
    </row>
    <row r="558" spans="1:30" x14ac:dyDescent="0.3">
      <c r="A558" s="6">
        <v>6531</v>
      </c>
      <c r="B558" s="7" t="s">
        <v>280</v>
      </c>
      <c r="C558" s="10">
        <v>44964</v>
      </c>
      <c r="D558" s="10">
        <v>45638</v>
      </c>
      <c r="E558" s="13">
        <v>11.99</v>
      </c>
      <c r="F558" s="6">
        <v>131</v>
      </c>
      <c r="G558" s="7" t="s">
        <v>48</v>
      </c>
      <c r="H558" s="6">
        <v>5</v>
      </c>
      <c r="I558" s="6">
        <v>2</v>
      </c>
      <c r="J558" s="7" t="b">
        <v>0</v>
      </c>
      <c r="K558" s="6">
        <v>374</v>
      </c>
      <c r="L558" s="6">
        <v>154</v>
      </c>
      <c r="M558" s="7" t="s">
        <v>92</v>
      </c>
      <c r="N558" s="7" t="s">
        <v>44</v>
      </c>
      <c r="O558" s="7" t="s">
        <v>37</v>
      </c>
      <c r="P558" s="6">
        <v>81</v>
      </c>
      <c r="Q558" s="11">
        <v>4.4000000000000004</v>
      </c>
      <c r="R558" s="7" t="b">
        <v>0</v>
      </c>
      <c r="S558" s="7" t="s">
        <v>30</v>
      </c>
      <c r="T558" s="6">
        <v>1155</v>
      </c>
      <c r="U558" s="7" t="s">
        <v>65</v>
      </c>
      <c r="V558" s="12" t="s">
        <v>32</v>
      </c>
      <c r="W558" s="7" t="s">
        <v>60</v>
      </c>
      <c r="X558" s="6">
        <f t="shared" si="35"/>
        <v>674</v>
      </c>
      <c r="Y558" t="str" cm="1">
        <f t="array" ref="Y558">_xlfn.IFS(E558=7.99,"BASIC",E558=11.99,"STANDARD",E558=15.99,"PREMIUM")</f>
        <v>STANDARD</v>
      </c>
      <c r="Z558" s="4">
        <f t="shared" si="33"/>
        <v>1.3605341246290801</v>
      </c>
      <c r="AA558" s="3" t="str" cm="1">
        <f t="array" ref="AA558">_xlfn.IFS(
(F558/(X558/7)) &lt; 5, "Casual",
AND((F558/(X558/7)) &gt;= 5, (F558/(X558/7)) &lt; 15), "Regular",
(F558/(X558/7)) &gt;= 15, "Power"
)</f>
        <v>Casual</v>
      </c>
      <c r="AB558" s="3">
        <f t="shared" si="36"/>
        <v>0.24810606060606061</v>
      </c>
      <c r="AC558" t="str">
        <f t="shared" si="34"/>
        <v>Viewers</v>
      </c>
    </row>
    <row r="559" spans="1:30" x14ac:dyDescent="0.3">
      <c r="A559" s="6">
        <v>9701</v>
      </c>
      <c r="B559" s="7" t="s">
        <v>566</v>
      </c>
      <c r="C559" s="10">
        <v>45002</v>
      </c>
      <c r="D559" s="10">
        <v>45622</v>
      </c>
      <c r="E559" s="13">
        <v>7.99</v>
      </c>
      <c r="F559" s="6">
        <v>376</v>
      </c>
      <c r="G559" s="7" t="s">
        <v>48</v>
      </c>
      <c r="H559" s="6">
        <v>3</v>
      </c>
      <c r="I559" s="6">
        <v>6</v>
      </c>
      <c r="J559" s="7" t="b">
        <v>0</v>
      </c>
      <c r="K559" s="6">
        <v>727</v>
      </c>
      <c r="L559" s="6">
        <v>13</v>
      </c>
      <c r="M559" s="7" t="s">
        <v>49</v>
      </c>
      <c r="N559" s="7" t="s">
        <v>75</v>
      </c>
      <c r="O559" s="7" t="s">
        <v>37</v>
      </c>
      <c r="P559" s="6">
        <v>5</v>
      </c>
      <c r="Q559" s="11">
        <v>3.4</v>
      </c>
      <c r="R559" s="7" t="b">
        <v>0</v>
      </c>
      <c r="S559" s="7" t="s">
        <v>30</v>
      </c>
      <c r="T559" s="6">
        <v>4378</v>
      </c>
      <c r="U559" s="7" t="s">
        <v>38</v>
      </c>
      <c r="V559" s="12" t="s">
        <v>39</v>
      </c>
      <c r="W559" s="7" t="s">
        <v>60</v>
      </c>
      <c r="X559" s="6">
        <f t="shared" si="35"/>
        <v>620</v>
      </c>
      <c r="Y559" t="str" cm="1">
        <f t="array" ref="Y559">_xlfn.IFS(E559=7.99,"BASIC",E559=11.99,"STANDARD",E559=15.99,"PREMIUM")</f>
        <v>BASIC</v>
      </c>
      <c r="Z559" s="4">
        <f t="shared" si="33"/>
        <v>4.2451612903225806</v>
      </c>
      <c r="AA559" s="3" t="str" cm="1">
        <f t="array" ref="AA559">_xlfn.IFS(
(F559/(X559/7)) &lt; 5, "Casual",
AND((F559/(X559/7)) &gt;= 5, (F559/(X559/7)) &lt; 15), "Regular",
(F559/(X559/7)) &gt;= 15, "Power"
)</f>
        <v>Casual</v>
      </c>
      <c r="AB559" s="3">
        <f t="shared" si="36"/>
        <v>0.50810810810810814</v>
      </c>
      <c r="AC559" t="str">
        <f t="shared" si="34"/>
        <v>Viewers</v>
      </c>
    </row>
    <row r="560" spans="1:30" x14ac:dyDescent="0.3">
      <c r="A560" s="6">
        <v>4702</v>
      </c>
      <c r="B560" s="7" t="s">
        <v>383</v>
      </c>
      <c r="C560" s="10">
        <v>45382</v>
      </c>
      <c r="D560" s="10">
        <v>45637</v>
      </c>
      <c r="E560" s="13">
        <v>7.99</v>
      </c>
      <c r="F560" s="6">
        <v>106</v>
      </c>
      <c r="G560" s="7" t="s">
        <v>63</v>
      </c>
      <c r="H560" s="6">
        <v>4</v>
      </c>
      <c r="I560" s="6">
        <v>6</v>
      </c>
      <c r="J560" s="7" t="b">
        <v>1</v>
      </c>
      <c r="K560" s="6">
        <v>858</v>
      </c>
      <c r="L560" s="6">
        <v>12</v>
      </c>
      <c r="M560" s="7" t="s">
        <v>68</v>
      </c>
      <c r="N560" s="7" t="s">
        <v>44</v>
      </c>
      <c r="O560" s="7" t="s">
        <v>45</v>
      </c>
      <c r="P560" s="6">
        <v>25</v>
      </c>
      <c r="Q560" s="11">
        <v>3.4</v>
      </c>
      <c r="R560" s="7" t="b">
        <v>1</v>
      </c>
      <c r="S560" s="7" t="s">
        <v>30</v>
      </c>
      <c r="T560" s="6">
        <v>1674</v>
      </c>
      <c r="U560" s="7" t="s">
        <v>38</v>
      </c>
      <c r="V560" s="12" t="s">
        <v>69</v>
      </c>
      <c r="W560" s="7" t="s">
        <v>93</v>
      </c>
      <c r="X560" s="6">
        <f t="shared" si="35"/>
        <v>255</v>
      </c>
      <c r="Y560" t="str" cm="1">
        <f t="array" ref="Y560">_xlfn.IFS(E560=7.99,"BASIC",E560=11.99,"STANDARD",E560=15.99,"PREMIUM")</f>
        <v>BASIC</v>
      </c>
      <c r="Z560" s="4">
        <f t="shared" si="33"/>
        <v>2.9098039215686273</v>
      </c>
      <c r="AA560" s="3" t="str" cm="1">
        <f t="array" ref="AA560">_xlfn.IFS(
(F560/(X560/7)) &lt; 5, "Casual",
AND((F560/(X560/7)) &gt;= 5, (F560/(X560/7)) &lt; 15), "Regular",
(F560/(X560/7)) &gt;= 15, "Power"
)</f>
        <v>Casual</v>
      </c>
      <c r="AB560" s="3">
        <f t="shared" si="36"/>
        <v>0.12183908045977011</v>
      </c>
      <c r="AC560" t="str">
        <f t="shared" si="34"/>
        <v xml:space="preserve"> Browsers</v>
      </c>
    </row>
    <row r="561" spans="1:30" x14ac:dyDescent="0.3">
      <c r="A561" s="6">
        <v>3163</v>
      </c>
      <c r="B561" s="7" t="s">
        <v>409</v>
      </c>
      <c r="C561" s="10">
        <v>45485</v>
      </c>
      <c r="D561" s="10">
        <v>45626</v>
      </c>
      <c r="E561" s="13">
        <v>11.99</v>
      </c>
      <c r="F561" s="6">
        <v>445</v>
      </c>
      <c r="G561" s="7" t="s">
        <v>73</v>
      </c>
      <c r="H561" s="6">
        <v>4</v>
      </c>
      <c r="I561" s="6">
        <v>4</v>
      </c>
      <c r="J561" s="7" t="b">
        <v>0</v>
      </c>
      <c r="K561" s="6">
        <v>25</v>
      </c>
      <c r="L561" s="6">
        <v>132</v>
      </c>
      <c r="M561" s="7" t="s">
        <v>74</v>
      </c>
      <c r="N561" s="7" t="s">
        <v>28</v>
      </c>
      <c r="O561" s="7" t="s">
        <v>57</v>
      </c>
      <c r="P561" s="6">
        <v>50</v>
      </c>
      <c r="Q561" s="11">
        <v>3.8</v>
      </c>
      <c r="R561" s="7" t="b">
        <v>1</v>
      </c>
      <c r="S561" s="7" t="s">
        <v>30</v>
      </c>
      <c r="T561" s="6">
        <v>2407</v>
      </c>
      <c r="U561" s="7" t="s">
        <v>58</v>
      </c>
      <c r="V561" s="12" t="s">
        <v>39</v>
      </c>
      <c r="W561" s="7" t="s">
        <v>60</v>
      </c>
      <c r="X561" s="6">
        <f t="shared" si="35"/>
        <v>141</v>
      </c>
      <c r="Y561" t="str" cm="1">
        <f t="array" ref="Y561">_xlfn.IFS(E561=7.99,"BASIC",E561=11.99,"STANDARD",E561=15.99,"PREMIUM")</f>
        <v>STANDARD</v>
      </c>
      <c r="Z561" s="4">
        <f t="shared" si="33"/>
        <v>22.092198581560286</v>
      </c>
      <c r="AA561" s="3" t="str" cm="1">
        <f t="array" ref="AA561">_xlfn.IFS(
(F561/(X561/7)) &lt; 5, "Casual",
AND((F561/(X561/7)) &gt;= 5, (F561/(X561/7)) &lt; 15), "Regular",
(F561/(X561/7)) &gt;= 15, "Power"
)</f>
        <v>Power</v>
      </c>
      <c r="AB561" s="3">
        <f t="shared" si="36"/>
        <v>2.8343949044585988</v>
      </c>
      <c r="AC561" t="str">
        <f t="shared" si="34"/>
        <v>Viewers</v>
      </c>
    </row>
    <row r="562" spans="1:30" x14ac:dyDescent="0.3">
      <c r="A562" s="6">
        <v>8719</v>
      </c>
      <c r="B562" s="7" t="s">
        <v>126</v>
      </c>
      <c r="C562" s="10">
        <v>45187</v>
      </c>
      <c r="D562" s="10">
        <v>45622</v>
      </c>
      <c r="E562" s="13">
        <v>15.99</v>
      </c>
      <c r="F562" s="6">
        <v>345</v>
      </c>
      <c r="G562" s="7" t="s">
        <v>51</v>
      </c>
      <c r="H562" s="6">
        <v>4</v>
      </c>
      <c r="I562" s="6">
        <v>5</v>
      </c>
      <c r="J562" s="7" t="b">
        <v>0</v>
      </c>
      <c r="K562" s="6">
        <v>180</v>
      </c>
      <c r="L562" s="6">
        <v>99</v>
      </c>
      <c r="M562" s="7" t="s">
        <v>49</v>
      </c>
      <c r="N562" s="7" t="s">
        <v>75</v>
      </c>
      <c r="O562" s="7" t="s">
        <v>78</v>
      </c>
      <c r="P562" s="6">
        <v>73</v>
      </c>
      <c r="Q562" s="11">
        <v>4.7</v>
      </c>
      <c r="R562" s="7" t="b">
        <v>1</v>
      </c>
      <c r="S562" s="7" t="s">
        <v>30</v>
      </c>
      <c r="T562" s="6">
        <v>2636</v>
      </c>
      <c r="U562" s="7" t="s">
        <v>31</v>
      </c>
      <c r="V562" s="12" t="s">
        <v>59</v>
      </c>
      <c r="W562" s="7" t="s">
        <v>33</v>
      </c>
      <c r="X562" s="6">
        <f t="shared" si="35"/>
        <v>435</v>
      </c>
      <c r="Y562" t="str" cm="1">
        <f t="array" ref="Y562">_xlfn.IFS(E562=7.99,"BASIC",E562=11.99,"STANDARD",E562=15.99,"PREMIUM")</f>
        <v>PREMIUM</v>
      </c>
      <c r="Z562" s="4">
        <f t="shared" si="33"/>
        <v>5.5517241379310338</v>
      </c>
      <c r="AA562" s="3" t="str" cm="1">
        <f t="array" ref="AA562">_xlfn.IFS(
(F562/(X562/7)) &lt; 5, "Casual",
AND((F562/(X562/7)) &gt;= 5, (F562/(X562/7)) &lt; 15), "Regular",
(F562/(X562/7)) &gt;= 15, "Power"
)</f>
        <v>Regular</v>
      </c>
      <c r="AB562" s="3">
        <f t="shared" si="36"/>
        <v>1.2365591397849462</v>
      </c>
      <c r="AC562" t="str">
        <f t="shared" si="34"/>
        <v>Viewers</v>
      </c>
    </row>
    <row r="563" spans="1:30" x14ac:dyDescent="0.3">
      <c r="A563" s="6">
        <v>1282</v>
      </c>
      <c r="B563" s="7" t="s">
        <v>120</v>
      </c>
      <c r="C563" s="10">
        <f>_xlfn.XLOOKUP(A563,'Data Anomalies -Pls Read It'!A:A,'Data Anomalies -Pls Read It'!D:D,1,0)</f>
        <v>45623</v>
      </c>
      <c r="D563" s="10">
        <f>_xlfn.XLOOKUP(A563,'Data Anomalies -Pls Read It'!A:A,'Data Anomalies -Pls Read It'!C:C,1,0)</f>
        <v>45636</v>
      </c>
      <c r="E563" s="13">
        <v>15.99</v>
      </c>
      <c r="F563" s="6">
        <v>432</v>
      </c>
      <c r="G563" s="7" t="s">
        <v>63</v>
      </c>
      <c r="H563" s="6">
        <v>4</v>
      </c>
      <c r="I563" s="6">
        <v>3</v>
      </c>
      <c r="J563" s="7" t="b">
        <v>1</v>
      </c>
      <c r="K563" s="6">
        <v>666</v>
      </c>
      <c r="L563" s="6">
        <v>76</v>
      </c>
      <c r="M563" s="7" t="s">
        <v>68</v>
      </c>
      <c r="N563" s="7" t="s">
        <v>75</v>
      </c>
      <c r="O563" s="7" t="s">
        <v>78</v>
      </c>
      <c r="P563" s="6">
        <v>92</v>
      </c>
      <c r="Q563" s="11">
        <v>4.5999999999999996</v>
      </c>
      <c r="R563" s="7" t="b">
        <v>0</v>
      </c>
      <c r="S563" s="7" t="s">
        <v>30</v>
      </c>
      <c r="T563" s="6">
        <v>4020</v>
      </c>
      <c r="U563" s="7" t="s">
        <v>76</v>
      </c>
      <c r="V563" s="12" t="s">
        <v>69</v>
      </c>
      <c r="W563" s="7" t="s">
        <v>33</v>
      </c>
      <c r="X563" s="6">
        <f t="shared" si="35"/>
        <v>13</v>
      </c>
      <c r="Y563" t="str" cm="1">
        <f t="array" ref="Y563">_xlfn.IFS(E563=7.99,"BASIC",E563=11.99,"STANDARD",E563=15.99,"PREMIUM")</f>
        <v>PREMIUM</v>
      </c>
      <c r="Z563" s="4">
        <f t="shared" si="33"/>
        <v>232.61538461538461</v>
      </c>
      <c r="AA563" s="3" t="str" cm="1">
        <f t="array" ref="AA563">_xlfn.IFS(
(F563/(X563/7)) &lt; 5, "Casual",
AND((F563/(X563/7)) &gt;= 5, (F563/(X563/7)) &lt; 15), "Regular",
(F563/(X563/7)) &gt;= 15, "Power"
)</f>
        <v>Power</v>
      </c>
      <c r="AB563" s="3">
        <f t="shared" si="36"/>
        <v>0.58221024258760112</v>
      </c>
      <c r="AC563" t="str">
        <f t="shared" si="34"/>
        <v>Viewers</v>
      </c>
      <c r="AD563" t="s">
        <v>779</v>
      </c>
    </row>
    <row r="564" spans="1:30" x14ac:dyDescent="0.3">
      <c r="A564" s="6">
        <v>4538</v>
      </c>
      <c r="B564" s="7" t="s">
        <v>290</v>
      </c>
      <c r="C564" s="10">
        <v>45182</v>
      </c>
      <c r="D564" s="10">
        <v>45640</v>
      </c>
      <c r="E564" s="13">
        <v>15.99</v>
      </c>
      <c r="F564" s="6">
        <v>362</v>
      </c>
      <c r="G564" s="7" t="s">
        <v>36</v>
      </c>
      <c r="H564" s="6">
        <v>4</v>
      </c>
      <c r="I564" s="6">
        <v>1</v>
      </c>
      <c r="J564" s="7" t="b">
        <v>0</v>
      </c>
      <c r="K564" s="6">
        <v>709</v>
      </c>
      <c r="L564" s="6">
        <v>52</v>
      </c>
      <c r="M564" s="7" t="s">
        <v>27</v>
      </c>
      <c r="N564" s="7" t="s">
        <v>56</v>
      </c>
      <c r="O564" s="7" t="s">
        <v>57</v>
      </c>
      <c r="P564" s="6">
        <v>80</v>
      </c>
      <c r="Q564" s="11">
        <v>4.5</v>
      </c>
      <c r="R564" s="7" t="b">
        <v>1</v>
      </c>
      <c r="S564" s="7" t="s">
        <v>30</v>
      </c>
      <c r="T564" s="6">
        <v>4127</v>
      </c>
      <c r="U564" s="7" t="s">
        <v>58</v>
      </c>
      <c r="V564" s="12" t="s">
        <v>79</v>
      </c>
      <c r="W564" s="7" t="s">
        <v>33</v>
      </c>
      <c r="X564" s="6">
        <f t="shared" si="35"/>
        <v>458</v>
      </c>
      <c r="Y564" t="str" cm="1">
        <f t="array" ref="Y564">_xlfn.IFS(E564=7.99,"BASIC",E564=11.99,"STANDARD",E564=15.99,"PREMIUM")</f>
        <v>PREMIUM</v>
      </c>
      <c r="Z564" s="4">
        <f t="shared" si="33"/>
        <v>5.5327510917030569</v>
      </c>
      <c r="AA564" s="3" t="str" cm="1">
        <f t="array" ref="AA564">_xlfn.IFS(
(F564/(X564/7)) &lt; 5, "Casual",
AND((F564/(X564/7)) &gt;= 5, (F564/(X564/7)) &lt; 15), "Regular",
(F564/(X564/7)) &gt;= 15, "Power"
)</f>
        <v>Regular</v>
      </c>
      <c r="AB564" s="3">
        <f t="shared" si="36"/>
        <v>0.47568988173455978</v>
      </c>
      <c r="AC564" t="str">
        <f t="shared" si="34"/>
        <v>Viewers</v>
      </c>
    </row>
    <row r="565" spans="1:30" x14ac:dyDescent="0.3">
      <c r="A565" s="6">
        <v>9538</v>
      </c>
      <c r="B565" s="7" t="s">
        <v>280</v>
      </c>
      <c r="C565" s="10">
        <v>44951</v>
      </c>
      <c r="D565" s="10">
        <v>45626</v>
      </c>
      <c r="E565" s="13">
        <v>15.99</v>
      </c>
      <c r="F565" s="6">
        <v>174</v>
      </c>
      <c r="G565" s="7" t="s">
        <v>36</v>
      </c>
      <c r="H565" s="6">
        <v>4</v>
      </c>
      <c r="I565" s="6">
        <v>3</v>
      </c>
      <c r="J565" s="7" t="b">
        <v>0</v>
      </c>
      <c r="K565" s="6">
        <v>30</v>
      </c>
      <c r="L565" s="6">
        <v>136</v>
      </c>
      <c r="M565" s="7" t="s">
        <v>27</v>
      </c>
      <c r="N565" s="7" t="s">
        <v>75</v>
      </c>
      <c r="O565" s="7" t="s">
        <v>45</v>
      </c>
      <c r="P565" s="6">
        <v>4</v>
      </c>
      <c r="Q565" s="11">
        <v>3.1</v>
      </c>
      <c r="R565" s="7" t="b">
        <v>1</v>
      </c>
      <c r="S565" s="7" t="s">
        <v>30</v>
      </c>
      <c r="T565" s="6">
        <v>4503</v>
      </c>
      <c r="U565" s="7" t="s">
        <v>31</v>
      </c>
      <c r="V565" s="12" t="s">
        <v>32</v>
      </c>
      <c r="W565" s="7" t="s">
        <v>60</v>
      </c>
      <c r="X565" s="6">
        <f t="shared" si="35"/>
        <v>675</v>
      </c>
      <c r="Y565" t="str" cm="1">
        <f t="array" ref="Y565">_xlfn.IFS(E565=7.99,"BASIC",E565=11.99,"STANDARD",E565=15.99,"PREMIUM")</f>
        <v>PREMIUM</v>
      </c>
      <c r="Z565" s="4">
        <f t="shared" si="33"/>
        <v>1.8044444444444445</v>
      </c>
      <c r="AA565" s="3" t="str" cm="1">
        <f t="array" ref="AA565">_xlfn.IFS(
(F565/(X565/7)) &lt; 5, "Casual",
AND((F565/(X565/7)) &gt;= 5, (F565/(X565/7)) &lt; 15), "Regular",
(F565/(X565/7)) &gt;= 15, "Power"
)</f>
        <v>Casual</v>
      </c>
      <c r="AB565" s="3">
        <f t="shared" si="36"/>
        <v>1.0481927710843373</v>
      </c>
      <c r="AC565" t="str">
        <f t="shared" si="34"/>
        <v>Viewers</v>
      </c>
    </row>
    <row r="566" spans="1:30" x14ac:dyDescent="0.3">
      <c r="A566" s="6">
        <v>5109</v>
      </c>
      <c r="B566" s="7" t="s">
        <v>179</v>
      </c>
      <c r="C566" s="10">
        <v>45406</v>
      </c>
      <c r="D566" s="10">
        <v>45639</v>
      </c>
      <c r="E566" s="13">
        <v>11.99</v>
      </c>
      <c r="F566" s="6">
        <v>490</v>
      </c>
      <c r="G566" s="7" t="s">
        <v>51</v>
      </c>
      <c r="H566" s="6">
        <v>4</v>
      </c>
      <c r="I566" s="6">
        <v>3</v>
      </c>
      <c r="J566" s="7" t="b">
        <v>0</v>
      </c>
      <c r="K566" s="6">
        <v>466</v>
      </c>
      <c r="L566" s="6">
        <v>106</v>
      </c>
      <c r="M566" s="7" t="s">
        <v>74</v>
      </c>
      <c r="N566" s="7" t="s">
        <v>56</v>
      </c>
      <c r="O566" s="7" t="s">
        <v>78</v>
      </c>
      <c r="P566" s="6">
        <v>91</v>
      </c>
      <c r="Q566" s="11">
        <v>3.7</v>
      </c>
      <c r="R566" s="7" t="b">
        <v>0</v>
      </c>
      <c r="S566" s="7" t="s">
        <v>30</v>
      </c>
      <c r="T566" s="6">
        <v>1080</v>
      </c>
      <c r="U566" s="7" t="s">
        <v>38</v>
      </c>
      <c r="V566" s="12" t="s">
        <v>59</v>
      </c>
      <c r="W566" s="7" t="s">
        <v>93</v>
      </c>
      <c r="X566" s="6">
        <f t="shared" si="35"/>
        <v>233</v>
      </c>
      <c r="Y566" t="str" cm="1">
        <f t="array" ref="Y566">_xlfn.IFS(E566=7.99,"BASIC",E566=11.99,"STANDARD",E566=15.99,"PREMIUM")</f>
        <v>STANDARD</v>
      </c>
      <c r="Z566" s="4">
        <f t="shared" si="33"/>
        <v>14.721030042918455</v>
      </c>
      <c r="AA566" s="3" t="str" cm="1">
        <f t="array" ref="AA566">_xlfn.IFS(
(F566/(X566/7)) &lt; 5, "Casual",
AND((F566/(X566/7)) &gt;= 5, (F566/(X566/7)) &lt; 15), "Regular",
(F566/(X566/7)) &gt;= 15, "Power"
)</f>
        <v>Regular</v>
      </c>
      <c r="AB566" s="3">
        <f t="shared" si="36"/>
        <v>0.85664335664335667</v>
      </c>
      <c r="AC566" t="str">
        <f t="shared" si="34"/>
        <v>Viewers</v>
      </c>
    </row>
    <row r="567" spans="1:30" x14ac:dyDescent="0.3">
      <c r="A567" s="6">
        <v>7947</v>
      </c>
      <c r="B567" s="7" t="s">
        <v>572</v>
      </c>
      <c r="C567" s="10">
        <v>45241</v>
      </c>
      <c r="D567" s="10">
        <v>45643</v>
      </c>
      <c r="E567" s="13">
        <v>15.99</v>
      </c>
      <c r="F567" s="6">
        <v>32</v>
      </c>
      <c r="G567" s="7" t="s">
        <v>73</v>
      </c>
      <c r="H567" s="6">
        <v>3</v>
      </c>
      <c r="I567" s="6">
        <v>4</v>
      </c>
      <c r="J567" s="7" t="b">
        <v>0</v>
      </c>
      <c r="K567" s="6">
        <v>385</v>
      </c>
      <c r="L567" s="6">
        <v>106</v>
      </c>
      <c r="M567" s="7" t="s">
        <v>49</v>
      </c>
      <c r="N567" s="7" t="s">
        <v>56</v>
      </c>
      <c r="O567" s="7" t="s">
        <v>57</v>
      </c>
      <c r="P567" s="6">
        <v>75</v>
      </c>
      <c r="Q567" s="11">
        <v>3.7</v>
      </c>
      <c r="R567" s="7" t="b">
        <v>0</v>
      </c>
      <c r="S567" s="7" t="s">
        <v>30</v>
      </c>
      <c r="T567" s="6">
        <v>1610</v>
      </c>
      <c r="U567" s="7" t="s">
        <v>65</v>
      </c>
      <c r="V567" s="12" t="s">
        <v>32</v>
      </c>
      <c r="W567" s="7" t="s">
        <v>33</v>
      </c>
      <c r="X567" s="6">
        <f t="shared" si="35"/>
        <v>402</v>
      </c>
      <c r="Y567" t="str" cm="1">
        <f t="array" ref="Y567">_xlfn.IFS(E567=7.99,"BASIC",E567=11.99,"STANDARD",E567=15.99,"PREMIUM")</f>
        <v>PREMIUM</v>
      </c>
      <c r="Z567" s="4">
        <f t="shared" si="33"/>
        <v>0.55721393034825872</v>
      </c>
      <c r="AA567" s="3" t="str" cm="1">
        <f t="array" ref="AA567">_xlfn.IFS(
(F567/(X567/7)) &lt; 5, "Casual",
AND((F567/(X567/7)) &gt;= 5, (F567/(X567/7)) &lt; 15), "Regular",
(F567/(X567/7)) &gt;= 15, "Power"
)</f>
        <v>Casual</v>
      </c>
      <c r="AB567" s="3">
        <f t="shared" si="36"/>
        <v>6.5173116089613028E-2</v>
      </c>
      <c r="AC567" t="str">
        <f t="shared" si="34"/>
        <v xml:space="preserve"> Browsers</v>
      </c>
    </row>
    <row r="568" spans="1:30" x14ac:dyDescent="0.3">
      <c r="A568" s="6">
        <v>7546</v>
      </c>
      <c r="B568" s="7" t="s">
        <v>147</v>
      </c>
      <c r="C568" s="10">
        <v>45589</v>
      </c>
      <c r="D568" s="10">
        <v>45636</v>
      </c>
      <c r="E568" s="13">
        <v>7.99</v>
      </c>
      <c r="F568" s="6">
        <v>48</v>
      </c>
      <c r="G568" s="7" t="s">
        <v>48</v>
      </c>
      <c r="H568" s="6">
        <v>1</v>
      </c>
      <c r="I568" s="6">
        <v>4</v>
      </c>
      <c r="J568" s="7" t="b">
        <v>0</v>
      </c>
      <c r="K568" s="6">
        <v>484</v>
      </c>
      <c r="L568" s="6">
        <v>131</v>
      </c>
      <c r="M568" s="7" t="s">
        <v>55</v>
      </c>
      <c r="N568" s="7" t="s">
        <v>75</v>
      </c>
      <c r="O568" s="7" t="s">
        <v>64</v>
      </c>
      <c r="P568" s="6">
        <v>68</v>
      </c>
      <c r="Q568" s="11">
        <v>4</v>
      </c>
      <c r="R568" s="7" t="b">
        <v>0</v>
      </c>
      <c r="S568" s="7" t="s">
        <v>30</v>
      </c>
      <c r="T568" s="6">
        <v>1535</v>
      </c>
      <c r="U568" s="7" t="s">
        <v>58</v>
      </c>
      <c r="V568" s="12" t="s">
        <v>59</v>
      </c>
      <c r="W568" s="7" t="s">
        <v>93</v>
      </c>
      <c r="X568" s="6">
        <f t="shared" si="35"/>
        <v>47</v>
      </c>
      <c r="Y568" t="str" cm="1">
        <f t="array" ref="Y568">_xlfn.IFS(E568=7.99,"BASIC",E568=11.99,"STANDARD",E568=15.99,"PREMIUM")</f>
        <v>BASIC</v>
      </c>
      <c r="Z568" s="4">
        <f t="shared" si="33"/>
        <v>7.1489361702127656</v>
      </c>
      <c r="AA568" s="3" t="str" cm="1">
        <f t="array" ref="AA568">_xlfn.IFS(
(F568/(X568/7)) &lt; 5, "Casual",
AND((F568/(X568/7)) &gt;= 5, (F568/(X568/7)) &lt; 15), "Regular",
(F568/(X568/7)) &gt;= 15, "Power"
)</f>
        <v>Regular</v>
      </c>
      <c r="AB568" s="3">
        <f t="shared" si="36"/>
        <v>7.8048780487804878E-2</v>
      </c>
      <c r="AC568" t="str">
        <f t="shared" si="34"/>
        <v xml:space="preserve"> Browsers</v>
      </c>
    </row>
    <row r="569" spans="1:30" x14ac:dyDescent="0.3">
      <c r="A569" s="6">
        <v>4213</v>
      </c>
      <c r="B569" s="7" t="s">
        <v>574</v>
      </c>
      <c r="C569" s="10">
        <v>45268</v>
      </c>
      <c r="D569" s="10">
        <v>45619</v>
      </c>
      <c r="E569" s="13">
        <v>7.99</v>
      </c>
      <c r="F569" s="6">
        <v>141</v>
      </c>
      <c r="G569" s="7" t="s">
        <v>26</v>
      </c>
      <c r="H569" s="6">
        <v>4</v>
      </c>
      <c r="I569" s="6">
        <v>2</v>
      </c>
      <c r="J569" s="7" t="b">
        <v>1</v>
      </c>
      <c r="K569" s="6">
        <v>379</v>
      </c>
      <c r="L569" s="6">
        <v>35</v>
      </c>
      <c r="M569" s="7" t="s">
        <v>43</v>
      </c>
      <c r="N569" s="7" t="s">
        <v>75</v>
      </c>
      <c r="O569" s="7" t="s">
        <v>29</v>
      </c>
      <c r="P569" s="6">
        <v>29</v>
      </c>
      <c r="Q569" s="11">
        <v>4.9000000000000004</v>
      </c>
      <c r="R569" s="7" t="b">
        <v>1</v>
      </c>
      <c r="S569" s="7" t="s">
        <v>30</v>
      </c>
      <c r="T569" s="6">
        <v>3840</v>
      </c>
      <c r="U569" s="7" t="s">
        <v>76</v>
      </c>
      <c r="V569" s="12" t="s">
        <v>69</v>
      </c>
      <c r="W569" s="7" t="s">
        <v>33</v>
      </c>
      <c r="X569" s="6">
        <f t="shared" si="35"/>
        <v>351</v>
      </c>
      <c r="Y569" t="str" cm="1">
        <f t="array" ref="Y569">_xlfn.IFS(E569=7.99,"BASIC",E569=11.99,"STANDARD",E569=15.99,"PREMIUM")</f>
        <v>BASIC</v>
      </c>
      <c r="Z569" s="4">
        <f t="shared" si="33"/>
        <v>2.8119658119658117</v>
      </c>
      <c r="AA569" s="3" t="str" cm="1">
        <f t="array" ref="AA569">_xlfn.IFS(
(F569/(X569/7)) &lt; 5, "Casual",
AND((F569/(X569/7)) &gt;= 5, (F569/(X569/7)) &lt; 15), "Regular",
(F569/(X569/7)) &gt;= 15, "Power"
)</f>
        <v>Casual</v>
      </c>
      <c r="AB569" s="3">
        <f t="shared" si="36"/>
        <v>0.34057971014492755</v>
      </c>
      <c r="AC569" t="str">
        <f t="shared" si="34"/>
        <v>Viewers</v>
      </c>
    </row>
    <row r="570" spans="1:30" x14ac:dyDescent="0.3">
      <c r="A570" s="6">
        <v>3135</v>
      </c>
      <c r="B570" s="7" t="s">
        <v>325</v>
      </c>
      <c r="C570" s="10">
        <v>45450</v>
      </c>
      <c r="D570" s="10">
        <v>45620</v>
      </c>
      <c r="E570" s="13">
        <v>7.99</v>
      </c>
      <c r="F570" s="6">
        <v>368</v>
      </c>
      <c r="G570" s="7" t="s">
        <v>63</v>
      </c>
      <c r="H570" s="6">
        <v>5</v>
      </c>
      <c r="I570" s="6">
        <v>1</v>
      </c>
      <c r="J570" s="7" t="b">
        <v>0</v>
      </c>
      <c r="K570" s="6">
        <v>481</v>
      </c>
      <c r="L570" s="6">
        <v>58</v>
      </c>
      <c r="M570" s="7" t="s">
        <v>92</v>
      </c>
      <c r="N570" s="7" t="s">
        <v>75</v>
      </c>
      <c r="O570" s="7" t="s">
        <v>37</v>
      </c>
      <c r="P570" s="6">
        <v>97</v>
      </c>
      <c r="Q570" s="11">
        <v>4</v>
      </c>
      <c r="R570" s="7" t="b">
        <v>0</v>
      </c>
      <c r="S570" s="7" t="s">
        <v>30</v>
      </c>
      <c r="T570" s="6">
        <v>1108</v>
      </c>
      <c r="U570" s="7" t="s">
        <v>38</v>
      </c>
      <c r="V570" s="12" t="s">
        <v>39</v>
      </c>
      <c r="W570" s="7" t="s">
        <v>40</v>
      </c>
      <c r="X570" s="6">
        <f t="shared" si="35"/>
        <v>170</v>
      </c>
      <c r="Y570" t="str" cm="1">
        <f t="array" ref="Y570">_xlfn.IFS(E570=7.99,"BASIC",E570=11.99,"STANDARD",E570=15.99,"PREMIUM")</f>
        <v>BASIC</v>
      </c>
      <c r="Z570" s="4">
        <f t="shared" si="33"/>
        <v>15.152941176470589</v>
      </c>
      <c r="AA570" s="3" t="str" cm="1">
        <f t="array" ref="AA570">_xlfn.IFS(
(F570/(X570/7)) &lt; 5, "Casual",
AND((F570/(X570/7)) &gt;= 5, (F570/(X570/7)) &lt; 15), "Regular",
(F570/(X570/7)) &gt;= 15, "Power"
)</f>
        <v>Power</v>
      </c>
      <c r="AB570" s="3">
        <f t="shared" si="36"/>
        <v>0.68274582560296848</v>
      </c>
      <c r="AC570" t="str">
        <f t="shared" si="34"/>
        <v>Viewers</v>
      </c>
    </row>
    <row r="571" spans="1:30" x14ac:dyDescent="0.3">
      <c r="A571" s="6">
        <v>9916</v>
      </c>
      <c r="B571" s="7" t="s">
        <v>531</v>
      </c>
      <c r="C571" s="10">
        <v>45350</v>
      </c>
      <c r="D571" s="10">
        <v>45617</v>
      </c>
      <c r="E571" s="13">
        <v>7.99</v>
      </c>
      <c r="F571" s="6">
        <v>227</v>
      </c>
      <c r="G571" s="7" t="s">
        <v>73</v>
      </c>
      <c r="H571" s="6">
        <v>5</v>
      </c>
      <c r="I571" s="6">
        <v>2</v>
      </c>
      <c r="J571" s="7" t="b">
        <v>1</v>
      </c>
      <c r="K571" s="6">
        <v>969</v>
      </c>
      <c r="L571" s="6">
        <v>175</v>
      </c>
      <c r="M571" s="7" t="s">
        <v>49</v>
      </c>
      <c r="N571" s="7" t="s">
        <v>56</v>
      </c>
      <c r="O571" s="7" t="s">
        <v>57</v>
      </c>
      <c r="P571" s="6">
        <v>11</v>
      </c>
      <c r="Q571" s="11">
        <v>5</v>
      </c>
      <c r="R571" s="7" t="b">
        <v>0</v>
      </c>
      <c r="S571" s="7" t="s">
        <v>30</v>
      </c>
      <c r="T571" s="6">
        <v>4510</v>
      </c>
      <c r="U571" s="7" t="s">
        <v>58</v>
      </c>
      <c r="V571" s="12" t="s">
        <v>32</v>
      </c>
      <c r="W571" s="7" t="s">
        <v>40</v>
      </c>
      <c r="X571" s="6">
        <f t="shared" si="35"/>
        <v>267</v>
      </c>
      <c r="Y571" t="str" cm="1">
        <f t="array" ref="Y571">_xlfn.IFS(E571=7.99,"BASIC",E571=11.99,"STANDARD",E571=15.99,"PREMIUM")</f>
        <v>BASIC</v>
      </c>
      <c r="Z571" s="4">
        <f t="shared" si="33"/>
        <v>5.9513108614232202</v>
      </c>
      <c r="AA571" s="3" t="str" cm="1">
        <f t="array" ref="AA571">_xlfn.IFS(
(F571/(X571/7)) &lt; 5, "Casual",
AND((F571/(X571/7)) &gt;= 5, (F571/(X571/7)) &lt; 15), "Regular",
(F571/(X571/7)) &gt;= 15, "Power"
)</f>
        <v>Regular</v>
      </c>
      <c r="AB571" s="3">
        <f t="shared" si="36"/>
        <v>0.19842657342657344</v>
      </c>
      <c r="AC571" t="str">
        <f t="shared" si="34"/>
        <v>Viewers</v>
      </c>
    </row>
    <row r="572" spans="1:30" x14ac:dyDescent="0.3">
      <c r="A572" s="6">
        <v>2784</v>
      </c>
      <c r="B572" s="7" t="s">
        <v>138</v>
      </c>
      <c r="C572" s="10">
        <v>45250</v>
      </c>
      <c r="D572" s="10">
        <v>45639</v>
      </c>
      <c r="E572" s="13">
        <v>7.99</v>
      </c>
      <c r="F572" s="6">
        <v>484</v>
      </c>
      <c r="G572" s="7" t="s">
        <v>51</v>
      </c>
      <c r="H572" s="6">
        <v>5</v>
      </c>
      <c r="I572" s="6">
        <v>2</v>
      </c>
      <c r="J572" s="7" t="b">
        <v>1</v>
      </c>
      <c r="K572" s="6">
        <v>52</v>
      </c>
      <c r="L572" s="6">
        <v>151</v>
      </c>
      <c r="M572" s="7" t="s">
        <v>92</v>
      </c>
      <c r="N572" s="7" t="s">
        <v>28</v>
      </c>
      <c r="O572" s="7" t="s">
        <v>78</v>
      </c>
      <c r="P572" s="6">
        <v>15</v>
      </c>
      <c r="Q572" s="11">
        <v>3.1</v>
      </c>
      <c r="R572" s="7" t="b">
        <v>0</v>
      </c>
      <c r="S572" s="7" t="s">
        <v>30</v>
      </c>
      <c r="T572" s="6">
        <v>1042</v>
      </c>
      <c r="U572" s="7" t="s">
        <v>76</v>
      </c>
      <c r="V572" s="12" t="s">
        <v>59</v>
      </c>
      <c r="W572" s="7" t="s">
        <v>33</v>
      </c>
      <c r="X572" s="6">
        <f t="shared" si="35"/>
        <v>389</v>
      </c>
      <c r="Y572" t="str" cm="1">
        <f t="array" ref="Y572">_xlfn.IFS(E572=7.99,"BASIC",E572=11.99,"STANDARD",E572=15.99,"PREMIUM")</f>
        <v>BASIC</v>
      </c>
      <c r="Z572" s="4">
        <f t="shared" si="33"/>
        <v>8.7095115681233928</v>
      </c>
      <c r="AA572" s="3" t="str" cm="1">
        <f t="array" ref="AA572">_xlfn.IFS(
(F572/(X572/7)) &lt; 5, "Casual",
AND((F572/(X572/7)) &gt;= 5, (F572/(X572/7)) &lt; 15), "Regular",
(F572/(X572/7)) &gt;= 15, "Power"
)</f>
        <v>Regular</v>
      </c>
      <c r="AB572" s="3">
        <f t="shared" si="36"/>
        <v>2.3842364532019706</v>
      </c>
      <c r="AC572" t="str">
        <f t="shared" si="34"/>
        <v>Viewers</v>
      </c>
    </row>
    <row r="573" spans="1:30" x14ac:dyDescent="0.3">
      <c r="A573" s="6">
        <v>5916</v>
      </c>
      <c r="B573" s="7" t="s">
        <v>148</v>
      </c>
      <c r="C573" s="10">
        <v>45553</v>
      </c>
      <c r="D573" s="10">
        <v>45635</v>
      </c>
      <c r="E573" s="13">
        <v>15.99</v>
      </c>
      <c r="F573" s="6">
        <v>14</v>
      </c>
      <c r="G573" s="7" t="s">
        <v>36</v>
      </c>
      <c r="H573" s="6">
        <v>4</v>
      </c>
      <c r="I573" s="6">
        <v>2</v>
      </c>
      <c r="J573" s="7" t="b">
        <v>1</v>
      </c>
      <c r="K573" s="6">
        <v>57</v>
      </c>
      <c r="L573" s="6">
        <v>175</v>
      </c>
      <c r="M573" s="7" t="s">
        <v>74</v>
      </c>
      <c r="N573" s="7" t="s">
        <v>44</v>
      </c>
      <c r="O573" s="7" t="s">
        <v>78</v>
      </c>
      <c r="P573" s="6">
        <v>41</v>
      </c>
      <c r="Q573" s="11">
        <v>3.4</v>
      </c>
      <c r="R573" s="7" t="b">
        <v>1</v>
      </c>
      <c r="S573" s="7" t="s">
        <v>30</v>
      </c>
      <c r="T573" s="6">
        <v>2175</v>
      </c>
      <c r="U573" s="7" t="s">
        <v>65</v>
      </c>
      <c r="V573" s="12" t="s">
        <v>59</v>
      </c>
      <c r="W573" s="7" t="s">
        <v>40</v>
      </c>
      <c r="X573" s="6">
        <f t="shared" si="35"/>
        <v>82</v>
      </c>
      <c r="Y573" t="str" cm="1">
        <f t="array" ref="Y573">_xlfn.IFS(E573=7.99,"BASIC",E573=11.99,"STANDARD",E573=15.99,"PREMIUM")</f>
        <v>PREMIUM</v>
      </c>
      <c r="Z573" s="4">
        <f t="shared" si="33"/>
        <v>1.1951219512195124</v>
      </c>
      <c r="AA573" s="3" t="str" cm="1">
        <f t="array" ref="AA573">_xlfn.IFS(
(F573/(X573/7)) &lt; 5, "Casual",
AND((F573/(X573/7)) &gt;= 5, (F573/(X573/7)) &lt; 15), "Regular",
(F573/(X573/7)) &gt;= 15, "Power"
)</f>
        <v>Casual</v>
      </c>
      <c r="AB573" s="3">
        <f t="shared" si="36"/>
        <v>6.0344827586206899E-2</v>
      </c>
      <c r="AC573" t="str">
        <f t="shared" si="34"/>
        <v xml:space="preserve"> Browsers</v>
      </c>
    </row>
    <row r="574" spans="1:30" x14ac:dyDescent="0.3">
      <c r="A574" s="6">
        <v>1674</v>
      </c>
      <c r="B574" s="7" t="s">
        <v>177</v>
      </c>
      <c r="C574" s="10">
        <v>45488</v>
      </c>
      <c r="D574" s="10">
        <v>45641</v>
      </c>
      <c r="E574" s="13">
        <v>11.99</v>
      </c>
      <c r="F574" s="6">
        <v>328</v>
      </c>
      <c r="G574" s="7" t="s">
        <v>73</v>
      </c>
      <c r="H574" s="6">
        <v>2</v>
      </c>
      <c r="I574" s="6">
        <v>2</v>
      </c>
      <c r="J574" s="7" t="b">
        <v>1</v>
      </c>
      <c r="K574" s="6">
        <v>415</v>
      </c>
      <c r="L574" s="6">
        <v>162</v>
      </c>
      <c r="M574" s="7" t="s">
        <v>49</v>
      </c>
      <c r="N574" s="7" t="s">
        <v>28</v>
      </c>
      <c r="O574" s="7" t="s">
        <v>78</v>
      </c>
      <c r="P574" s="6">
        <v>19</v>
      </c>
      <c r="Q574" s="11">
        <v>4.4000000000000004</v>
      </c>
      <c r="R574" s="7" t="b">
        <v>1</v>
      </c>
      <c r="S574" s="7" t="s">
        <v>30</v>
      </c>
      <c r="T574" s="6">
        <v>1311</v>
      </c>
      <c r="U574" s="7" t="s">
        <v>31</v>
      </c>
      <c r="V574" s="12" t="s">
        <v>32</v>
      </c>
      <c r="W574" s="7" t="s">
        <v>60</v>
      </c>
      <c r="X574" s="6">
        <f t="shared" si="35"/>
        <v>153</v>
      </c>
      <c r="Y574" t="str" cm="1">
        <f t="array" ref="Y574">_xlfn.IFS(E574=7.99,"BASIC",E574=11.99,"STANDARD",E574=15.99,"PREMIUM")</f>
        <v>STANDARD</v>
      </c>
      <c r="Z574" s="4">
        <f t="shared" si="33"/>
        <v>15.006535947712418</v>
      </c>
      <c r="AA574" s="3" t="str" cm="1">
        <f t="array" ref="AA574">_xlfn.IFS(
(F574/(X574/7)) &lt; 5, "Casual",
AND((F574/(X574/7)) &gt;= 5, (F574/(X574/7)) &lt; 15), "Regular",
(F574/(X574/7)) &gt;= 15, "Power"
)</f>
        <v>Power</v>
      </c>
      <c r="AB574" s="3">
        <f t="shared" si="36"/>
        <v>0.56845753899480067</v>
      </c>
      <c r="AC574" t="str">
        <f t="shared" si="34"/>
        <v>Viewers</v>
      </c>
    </row>
    <row r="575" spans="1:30" x14ac:dyDescent="0.3">
      <c r="A575" s="6">
        <v>2095</v>
      </c>
      <c r="B575" s="7" t="s">
        <v>357</v>
      </c>
      <c r="C575" s="10">
        <v>45517</v>
      </c>
      <c r="D575" s="10">
        <v>45625</v>
      </c>
      <c r="E575" s="13">
        <v>11.99</v>
      </c>
      <c r="F575" s="6">
        <v>279</v>
      </c>
      <c r="G575" s="7" t="s">
        <v>100</v>
      </c>
      <c r="H575" s="6">
        <v>5</v>
      </c>
      <c r="I575" s="6">
        <v>5</v>
      </c>
      <c r="J575" s="7" t="b">
        <v>1</v>
      </c>
      <c r="K575" s="6">
        <v>285</v>
      </c>
      <c r="L575" s="6">
        <v>92</v>
      </c>
      <c r="M575" s="7" t="s">
        <v>43</v>
      </c>
      <c r="N575" s="7" t="s">
        <v>75</v>
      </c>
      <c r="O575" s="7" t="s">
        <v>45</v>
      </c>
      <c r="P575" s="6">
        <v>81</v>
      </c>
      <c r="Q575" s="11">
        <v>4.7</v>
      </c>
      <c r="R575" s="7" t="b">
        <v>1</v>
      </c>
      <c r="S575" s="7" t="s">
        <v>30</v>
      </c>
      <c r="T575" s="6">
        <v>4201</v>
      </c>
      <c r="U575" s="7" t="s">
        <v>65</v>
      </c>
      <c r="V575" s="12" t="s">
        <v>79</v>
      </c>
      <c r="W575" s="7" t="s">
        <v>33</v>
      </c>
      <c r="X575" s="6">
        <f t="shared" si="35"/>
        <v>108</v>
      </c>
      <c r="Y575" t="str" cm="1">
        <f t="array" ref="Y575">_xlfn.IFS(E575=7.99,"BASIC",E575=11.99,"STANDARD",E575=15.99,"PREMIUM")</f>
        <v>STANDARD</v>
      </c>
      <c r="Z575" s="4">
        <f t="shared" si="33"/>
        <v>18.083333333333332</v>
      </c>
      <c r="AA575" s="3" t="str" cm="1">
        <f t="array" ref="AA575">_xlfn.IFS(
(F575/(X575/7)) &lt; 5, "Casual",
AND((F575/(X575/7)) &gt;= 5, (F575/(X575/7)) &lt; 15), "Regular",
(F575/(X575/7)) &gt;= 15, "Power"
)</f>
        <v>Power</v>
      </c>
      <c r="AB575" s="3">
        <f t="shared" si="36"/>
        <v>0.74005305039787794</v>
      </c>
      <c r="AC575" t="str">
        <f t="shared" si="34"/>
        <v>Viewers</v>
      </c>
    </row>
    <row r="576" spans="1:30" x14ac:dyDescent="0.3">
      <c r="A576" s="6">
        <v>9594</v>
      </c>
      <c r="B576" s="7" t="s">
        <v>138</v>
      </c>
      <c r="C576" s="10">
        <v>45583</v>
      </c>
      <c r="D576" s="10">
        <v>45629</v>
      </c>
      <c r="E576" s="13">
        <v>7.99</v>
      </c>
      <c r="F576" s="6">
        <v>158</v>
      </c>
      <c r="G576" s="7" t="s">
        <v>26</v>
      </c>
      <c r="H576" s="6">
        <v>2</v>
      </c>
      <c r="I576" s="6">
        <v>5</v>
      </c>
      <c r="J576" s="7" t="b">
        <v>1</v>
      </c>
      <c r="K576" s="6">
        <v>861</v>
      </c>
      <c r="L576" s="6">
        <v>125</v>
      </c>
      <c r="M576" s="7" t="s">
        <v>92</v>
      </c>
      <c r="N576" s="7" t="s">
        <v>56</v>
      </c>
      <c r="O576" s="7" t="s">
        <v>64</v>
      </c>
      <c r="P576" s="6">
        <v>95</v>
      </c>
      <c r="Q576" s="11">
        <v>4.4000000000000004</v>
      </c>
      <c r="R576" s="7" t="b">
        <v>1</v>
      </c>
      <c r="S576" s="7" t="s">
        <v>30</v>
      </c>
      <c r="T576" s="6">
        <v>513</v>
      </c>
      <c r="U576" s="7" t="s">
        <v>65</v>
      </c>
      <c r="V576" s="12" t="s">
        <v>59</v>
      </c>
      <c r="W576" s="7" t="s">
        <v>33</v>
      </c>
      <c r="X576" s="6">
        <f t="shared" si="35"/>
        <v>46</v>
      </c>
      <c r="Y576" t="str" cm="1">
        <f t="array" ref="Y576">_xlfn.IFS(E576=7.99,"BASIC",E576=11.99,"STANDARD",E576=15.99,"PREMIUM")</f>
        <v>BASIC</v>
      </c>
      <c r="Z576" s="4">
        <f t="shared" si="33"/>
        <v>24.043478260869566</v>
      </c>
      <c r="AA576" s="3" t="str" cm="1">
        <f t="array" ref="AA576">_xlfn.IFS(
(F576/(X576/7)) &lt; 5, "Casual",
AND((F576/(X576/7)) &gt;= 5, (F576/(X576/7)) &lt; 15), "Regular",
(F576/(X576/7)) &gt;= 15, "Power"
)</f>
        <v>Power</v>
      </c>
      <c r="AB576" s="3">
        <f t="shared" si="36"/>
        <v>0.16024340770791076</v>
      </c>
      <c r="AC576" t="str">
        <f t="shared" si="34"/>
        <v>Viewers</v>
      </c>
    </row>
    <row r="577" spans="1:29" x14ac:dyDescent="0.3">
      <c r="A577" s="6">
        <v>6750</v>
      </c>
      <c r="B577" s="7" t="s">
        <v>23</v>
      </c>
      <c r="C577" s="10">
        <v>45135</v>
      </c>
      <c r="D577" s="10">
        <v>45628</v>
      </c>
      <c r="E577" s="13">
        <v>7.99</v>
      </c>
      <c r="F577" s="6">
        <v>422</v>
      </c>
      <c r="G577" s="7" t="s">
        <v>48</v>
      </c>
      <c r="H577" s="6">
        <v>3</v>
      </c>
      <c r="I577" s="6">
        <v>5</v>
      </c>
      <c r="J577" s="7" t="b">
        <v>0</v>
      </c>
      <c r="K577" s="6">
        <v>399</v>
      </c>
      <c r="L577" s="6">
        <v>27</v>
      </c>
      <c r="M577" s="7" t="s">
        <v>92</v>
      </c>
      <c r="N577" s="7" t="s">
        <v>56</v>
      </c>
      <c r="O577" s="7" t="s">
        <v>64</v>
      </c>
      <c r="P577" s="6">
        <v>12</v>
      </c>
      <c r="Q577" s="11">
        <v>4.4000000000000004</v>
      </c>
      <c r="R577" s="7" t="b">
        <v>1</v>
      </c>
      <c r="S577" s="7" t="s">
        <v>30</v>
      </c>
      <c r="T577" s="6">
        <v>1330</v>
      </c>
      <c r="U577" s="7" t="s">
        <v>31</v>
      </c>
      <c r="V577" s="12" t="s">
        <v>59</v>
      </c>
      <c r="W577" s="7" t="s">
        <v>93</v>
      </c>
      <c r="X577" s="6">
        <f t="shared" si="35"/>
        <v>493</v>
      </c>
      <c r="Y577" t="str" cm="1">
        <f t="array" ref="Y577">_xlfn.IFS(E577=7.99,"BASIC",E577=11.99,"STANDARD",E577=15.99,"PREMIUM")</f>
        <v>BASIC</v>
      </c>
      <c r="Z577" s="4">
        <f t="shared" si="33"/>
        <v>5.991886409736308</v>
      </c>
      <c r="AA577" s="3" t="str" cm="1">
        <f t="array" ref="AA577">_xlfn.IFS(
(F577/(X577/7)) &lt; 5, "Casual",
AND((F577/(X577/7)) &gt;= 5, (F577/(X577/7)) &lt; 15), "Regular",
(F577/(X577/7)) &gt;= 15, "Power"
)</f>
        <v>Regular</v>
      </c>
      <c r="AB577" s="3">
        <f t="shared" si="36"/>
        <v>0.99061032863849763</v>
      </c>
      <c r="AC577" t="str">
        <f t="shared" si="34"/>
        <v>Viewers</v>
      </c>
    </row>
    <row r="578" spans="1:29" x14ac:dyDescent="0.3">
      <c r="A578" s="6">
        <v>7235</v>
      </c>
      <c r="B578" s="7" t="s">
        <v>171</v>
      </c>
      <c r="C578" s="10">
        <v>44929</v>
      </c>
      <c r="D578" s="10">
        <v>45625</v>
      </c>
      <c r="E578" s="13">
        <v>7.99</v>
      </c>
      <c r="F578" s="6">
        <v>235</v>
      </c>
      <c r="G578" s="7" t="s">
        <v>63</v>
      </c>
      <c r="H578" s="6">
        <v>1</v>
      </c>
      <c r="I578" s="6">
        <v>2</v>
      </c>
      <c r="J578" s="7" t="b">
        <v>0</v>
      </c>
      <c r="K578" s="6">
        <v>765</v>
      </c>
      <c r="L578" s="6">
        <v>159</v>
      </c>
      <c r="M578" s="7" t="s">
        <v>49</v>
      </c>
      <c r="N578" s="7" t="s">
        <v>56</v>
      </c>
      <c r="O578" s="7" t="s">
        <v>29</v>
      </c>
      <c r="P578" s="6">
        <v>77</v>
      </c>
      <c r="Q578" s="11">
        <v>4.2</v>
      </c>
      <c r="R578" s="7" t="b">
        <v>0</v>
      </c>
      <c r="S578" s="7" t="s">
        <v>30</v>
      </c>
      <c r="T578" s="6">
        <v>3689</v>
      </c>
      <c r="U578" s="7" t="s">
        <v>58</v>
      </c>
      <c r="V578" s="12" t="s">
        <v>69</v>
      </c>
      <c r="W578" s="7" t="s">
        <v>40</v>
      </c>
      <c r="X578" s="6">
        <f t="shared" si="35"/>
        <v>696</v>
      </c>
      <c r="Y578" t="str" cm="1">
        <f t="array" ref="Y578">_xlfn.IFS(E578=7.99,"BASIC",E578=11.99,"STANDARD",E578=15.99,"PREMIUM")</f>
        <v>BASIC</v>
      </c>
      <c r="Z578" s="4">
        <f t="shared" ref="Z578:Z641" si="37">F578/(X578/7)</f>
        <v>2.3635057471264367</v>
      </c>
      <c r="AA578" s="3" t="str" cm="1">
        <f t="array" ref="AA578">_xlfn.IFS(
(F578/(X578/7)) &lt; 5, "Casual",
AND((F578/(X578/7)) &gt;= 5, (F578/(X578/7)) &lt; 15), "Regular",
(F578/(X578/7)) &gt;= 15, "Power"
)</f>
        <v>Casual</v>
      </c>
      <c r="AB578" s="3">
        <f t="shared" si="36"/>
        <v>0.25432900432900435</v>
      </c>
      <c r="AC578" t="str">
        <f t="shared" ref="AC578:AC641" si="38">IF(F578/(K578+L578) &lt; 0.15," Browsers","Viewers")</f>
        <v>Viewers</v>
      </c>
    </row>
    <row r="579" spans="1:29" x14ac:dyDescent="0.3">
      <c r="A579" s="6">
        <v>3910</v>
      </c>
      <c r="B579" s="7" t="s">
        <v>260</v>
      </c>
      <c r="C579" s="10">
        <v>45291</v>
      </c>
      <c r="D579" s="10">
        <v>45634</v>
      </c>
      <c r="E579" s="13">
        <v>11.99</v>
      </c>
      <c r="F579" s="6">
        <v>331</v>
      </c>
      <c r="G579" s="7" t="s">
        <v>100</v>
      </c>
      <c r="H579" s="6">
        <v>1</v>
      </c>
      <c r="I579" s="6">
        <v>2</v>
      </c>
      <c r="J579" s="7" t="b">
        <v>0</v>
      </c>
      <c r="K579" s="6">
        <v>667</v>
      </c>
      <c r="L579" s="6">
        <v>43</v>
      </c>
      <c r="M579" s="7" t="s">
        <v>68</v>
      </c>
      <c r="N579" s="7" t="s">
        <v>44</v>
      </c>
      <c r="O579" s="7" t="s">
        <v>45</v>
      </c>
      <c r="P579" s="6">
        <v>55</v>
      </c>
      <c r="Q579" s="11">
        <v>3.5</v>
      </c>
      <c r="R579" s="7" t="b">
        <v>0</v>
      </c>
      <c r="S579" s="7" t="s">
        <v>30</v>
      </c>
      <c r="T579" s="6">
        <v>670</v>
      </c>
      <c r="U579" s="7" t="s">
        <v>76</v>
      </c>
      <c r="V579" s="12" t="s">
        <v>59</v>
      </c>
      <c r="W579" s="7" t="s">
        <v>93</v>
      </c>
      <c r="X579" s="6">
        <f t="shared" ref="X579:X642" si="39">D579-C579</f>
        <v>343</v>
      </c>
      <c r="Y579" t="str" cm="1">
        <f t="array" ref="Y579">_xlfn.IFS(E579=7.99,"BASIC",E579=11.99,"STANDARD",E579=15.99,"PREMIUM")</f>
        <v>STANDARD</v>
      </c>
      <c r="Z579" s="4">
        <f t="shared" si="37"/>
        <v>6.7551020408163263</v>
      </c>
      <c r="AA579" s="3" t="str" cm="1">
        <f t="array" ref="AA579">_xlfn.IFS(
(F579/(X579/7)) &lt; 5, "Casual",
AND((F579/(X579/7)) &gt;= 5, (F579/(X579/7)) &lt; 15), "Regular",
(F579/(X579/7)) &gt;= 15, "Power"
)</f>
        <v>Regular</v>
      </c>
      <c r="AB579" s="3">
        <f t="shared" si="36"/>
        <v>0.46619718309859154</v>
      </c>
      <c r="AC579" t="str">
        <f t="shared" si="38"/>
        <v>Viewers</v>
      </c>
    </row>
    <row r="580" spans="1:29" x14ac:dyDescent="0.3">
      <c r="A580" s="6">
        <v>8190</v>
      </c>
      <c r="B580" s="7" t="s">
        <v>579</v>
      </c>
      <c r="C580" s="10">
        <v>45533</v>
      </c>
      <c r="D580" s="10">
        <v>45635</v>
      </c>
      <c r="E580" s="13">
        <v>11.99</v>
      </c>
      <c r="F580" s="6">
        <v>148</v>
      </c>
      <c r="G580" s="7" t="s">
        <v>51</v>
      </c>
      <c r="H580" s="6">
        <v>4</v>
      </c>
      <c r="I580" s="6">
        <v>1</v>
      </c>
      <c r="J580" s="7" t="b">
        <v>1</v>
      </c>
      <c r="K580" s="6">
        <v>409</v>
      </c>
      <c r="L580" s="6">
        <v>38</v>
      </c>
      <c r="M580" s="7" t="s">
        <v>92</v>
      </c>
      <c r="N580" s="7" t="s">
        <v>56</v>
      </c>
      <c r="O580" s="7" t="s">
        <v>64</v>
      </c>
      <c r="P580" s="6">
        <v>37</v>
      </c>
      <c r="Q580" s="11">
        <v>3.1</v>
      </c>
      <c r="R580" s="7" t="b">
        <v>1</v>
      </c>
      <c r="S580" s="7" t="s">
        <v>30</v>
      </c>
      <c r="T580" s="6">
        <v>544</v>
      </c>
      <c r="U580" s="7" t="s">
        <v>58</v>
      </c>
      <c r="V580" s="12" t="s">
        <v>32</v>
      </c>
      <c r="W580" s="7" t="s">
        <v>40</v>
      </c>
      <c r="X580" s="6">
        <f t="shared" si="39"/>
        <v>102</v>
      </c>
      <c r="Y580" t="str" cm="1">
        <f t="array" ref="Y580">_xlfn.IFS(E580=7.99,"BASIC",E580=11.99,"STANDARD",E580=15.99,"PREMIUM")</f>
        <v>STANDARD</v>
      </c>
      <c r="Z580" s="4">
        <f t="shared" si="37"/>
        <v>10.156862745098039</v>
      </c>
      <c r="AA580" s="3" t="str" cm="1">
        <f t="array" ref="AA580">_xlfn.IFS(
(F580/(X580/7)) &lt; 5, "Casual",
AND((F580/(X580/7)) &gt;= 5, (F580/(X580/7)) &lt; 15), "Regular",
(F580/(X580/7)) &gt;= 15, "Power"
)</f>
        <v>Regular</v>
      </c>
      <c r="AB580" s="3">
        <f t="shared" si="36"/>
        <v>0.33109619686800895</v>
      </c>
      <c r="AC580" t="str">
        <f t="shared" si="38"/>
        <v>Viewers</v>
      </c>
    </row>
    <row r="581" spans="1:29" x14ac:dyDescent="0.3">
      <c r="A581" s="6">
        <v>5315</v>
      </c>
      <c r="B581" s="7" t="s">
        <v>580</v>
      </c>
      <c r="C581" s="10">
        <v>45100</v>
      </c>
      <c r="D581" s="10">
        <v>45615</v>
      </c>
      <c r="E581" s="13">
        <v>7.99</v>
      </c>
      <c r="F581" s="6">
        <v>198</v>
      </c>
      <c r="G581" s="7" t="s">
        <v>63</v>
      </c>
      <c r="H581" s="6">
        <v>4</v>
      </c>
      <c r="I581" s="6">
        <v>3</v>
      </c>
      <c r="J581" s="7" t="b">
        <v>0</v>
      </c>
      <c r="K581" s="6">
        <v>202</v>
      </c>
      <c r="L581" s="6">
        <v>26</v>
      </c>
      <c r="M581" s="7" t="s">
        <v>43</v>
      </c>
      <c r="N581" s="7" t="s">
        <v>75</v>
      </c>
      <c r="O581" s="7" t="s">
        <v>78</v>
      </c>
      <c r="P581" s="6">
        <v>52</v>
      </c>
      <c r="Q581" s="11">
        <v>4.8</v>
      </c>
      <c r="R581" s="7" t="b">
        <v>0</v>
      </c>
      <c r="S581" s="7" t="s">
        <v>30</v>
      </c>
      <c r="T581" s="6">
        <v>1392</v>
      </c>
      <c r="U581" s="7" t="s">
        <v>65</v>
      </c>
      <c r="V581" s="12" t="s">
        <v>39</v>
      </c>
      <c r="W581" s="7" t="s">
        <v>93</v>
      </c>
      <c r="X581" s="6">
        <f t="shared" si="39"/>
        <v>515</v>
      </c>
      <c r="Y581" t="str" cm="1">
        <f t="array" ref="Y581">_xlfn.IFS(E581=7.99,"BASIC",E581=11.99,"STANDARD",E581=15.99,"PREMIUM")</f>
        <v>BASIC</v>
      </c>
      <c r="Z581" s="4">
        <f t="shared" si="37"/>
        <v>2.6912621359223303</v>
      </c>
      <c r="AA581" s="3" t="str" cm="1">
        <f t="array" ref="AA581">_xlfn.IFS(
(F581/(X581/7)) &lt; 5, "Casual",
AND((F581/(X581/7)) &gt;= 5, (F581/(X581/7)) &lt; 15), "Regular",
(F581/(X581/7)) &gt;= 15, "Power"
)</f>
        <v>Casual</v>
      </c>
      <c r="AB581" s="3">
        <f t="shared" si="36"/>
        <v>0.86842105263157898</v>
      </c>
      <c r="AC581" t="str">
        <f t="shared" si="38"/>
        <v>Viewers</v>
      </c>
    </row>
    <row r="582" spans="1:29" x14ac:dyDescent="0.3">
      <c r="A582" s="6">
        <v>7503</v>
      </c>
      <c r="B582" s="7" t="s">
        <v>153</v>
      </c>
      <c r="C582" s="10">
        <v>45065</v>
      </c>
      <c r="D582" s="10">
        <v>45629</v>
      </c>
      <c r="E582" s="13">
        <v>15.99</v>
      </c>
      <c r="F582" s="6">
        <v>81</v>
      </c>
      <c r="G582" s="7" t="s">
        <v>63</v>
      </c>
      <c r="H582" s="6">
        <v>3</v>
      </c>
      <c r="I582" s="6">
        <v>4</v>
      </c>
      <c r="J582" s="7" t="b">
        <v>0</v>
      </c>
      <c r="K582" s="6">
        <v>208</v>
      </c>
      <c r="L582" s="6">
        <v>144</v>
      </c>
      <c r="M582" s="7" t="s">
        <v>92</v>
      </c>
      <c r="N582" s="7" t="s">
        <v>44</v>
      </c>
      <c r="O582" s="7" t="s">
        <v>64</v>
      </c>
      <c r="P582" s="6">
        <v>12</v>
      </c>
      <c r="Q582" s="11">
        <v>4.5999999999999996</v>
      </c>
      <c r="R582" s="7" t="b">
        <v>0</v>
      </c>
      <c r="S582" s="7" t="s">
        <v>30</v>
      </c>
      <c r="T582" s="6">
        <v>3199</v>
      </c>
      <c r="U582" s="7" t="s">
        <v>76</v>
      </c>
      <c r="V582" s="12" t="s">
        <v>39</v>
      </c>
      <c r="W582" s="7" t="s">
        <v>60</v>
      </c>
      <c r="X582" s="6">
        <f t="shared" si="39"/>
        <v>564</v>
      </c>
      <c r="Y582" t="str" cm="1">
        <f t="array" ref="Y582">_xlfn.IFS(E582=7.99,"BASIC",E582=11.99,"STANDARD",E582=15.99,"PREMIUM")</f>
        <v>PREMIUM</v>
      </c>
      <c r="Z582" s="4">
        <f t="shared" si="37"/>
        <v>1.0053191489361701</v>
      </c>
      <c r="AA582" s="3" t="str" cm="1">
        <f t="array" ref="AA582">_xlfn.IFS(
(F582/(X582/7)) &lt; 5, "Casual",
AND((F582/(X582/7)) &gt;= 5, (F582/(X582/7)) &lt; 15), "Regular",
(F582/(X582/7)) &gt;= 15, "Power"
)</f>
        <v>Casual</v>
      </c>
      <c r="AB582" s="3">
        <f t="shared" si="36"/>
        <v>0.23011363636363635</v>
      </c>
      <c r="AC582" t="str">
        <f t="shared" si="38"/>
        <v>Viewers</v>
      </c>
    </row>
    <row r="583" spans="1:29" x14ac:dyDescent="0.3">
      <c r="A583" s="6">
        <v>5788</v>
      </c>
      <c r="B583" s="7" t="s">
        <v>186</v>
      </c>
      <c r="C583" s="10">
        <v>45051</v>
      </c>
      <c r="D583" s="10">
        <v>45619</v>
      </c>
      <c r="E583" s="13">
        <v>11.99</v>
      </c>
      <c r="F583" s="6">
        <v>131</v>
      </c>
      <c r="G583" s="7" t="s">
        <v>63</v>
      </c>
      <c r="H583" s="6">
        <v>3</v>
      </c>
      <c r="I583" s="6">
        <v>3</v>
      </c>
      <c r="J583" s="7" t="b">
        <v>1</v>
      </c>
      <c r="K583" s="6">
        <v>382</v>
      </c>
      <c r="L583" s="6">
        <v>50</v>
      </c>
      <c r="M583" s="7" t="s">
        <v>74</v>
      </c>
      <c r="N583" s="7" t="s">
        <v>56</v>
      </c>
      <c r="O583" s="7" t="s">
        <v>57</v>
      </c>
      <c r="P583" s="6">
        <v>47</v>
      </c>
      <c r="Q583" s="11">
        <v>4.8</v>
      </c>
      <c r="R583" s="7" t="b">
        <v>0</v>
      </c>
      <c r="S583" s="7" t="s">
        <v>30</v>
      </c>
      <c r="T583" s="6">
        <v>4204</v>
      </c>
      <c r="U583" s="7" t="s">
        <v>65</v>
      </c>
      <c r="V583" s="12" t="s">
        <v>39</v>
      </c>
      <c r="W583" s="7" t="s">
        <v>60</v>
      </c>
      <c r="X583" s="6">
        <f t="shared" si="39"/>
        <v>568</v>
      </c>
      <c r="Y583" t="str" cm="1">
        <f t="array" ref="Y583">_xlfn.IFS(E583=7.99,"BASIC",E583=11.99,"STANDARD",E583=15.99,"PREMIUM")</f>
        <v>STANDARD</v>
      </c>
      <c r="Z583" s="4">
        <f t="shared" si="37"/>
        <v>1.61443661971831</v>
      </c>
      <c r="AA583" s="3" t="str" cm="1">
        <f t="array" ref="AA583">_xlfn.IFS(
(F583/(X583/7)) &lt; 5, "Casual",
AND((F583/(X583/7)) &gt;= 5, (F583/(X583/7)) &lt; 15), "Regular",
(F583/(X583/7)) &gt;= 15, "Power"
)</f>
        <v>Casual</v>
      </c>
      <c r="AB583" s="3">
        <f t="shared" si="36"/>
        <v>0.30324074074074076</v>
      </c>
      <c r="AC583" t="str">
        <f t="shared" si="38"/>
        <v>Viewers</v>
      </c>
    </row>
    <row r="584" spans="1:29" x14ac:dyDescent="0.3">
      <c r="A584" s="6">
        <v>7030</v>
      </c>
      <c r="B584" s="7" t="s">
        <v>583</v>
      </c>
      <c r="C584" s="10">
        <v>45370</v>
      </c>
      <c r="D584" s="10">
        <v>45619</v>
      </c>
      <c r="E584" s="13">
        <v>15.99</v>
      </c>
      <c r="F584" s="6">
        <v>210</v>
      </c>
      <c r="G584" s="7" t="s">
        <v>51</v>
      </c>
      <c r="H584" s="6">
        <v>3</v>
      </c>
      <c r="I584" s="6">
        <v>4</v>
      </c>
      <c r="J584" s="7" t="b">
        <v>0</v>
      </c>
      <c r="K584" s="6">
        <v>666</v>
      </c>
      <c r="L584" s="6">
        <v>164</v>
      </c>
      <c r="M584" s="7" t="s">
        <v>27</v>
      </c>
      <c r="N584" s="7" t="s">
        <v>28</v>
      </c>
      <c r="O584" s="7" t="s">
        <v>45</v>
      </c>
      <c r="P584" s="6">
        <v>38</v>
      </c>
      <c r="Q584" s="11">
        <v>4.2</v>
      </c>
      <c r="R584" s="7" t="b">
        <v>0</v>
      </c>
      <c r="S584" s="7" t="s">
        <v>30</v>
      </c>
      <c r="T584" s="6">
        <v>1461</v>
      </c>
      <c r="U584" s="7" t="s">
        <v>58</v>
      </c>
      <c r="V584" s="12" t="s">
        <v>79</v>
      </c>
      <c r="W584" s="7" t="s">
        <v>33</v>
      </c>
      <c r="X584" s="6">
        <f t="shared" si="39"/>
        <v>249</v>
      </c>
      <c r="Y584" t="str" cm="1">
        <f t="array" ref="Y584">_xlfn.IFS(E584=7.99,"BASIC",E584=11.99,"STANDARD",E584=15.99,"PREMIUM")</f>
        <v>PREMIUM</v>
      </c>
      <c r="Z584" s="4">
        <f t="shared" si="37"/>
        <v>5.9036144578313259</v>
      </c>
      <c r="AA584" s="3" t="str" cm="1">
        <f t="array" ref="AA584">_xlfn.IFS(
(F584/(X584/7)) &lt; 5, "Casual",
AND((F584/(X584/7)) &gt;= 5, (F584/(X584/7)) &lt; 15), "Regular",
(F584/(X584/7)) &gt;= 15, "Power"
)</f>
        <v>Regular</v>
      </c>
      <c r="AB584" s="3">
        <f t="shared" si="36"/>
        <v>0.25301204819277107</v>
      </c>
      <c r="AC584" t="str">
        <f t="shared" si="38"/>
        <v>Viewers</v>
      </c>
    </row>
    <row r="585" spans="1:29" x14ac:dyDescent="0.3">
      <c r="A585" s="6">
        <v>6619</v>
      </c>
      <c r="B585" s="7" t="s">
        <v>408</v>
      </c>
      <c r="C585" s="10">
        <v>45460</v>
      </c>
      <c r="D585" s="10">
        <v>45642</v>
      </c>
      <c r="E585" s="13">
        <v>15.99</v>
      </c>
      <c r="F585" s="6">
        <v>301</v>
      </c>
      <c r="G585" s="7" t="s">
        <v>51</v>
      </c>
      <c r="H585" s="6">
        <v>2</v>
      </c>
      <c r="I585" s="6">
        <v>1</v>
      </c>
      <c r="J585" s="7" t="b">
        <v>1</v>
      </c>
      <c r="K585" s="6">
        <v>855</v>
      </c>
      <c r="L585" s="6">
        <v>46</v>
      </c>
      <c r="M585" s="7" t="s">
        <v>55</v>
      </c>
      <c r="N585" s="7" t="s">
        <v>75</v>
      </c>
      <c r="O585" s="7" t="s">
        <v>57</v>
      </c>
      <c r="P585" s="6">
        <v>26</v>
      </c>
      <c r="Q585" s="11">
        <v>4.4000000000000004</v>
      </c>
      <c r="R585" s="7" t="b">
        <v>0</v>
      </c>
      <c r="S585" s="7" t="s">
        <v>30</v>
      </c>
      <c r="T585" s="6">
        <v>658</v>
      </c>
      <c r="U585" s="7" t="s">
        <v>31</v>
      </c>
      <c r="V585" s="12" t="s">
        <v>32</v>
      </c>
      <c r="W585" s="7" t="s">
        <v>33</v>
      </c>
      <c r="X585" s="6">
        <f t="shared" si="39"/>
        <v>182</v>
      </c>
      <c r="Y585" t="str" cm="1">
        <f t="array" ref="Y585">_xlfn.IFS(E585=7.99,"BASIC",E585=11.99,"STANDARD",E585=15.99,"PREMIUM")</f>
        <v>PREMIUM</v>
      </c>
      <c r="Z585" s="4">
        <f t="shared" si="37"/>
        <v>11.576923076923077</v>
      </c>
      <c r="AA585" s="3" t="str" cm="1">
        <f t="array" ref="AA585">_xlfn.IFS(
(F585/(X585/7)) &lt; 5, "Casual",
AND((F585/(X585/7)) &gt;= 5, (F585/(X585/7)) &lt; 15), "Regular",
(F585/(X585/7)) &gt;= 15, "Power"
)</f>
        <v>Regular</v>
      </c>
      <c r="AB585" s="3">
        <f t="shared" ref="AB585:AB648" si="40">(F585/(K585+L585))</f>
        <v>0.33407325194228638</v>
      </c>
      <c r="AC585" t="str">
        <f t="shared" si="38"/>
        <v>Viewers</v>
      </c>
    </row>
    <row r="586" spans="1:29" x14ac:dyDescent="0.3">
      <c r="A586" s="6">
        <v>6319</v>
      </c>
      <c r="B586" s="7" t="s">
        <v>584</v>
      </c>
      <c r="C586" s="10">
        <v>44988</v>
      </c>
      <c r="D586" s="10">
        <v>45642</v>
      </c>
      <c r="E586" s="13">
        <v>7.99</v>
      </c>
      <c r="F586" s="6">
        <v>466</v>
      </c>
      <c r="G586" s="7" t="s">
        <v>100</v>
      </c>
      <c r="H586" s="6">
        <v>4</v>
      </c>
      <c r="I586" s="6">
        <v>1</v>
      </c>
      <c r="J586" s="7" t="b">
        <v>1</v>
      </c>
      <c r="K586" s="6">
        <v>592</v>
      </c>
      <c r="L586" s="6">
        <v>67</v>
      </c>
      <c r="M586" s="7" t="s">
        <v>92</v>
      </c>
      <c r="N586" s="7" t="s">
        <v>44</v>
      </c>
      <c r="O586" s="7" t="s">
        <v>78</v>
      </c>
      <c r="P586" s="6">
        <v>81</v>
      </c>
      <c r="Q586" s="11">
        <v>4.8</v>
      </c>
      <c r="R586" s="7" t="b">
        <v>0</v>
      </c>
      <c r="S586" s="7" t="s">
        <v>30</v>
      </c>
      <c r="T586" s="6">
        <v>423</v>
      </c>
      <c r="U586" s="7" t="s">
        <v>38</v>
      </c>
      <c r="V586" s="12" t="s">
        <v>69</v>
      </c>
      <c r="W586" s="7" t="s">
        <v>60</v>
      </c>
      <c r="X586" s="6">
        <f t="shared" si="39"/>
        <v>654</v>
      </c>
      <c r="Y586" t="str" cm="1">
        <f t="array" ref="Y586">_xlfn.IFS(E586=7.99,"BASIC",E586=11.99,"STANDARD",E586=15.99,"PREMIUM")</f>
        <v>BASIC</v>
      </c>
      <c r="Z586" s="4">
        <f t="shared" si="37"/>
        <v>4.9877675840978588</v>
      </c>
      <c r="AA586" s="3" t="str" cm="1">
        <f t="array" ref="AA586">_xlfn.IFS(
(F586/(X586/7)) &lt; 5, "Casual",
AND((F586/(X586/7)) &gt;= 5, (F586/(X586/7)) &lt; 15), "Regular",
(F586/(X586/7)) &gt;= 15, "Power"
)</f>
        <v>Casual</v>
      </c>
      <c r="AB586" s="3">
        <f t="shared" si="40"/>
        <v>0.70713201820940819</v>
      </c>
      <c r="AC586" t="str">
        <f t="shared" si="38"/>
        <v>Viewers</v>
      </c>
    </row>
    <row r="587" spans="1:29" x14ac:dyDescent="0.3">
      <c r="A587" s="6">
        <v>6268</v>
      </c>
      <c r="B587" s="7" t="s">
        <v>313</v>
      </c>
      <c r="C587" s="10">
        <v>45308</v>
      </c>
      <c r="D587" s="10">
        <v>45622</v>
      </c>
      <c r="E587" s="13">
        <v>15.99</v>
      </c>
      <c r="F587" s="6">
        <v>336</v>
      </c>
      <c r="G587" s="7" t="s">
        <v>63</v>
      </c>
      <c r="H587" s="6">
        <v>5</v>
      </c>
      <c r="I587" s="6">
        <v>2</v>
      </c>
      <c r="J587" s="7" t="b">
        <v>0</v>
      </c>
      <c r="K587" s="6">
        <v>546</v>
      </c>
      <c r="L587" s="6">
        <v>16</v>
      </c>
      <c r="M587" s="7" t="s">
        <v>55</v>
      </c>
      <c r="N587" s="7" t="s">
        <v>28</v>
      </c>
      <c r="O587" s="7" t="s">
        <v>64</v>
      </c>
      <c r="P587" s="6">
        <v>31</v>
      </c>
      <c r="Q587" s="11">
        <v>3.6</v>
      </c>
      <c r="R587" s="7" t="b">
        <v>1</v>
      </c>
      <c r="S587" s="7" t="s">
        <v>30</v>
      </c>
      <c r="T587" s="6">
        <v>2824</v>
      </c>
      <c r="U587" s="7" t="s">
        <v>31</v>
      </c>
      <c r="V587" s="12" t="s">
        <v>79</v>
      </c>
      <c r="W587" s="7" t="s">
        <v>93</v>
      </c>
      <c r="X587" s="6">
        <f t="shared" si="39"/>
        <v>314</v>
      </c>
      <c r="Y587" t="str" cm="1">
        <f t="array" ref="Y587">_xlfn.IFS(E587=7.99,"BASIC",E587=11.99,"STANDARD",E587=15.99,"PREMIUM")</f>
        <v>PREMIUM</v>
      </c>
      <c r="Z587" s="4">
        <f t="shared" si="37"/>
        <v>7.4904458598726116</v>
      </c>
      <c r="AA587" s="3" t="str" cm="1">
        <f t="array" ref="AA587">_xlfn.IFS(
(F587/(X587/7)) &lt; 5, "Casual",
AND((F587/(X587/7)) &gt;= 5, (F587/(X587/7)) &lt; 15), "Regular",
(F587/(X587/7)) &gt;= 15, "Power"
)</f>
        <v>Regular</v>
      </c>
      <c r="AB587" s="3">
        <f t="shared" si="40"/>
        <v>0.59786476868327398</v>
      </c>
      <c r="AC587" t="str">
        <f t="shared" si="38"/>
        <v>Viewers</v>
      </c>
    </row>
    <row r="588" spans="1:29" x14ac:dyDescent="0.3">
      <c r="A588" s="6">
        <v>5016</v>
      </c>
      <c r="B588" s="7" t="s">
        <v>424</v>
      </c>
      <c r="C588" s="10">
        <v>45136</v>
      </c>
      <c r="D588" s="10">
        <v>45637</v>
      </c>
      <c r="E588" s="13">
        <v>11.99</v>
      </c>
      <c r="F588" s="6">
        <v>280</v>
      </c>
      <c r="G588" s="7" t="s">
        <v>73</v>
      </c>
      <c r="H588" s="6">
        <v>4</v>
      </c>
      <c r="I588" s="6">
        <v>3</v>
      </c>
      <c r="J588" s="7" t="b">
        <v>0</v>
      </c>
      <c r="K588" s="6">
        <v>633</v>
      </c>
      <c r="L588" s="6">
        <v>83</v>
      </c>
      <c r="M588" s="7" t="s">
        <v>27</v>
      </c>
      <c r="N588" s="7" t="s">
        <v>28</v>
      </c>
      <c r="O588" s="7" t="s">
        <v>45</v>
      </c>
      <c r="P588" s="6">
        <v>49</v>
      </c>
      <c r="Q588" s="11">
        <v>3.3</v>
      </c>
      <c r="R588" s="7" t="b">
        <v>0</v>
      </c>
      <c r="S588" s="7" t="s">
        <v>30</v>
      </c>
      <c r="T588" s="6">
        <v>2657</v>
      </c>
      <c r="U588" s="7" t="s">
        <v>58</v>
      </c>
      <c r="V588" s="12" t="s">
        <v>79</v>
      </c>
      <c r="W588" s="7" t="s">
        <v>93</v>
      </c>
      <c r="X588" s="6">
        <f t="shared" si="39"/>
        <v>501</v>
      </c>
      <c r="Y588" t="str" cm="1">
        <f t="array" ref="Y588">_xlfn.IFS(E588=7.99,"BASIC",E588=11.99,"STANDARD",E588=15.99,"PREMIUM")</f>
        <v>STANDARD</v>
      </c>
      <c r="Z588" s="4">
        <f t="shared" si="37"/>
        <v>3.9121756487025947</v>
      </c>
      <c r="AA588" s="3" t="str" cm="1">
        <f t="array" ref="AA588">_xlfn.IFS(
(F588/(X588/7)) &lt; 5, "Casual",
AND((F588/(X588/7)) &gt;= 5, (F588/(X588/7)) &lt; 15), "Regular",
(F588/(X588/7)) &gt;= 15, "Power"
)</f>
        <v>Casual</v>
      </c>
      <c r="AB588" s="3">
        <f t="shared" si="40"/>
        <v>0.39106145251396646</v>
      </c>
      <c r="AC588" t="str">
        <f t="shared" si="38"/>
        <v>Viewers</v>
      </c>
    </row>
    <row r="589" spans="1:29" x14ac:dyDescent="0.3">
      <c r="A589" s="6">
        <v>3888</v>
      </c>
      <c r="B589" s="7" t="s">
        <v>176</v>
      </c>
      <c r="C589" s="10">
        <v>45064</v>
      </c>
      <c r="D589" s="10">
        <v>45640</v>
      </c>
      <c r="E589" s="13">
        <v>15.99</v>
      </c>
      <c r="F589" s="6">
        <v>495</v>
      </c>
      <c r="G589" s="7" t="s">
        <v>26</v>
      </c>
      <c r="H589" s="6">
        <v>3</v>
      </c>
      <c r="I589" s="6">
        <v>2</v>
      </c>
      <c r="J589" s="7" t="b">
        <v>1</v>
      </c>
      <c r="K589" s="6">
        <v>883</v>
      </c>
      <c r="L589" s="6">
        <v>60</v>
      </c>
      <c r="M589" s="7" t="s">
        <v>68</v>
      </c>
      <c r="N589" s="7" t="s">
        <v>75</v>
      </c>
      <c r="O589" s="7" t="s">
        <v>64</v>
      </c>
      <c r="P589" s="6">
        <v>10</v>
      </c>
      <c r="Q589" s="11">
        <v>4.5</v>
      </c>
      <c r="R589" s="7" t="b">
        <v>0</v>
      </c>
      <c r="S589" s="7" t="s">
        <v>30</v>
      </c>
      <c r="T589" s="6">
        <v>2213</v>
      </c>
      <c r="U589" s="7" t="s">
        <v>76</v>
      </c>
      <c r="V589" s="12" t="s">
        <v>79</v>
      </c>
      <c r="W589" s="7" t="s">
        <v>40</v>
      </c>
      <c r="X589" s="6">
        <f t="shared" si="39"/>
        <v>576</v>
      </c>
      <c r="Y589" t="str" cm="1">
        <f t="array" ref="Y589">_xlfn.IFS(E589=7.99,"BASIC",E589=11.99,"STANDARD",E589=15.99,"PREMIUM")</f>
        <v>PREMIUM</v>
      </c>
      <c r="Z589" s="4">
        <f t="shared" si="37"/>
        <v>6.0156249999999991</v>
      </c>
      <c r="AA589" s="3" t="str" cm="1">
        <f t="array" ref="AA589">_xlfn.IFS(
(F589/(X589/7)) &lt; 5, "Casual",
AND((F589/(X589/7)) &gt;= 5, (F589/(X589/7)) &lt; 15), "Regular",
(F589/(X589/7)) &gt;= 15, "Power"
)</f>
        <v>Regular</v>
      </c>
      <c r="AB589" s="3">
        <f t="shared" si="40"/>
        <v>0.52492046659597036</v>
      </c>
      <c r="AC589" t="str">
        <f t="shared" si="38"/>
        <v>Viewers</v>
      </c>
    </row>
    <row r="590" spans="1:29" x14ac:dyDescent="0.3">
      <c r="A590" s="6">
        <v>9918</v>
      </c>
      <c r="B590" s="7" t="s">
        <v>238</v>
      </c>
      <c r="C590" s="10">
        <v>45426</v>
      </c>
      <c r="D590" s="10">
        <v>45638</v>
      </c>
      <c r="E590" s="13">
        <v>11.99</v>
      </c>
      <c r="F590" s="6">
        <v>144</v>
      </c>
      <c r="G590" s="7" t="s">
        <v>51</v>
      </c>
      <c r="H590" s="6">
        <v>5</v>
      </c>
      <c r="I590" s="6">
        <v>6</v>
      </c>
      <c r="J590" s="7" t="b">
        <v>0</v>
      </c>
      <c r="K590" s="6">
        <v>235</v>
      </c>
      <c r="L590" s="6">
        <v>88</v>
      </c>
      <c r="M590" s="7" t="s">
        <v>55</v>
      </c>
      <c r="N590" s="7" t="s">
        <v>28</v>
      </c>
      <c r="O590" s="7" t="s">
        <v>29</v>
      </c>
      <c r="P590" s="6">
        <v>18</v>
      </c>
      <c r="Q590" s="11">
        <v>3.1</v>
      </c>
      <c r="R590" s="7" t="b">
        <v>1</v>
      </c>
      <c r="S590" s="7" t="s">
        <v>30</v>
      </c>
      <c r="T590" s="6">
        <v>3455</v>
      </c>
      <c r="U590" s="7" t="s">
        <v>65</v>
      </c>
      <c r="V590" s="12" t="s">
        <v>59</v>
      </c>
      <c r="W590" s="7" t="s">
        <v>60</v>
      </c>
      <c r="X590" s="6">
        <f t="shared" si="39"/>
        <v>212</v>
      </c>
      <c r="Y590" t="str" cm="1">
        <f t="array" ref="Y590">_xlfn.IFS(E590=7.99,"BASIC",E590=11.99,"STANDARD",E590=15.99,"PREMIUM")</f>
        <v>STANDARD</v>
      </c>
      <c r="Z590" s="4">
        <f t="shared" si="37"/>
        <v>4.7547169811320753</v>
      </c>
      <c r="AA590" s="3" t="str" cm="1">
        <f t="array" ref="AA590">_xlfn.IFS(
(F590/(X590/7)) &lt; 5, "Casual",
AND((F590/(X590/7)) &gt;= 5, (F590/(X590/7)) &lt; 15), "Regular",
(F590/(X590/7)) &gt;= 15, "Power"
)</f>
        <v>Casual</v>
      </c>
      <c r="AB590" s="3">
        <f t="shared" si="40"/>
        <v>0.44582043343653249</v>
      </c>
      <c r="AC590" t="str">
        <f t="shared" si="38"/>
        <v>Viewers</v>
      </c>
    </row>
    <row r="591" spans="1:29" x14ac:dyDescent="0.3">
      <c r="A591" s="6">
        <v>7305</v>
      </c>
      <c r="B591" s="7" t="s">
        <v>224</v>
      </c>
      <c r="C591" s="10">
        <v>44987</v>
      </c>
      <c r="D591" s="10">
        <v>45628</v>
      </c>
      <c r="E591" s="13">
        <v>7.99</v>
      </c>
      <c r="F591" s="6">
        <v>165</v>
      </c>
      <c r="G591" s="7" t="s">
        <v>100</v>
      </c>
      <c r="H591" s="6">
        <v>5</v>
      </c>
      <c r="I591" s="6">
        <v>4</v>
      </c>
      <c r="J591" s="7" t="b">
        <v>0</v>
      </c>
      <c r="K591" s="6">
        <v>267</v>
      </c>
      <c r="L591" s="6">
        <v>146</v>
      </c>
      <c r="M591" s="7" t="s">
        <v>27</v>
      </c>
      <c r="N591" s="7" t="s">
        <v>56</v>
      </c>
      <c r="O591" s="7" t="s">
        <v>57</v>
      </c>
      <c r="P591" s="6">
        <v>34</v>
      </c>
      <c r="Q591" s="11">
        <v>4.2</v>
      </c>
      <c r="R591" s="7" t="b">
        <v>1</v>
      </c>
      <c r="S591" s="7" t="s">
        <v>30</v>
      </c>
      <c r="T591" s="6">
        <v>3334</v>
      </c>
      <c r="U591" s="7" t="s">
        <v>76</v>
      </c>
      <c r="V591" s="12" t="s">
        <v>39</v>
      </c>
      <c r="W591" s="7" t="s">
        <v>40</v>
      </c>
      <c r="X591" s="6">
        <f t="shared" si="39"/>
        <v>641</v>
      </c>
      <c r="Y591" t="str" cm="1">
        <f t="array" ref="Y591">_xlfn.IFS(E591=7.99,"BASIC",E591=11.99,"STANDARD",E591=15.99,"PREMIUM")</f>
        <v>BASIC</v>
      </c>
      <c r="Z591" s="4">
        <f t="shared" si="37"/>
        <v>1.8018720748829953</v>
      </c>
      <c r="AA591" s="3" t="str" cm="1">
        <f t="array" ref="AA591">_xlfn.IFS(
(F591/(X591/7)) &lt; 5, "Casual",
AND((F591/(X591/7)) &gt;= 5, (F591/(X591/7)) &lt; 15), "Regular",
(F591/(X591/7)) &gt;= 15, "Power"
)</f>
        <v>Casual</v>
      </c>
      <c r="AB591" s="3">
        <f t="shared" si="40"/>
        <v>0.39951573849878935</v>
      </c>
      <c r="AC591" t="str">
        <f t="shared" si="38"/>
        <v>Viewers</v>
      </c>
    </row>
    <row r="592" spans="1:29" x14ac:dyDescent="0.3">
      <c r="A592" s="6">
        <v>5719</v>
      </c>
      <c r="B592" s="7" t="s">
        <v>531</v>
      </c>
      <c r="C592" s="10">
        <v>45161</v>
      </c>
      <c r="D592" s="10">
        <v>45642</v>
      </c>
      <c r="E592" s="13">
        <v>11.99</v>
      </c>
      <c r="F592" s="6">
        <v>479</v>
      </c>
      <c r="G592" s="7" t="s">
        <v>51</v>
      </c>
      <c r="H592" s="6">
        <v>5</v>
      </c>
      <c r="I592" s="6">
        <v>2</v>
      </c>
      <c r="J592" s="7" t="b">
        <v>0</v>
      </c>
      <c r="K592" s="6">
        <v>710</v>
      </c>
      <c r="L592" s="6">
        <v>68</v>
      </c>
      <c r="M592" s="7" t="s">
        <v>74</v>
      </c>
      <c r="N592" s="7" t="s">
        <v>75</v>
      </c>
      <c r="O592" s="7" t="s">
        <v>78</v>
      </c>
      <c r="P592" s="6">
        <v>54</v>
      </c>
      <c r="Q592" s="11">
        <v>4.5999999999999996</v>
      </c>
      <c r="R592" s="7" t="b">
        <v>0</v>
      </c>
      <c r="S592" s="7" t="s">
        <v>30</v>
      </c>
      <c r="T592" s="6">
        <v>105</v>
      </c>
      <c r="U592" s="7" t="s">
        <v>76</v>
      </c>
      <c r="V592" s="12" t="s">
        <v>69</v>
      </c>
      <c r="W592" s="7" t="s">
        <v>93</v>
      </c>
      <c r="X592" s="6">
        <f t="shared" si="39"/>
        <v>481</v>
      </c>
      <c r="Y592" t="str" cm="1">
        <f t="array" ref="Y592">_xlfn.IFS(E592=7.99,"BASIC",E592=11.99,"STANDARD",E592=15.99,"PREMIUM")</f>
        <v>STANDARD</v>
      </c>
      <c r="Z592" s="4">
        <f t="shared" si="37"/>
        <v>6.9708939708939717</v>
      </c>
      <c r="AA592" s="3" t="str" cm="1">
        <f t="array" ref="AA592">_xlfn.IFS(
(F592/(X592/7)) &lt; 5, "Casual",
AND((F592/(X592/7)) &gt;= 5, (F592/(X592/7)) &lt; 15), "Regular",
(F592/(X592/7)) &gt;= 15, "Power"
)</f>
        <v>Regular</v>
      </c>
      <c r="AB592" s="3">
        <f t="shared" si="40"/>
        <v>0.61568123393316199</v>
      </c>
      <c r="AC592" t="str">
        <f t="shared" si="38"/>
        <v>Viewers</v>
      </c>
    </row>
    <row r="593" spans="1:29" x14ac:dyDescent="0.3">
      <c r="A593" s="6">
        <v>2334</v>
      </c>
      <c r="B593" s="7" t="s">
        <v>473</v>
      </c>
      <c r="C593" s="10">
        <v>45348</v>
      </c>
      <c r="D593" s="10">
        <v>45620</v>
      </c>
      <c r="E593" s="13">
        <v>11.99</v>
      </c>
      <c r="F593" s="6">
        <v>285</v>
      </c>
      <c r="G593" s="7" t="s">
        <v>73</v>
      </c>
      <c r="H593" s="6">
        <v>2</v>
      </c>
      <c r="I593" s="6">
        <v>4</v>
      </c>
      <c r="J593" s="7" t="b">
        <v>0</v>
      </c>
      <c r="K593" s="6">
        <v>805</v>
      </c>
      <c r="L593" s="6">
        <v>42</v>
      </c>
      <c r="M593" s="7" t="s">
        <v>49</v>
      </c>
      <c r="N593" s="7" t="s">
        <v>44</v>
      </c>
      <c r="O593" s="7" t="s">
        <v>29</v>
      </c>
      <c r="P593" s="6">
        <v>90</v>
      </c>
      <c r="Q593" s="11">
        <v>4.5</v>
      </c>
      <c r="R593" s="7" t="b">
        <v>0</v>
      </c>
      <c r="S593" s="7" t="s">
        <v>30</v>
      </c>
      <c r="T593" s="6">
        <v>1404</v>
      </c>
      <c r="U593" s="7" t="s">
        <v>31</v>
      </c>
      <c r="V593" s="12" t="s">
        <v>69</v>
      </c>
      <c r="W593" s="7" t="s">
        <v>60</v>
      </c>
      <c r="X593" s="6">
        <f t="shared" si="39"/>
        <v>272</v>
      </c>
      <c r="Y593" t="str" cm="1">
        <f t="array" ref="Y593">_xlfn.IFS(E593=7.99,"BASIC",E593=11.99,"STANDARD",E593=15.99,"PREMIUM")</f>
        <v>STANDARD</v>
      </c>
      <c r="Z593" s="4">
        <f t="shared" si="37"/>
        <v>7.3345588235294121</v>
      </c>
      <c r="AA593" s="3" t="str" cm="1">
        <f t="array" ref="AA593">_xlfn.IFS(
(F593/(X593/7)) &lt; 5, "Casual",
AND((F593/(X593/7)) &gt;= 5, (F593/(X593/7)) &lt; 15), "Regular",
(F593/(X593/7)) &gt;= 15, "Power"
)</f>
        <v>Regular</v>
      </c>
      <c r="AB593" s="3">
        <f t="shared" si="40"/>
        <v>0.33648170011806378</v>
      </c>
      <c r="AC593" t="str">
        <f t="shared" si="38"/>
        <v>Viewers</v>
      </c>
    </row>
    <row r="594" spans="1:29" x14ac:dyDescent="0.3">
      <c r="A594" s="6">
        <v>1006</v>
      </c>
      <c r="B594" s="7" t="s">
        <v>589</v>
      </c>
      <c r="C594" s="10">
        <v>45169</v>
      </c>
      <c r="D594" s="10">
        <v>45625</v>
      </c>
      <c r="E594" s="13">
        <v>11.99</v>
      </c>
      <c r="F594" s="6">
        <v>93</v>
      </c>
      <c r="G594" s="7" t="s">
        <v>36</v>
      </c>
      <c r="H594" s="6">
        <v>4</v>
      </c>
      <c r="I594" s="6">
        <v>6</v>
      </c>
      <c r="J594" s="7" t="b">
        <v>0</v>
      </c>
      <c r="K594" s="6">
        <v>209</v>
      </c>
      <c r="L594" s="6">
        <v>151</v>
      </c>
      <c r="M594" s="7" t="s">
        <v>55</v>
      </c>
      <c r="N594" s="7" t="s">
        <v>56</v>
      </c>
      <c r="O594" s="7" t="s">
        <v>64</v>
      </c>
      <c r="P594" s="6">
        <v>74</v>
      </c>
      <c r="Q594" s="11">
        <v>3</v>
      </c>
      <c r="R594" s="7" t="b">
        <v>0</v>
      </c>
      <c r="S594" s="7" t="s">
        <v>30</v>
      </c>
      <c r="T594" s="6">
        <v>1017</v>
      </c>
      <c r="U594" s="7" t="s">
        <v>58</v>
      </c>
      <c r="V594" s="12" t="s">
        <v>79</v>
      </c>
      <c r="W594" s="7" t="s">
        <v>60</v>
      </c>
      <c r="X594" s="6">
        <f t="shared" si="39"/>
        <v>456</v>
      </c>
      <c r="Y594" t="str" cm="1">
        <f t="array" ref="Y594">_xlfn.IFS(E594=7.99,"BASIC",E594=11.99,"STANDARD",E594=15.99,"PREMIUM")</f>
        <v>STANDARD</v>
      </c>
      <c r="Z594" s="4">
        <f t="shared" si="37"/>
        <v>1.4276315789473686</v>
      </c>
      <c r="AA594" s="3" t="str" cm="1">
        <f t="array" ref="AA594">_xlfn.IFS(
(F594/(X594/7)) &lt; 5, "Casual",
AND((F594/(X594/7)) &gt;= 5, (F594/(X594/7)) &lt; 15), "Regular",
(F594/(X594/7)) &gt;= 15, "Power"
)</f>
        <v>Casual</v>
      </c>
      <c r="AB594" s="3">
        <f t="shared" si="40"/>
        <v>0.25833333333333336</v>
      </c>
      <c r="AC594" t="str">
        <f t="shared" si="38"/>
        <v>Viewers</v>
      </c>
    </row>
    <row r="595" spans="1:29" x14ac:dyDescent="0.3">
      <c r="A595" s="6">
        <v>6719</v>
      </c>
      <c r="B595" s="7" t="s">
        <v>114</v>
      </c>
      <c r="C595" s="10">
        <v>44945</v>
      </c>
      <c r="D595" s="10">
        <v>45621</v>
      </c>
      <c r="E595" s="13">
        <v>15.99</v>
      </c>
      <c r="F595" s="6">
        <v>299</v>
      </c>
      <c r="G595" s="7" t="s">
        <v>63</v>
      </c>
      <c r="H595" s="6">
        <v>5</v>
      </c>
      <c r="I595" s="6">
        <v>2</v>
      </c>
      <c r="J595" s="7" t="b">
        <v>0</v>
      </c>
      <c r="K595" s="6">
        <v>803</v>
      </c>
      <c r="L595" s="6">
        <v>197</v>
      </c>
      <c r="M595" s="7" t="s">
        <v>68</v>
      </c>
      <c r="N595" s="7" t="s">
        <v>75</v>
      </c>
      <c r="O595" s="7" t="s">
        <v>78</v>
      </c>
      <c r="P595" s="6">
        <v>58</v>
      </c>
      <c r="Q595" s="11">
        <v>4.8</v>
      </c>
      <c r="R595" s="7" t="b">
        <v>0</v>
      </c>
      <c r="S595" s="7" t="s">
        <v>30</v>
      </c>
      <c r="T595" s="6">
        <v>2812</v>
      </c>
      <c r="U595" s="7" t="s">
        <v>38</v>
      </c>
      <c r="V595" s="12" t="s">
        <v>39</v>
      </c>
      <c r="W595" s="7" t="s">
        <v>40</v>
      </c>
      <c r="X595" s="6">
        <f t="shared" si="39"/>
        <v>676</v>
      </c>
      <c r="Y595" t="str" cm="1">
        <f t="array" ref="Y595">_xlfn.IFS(E595=7.99,"BASIC",E595=11.99,"STANDARD",E595=15.99,"PREMIUM")</f>
        <v>PREMIUM</v>
      </c>
      <c r="Z595" s="4">
        <f t="shared" si="37"/>
        <v>3.0961538461538463</v>
      </c>
      <c r="AA595" s="3" t="str" cm="1">
        <f t="array" ref="AA595">_xlfn.IFS(
(F595/(X595/7)) &lt; 5, "Casual",
AND((F595/(X595/7)) &gt;= 5, (F595/(X595/7)) &lt; 15), "Regular",
(F595/(X595/7)) &gt;= 15, "Power"
)</f>
        <v>Casual</v>
      </c>
      <c r="AB595" s="3">
        <f t="shared" si="40"/>
        <v>0.29899999999999999</v>
      </c>
      <c r="AC595" t="str">
        <f t="shared" si="38"/>
        <v>Viewers</v>
      </c>
    </row>
    <row r="596" spans="1:29" x14ac:dyDescent="0.3">
      <c r="A596" s="6">
        <v>6138</v>
      </c>
      <c r="B596" s="7" t="s">
        <v>70</v>
      </c>
      <c r="C596" s="10">
        <v>45300</v>
      </c>
      <c r="D596" s="10">
        <v>45619</v>
      </c>
      <c r="E596" s="13">
        <v>15.99</v>
      </c>
      <c r="F596" s="6">
        <v>10</v>
      </c>
      <c r="G596" s="7" t="s">
        <v>51</v>
      </c>
      <c r="H596" s="6">
        <v>4</v>
      </c>
      <c r="I596" s="6">
        <v>6</v>
      </c>
      <c r="J596" s="7" t="b">
        <v>1</v>
      </c>
      <c r="K596" s="6">
        <v>236</v>
      </c>
      <c r="L596" s="6">
        <v>183</v>
      </c>
      <c r="M596" s="7" t="s">
        <v>55</v>
      </c>
      <c r="N596" s="7" t="s">
        <v>56</v>
      </c>
      <c r="O596" s="7" t="s">
        <v>64</v>
      </c>
      <c r="P596" s="6">
        <v>86</v>
      </c>
      <c r="Q596" s="11">
        <v>3.8</v>
      </c>
      <c r="R596" s="7" t="b">
        <v>0</v>
      </c>
      <c r="S596" s="7" t="s">
        <v>30</v>
      </c>
      <c r="T596" s="6">
        <v>959</v>
      </c>
      <c r="U596" s="7" t="s">
        <v>31</v>
      </c>
      <c r="V596" s="12" t="s">
        <v>69</v>
      </c>
      <c r="W596" s="7" t="s">
        <v>33</v>
      </c>
      <c r="X596" s="6">
        <f t="shared" si="39"/>
        <v>319</v>
      </c>
      <c r="Y596" t="str" cm="1">
        <f t="array" ref="Y596">_xlfn.IFS(E596=7.99,"BASIC",E596=11.99,"STANDARD",E596=15.99,"PREMIUM")</f>
        <v>PREMIUM</v>
      </c>
      <c r="Z596" s="4">
        <f t="shared" si="37"/>
        <v>0.21943573667711599</v>
      </c>
      <c r="AA596" s="3" t="str" cm="1">
        <f t="array" ref="AA596">_xlfn.IFS(
(F596/(X596/7)) &lt; 5, "Casual",
AND((F596/(X596/7)) &gt;= 5, (F596/(X596/7)) &lt; 15), "Regular",
(F596/(X596/7)) &gt;= 15, "Power"
)</f>
        <v>Casual</v>
      </c>
      <c r="AB596" s="3">
        <f t="shared" si="40"/>
        <v>2.386634844868735E-2</v>
      </c>
      <c r="AC596" t="str">
        <f t="shared" si="38"/>
        <v xml:space="preserve"> Browsers</v>
      </c>
    </row>
    <row r="597" spans="1:29" x14ac:dyDescent="0.3">
      <c r="A597" s="6">
        <v>1255</v>
      </c>
      <c r="B597" s="7" t="s">
        <v>122</v>
      </c>
      <c r="C597" s="10">
        <v>45053</v>
      </c>
      <c r="D597" s="10">
        <v>45636</v>
      </c>
      <c r="E597" s="13">
        <v>11.99</v>
      </c>
      <c r="F597" s="6">
        <v>82</v>
      </c>
      <c r="G597" s="7" t="s">
        <v>51</v>
      </c>
      <c r="H597" s="6">
        <v>4</v>
      </c>
      <c r="I597" s="6">
        <v>3</v>
      </c>
      <c r="J597" s="7" t="b">
        <v>1</v>
      </c>
      <c r="K597" s="6">
        <v>264</v>
      </c>
      <c r="L597" s="6">
        <v>115</v>
      </c>
      <c r="M597" s="7" t="s">
        <v>55</v>
      </c>
      <c r="N597" s="7" t="s">
        <v>75</v>
      </c>
      <c r="O597" s="7" t="s">
        <v>78</v>
      </c>
      <c r="P597" s="6">
        <v>30</v>
      </c>
      <c r="Q597" s="11">
        <v>4.7</v>
      </c>
      <c r="R597" s="7" t="b">
        <v>1</v>
      </c>
      <c r="S597" s="7" t="s">
        <v>30</v>
      </c>
      <c r="T597" s="6">
        <v>1870</v>
      </c>
      <c r="U597" s="7" t="s">
        <v>58</v>
      </c>
      <c r="V597" s="12" t="s">
        <v>59</v>
      </c>
      <c r="W597" s="7" t="s">
        <v>93</v>
      </c>
      <c r="X597" s="6">
        <f t="shared" si="39"/>
        <v>583</v>
      </c>
      <c r="Y597" t="str" cm="1">
        <f t="array" ref="Y597">_xlfn.IFS(E597=7.99,"BASIC",E597=11.99,"STANDARD",E597=15.99,"PREMIUM")</f>
        <v>STANDARD</v>
      </c>
      <c r="Z597" s="4">
        <f t="shared" si="37"/>
        <v>0.98456260720411659</v>
      </c>
      <c r="AA597" s="3" t="str" cm="1">
        <f t="array" ref="AA597">_xlfn.IFS(
(F597/(X597/7)) &lt; 5, "Casual",
AND((F597/(X597/7)) &gt;= 5, (F597/(X597/7)) &lt; 15), "Regular",
(F597/(X597/7)) &gt;= 15, "Power"
)</f>
        <v>Casual</v>
      </c>
      <c r="AB597" s="3">
        <f t="shared" si="40"/>
        <v>0.21635883905013192</v>
      </c>
      <c r="AC597" t="str">
        <f t="shared" si="38"/>
        <v>Viewers</v>
      </c>
    </row>
    <row r="598" spans="1:29" x14ac:dyDescent="0.3">
      <c r="A598" s="6">
        <v>5528</v>
      </c>
      <c r="B598" s="7" t="s">
        <v>179</v>
      </c>
      <c r="C598" s="10">
        <v>45372</v>
      </c>
      <c r="D598" s="10">
        <v>45636</v>
      </c>
      <c r="E598" s="13">
        <v>11.99</v>
      </c>
      <c r="F598" s="6">
        <v>27</v>
      </c>
      <c r="G598" s="7" t="s">
        <v>26</v>
      </c>
      <c r="H598" s="6">
        <v>3</v>
      </c>
      <c r="I598" s="6">
        <v>6</v>
      </c>
      <c r="J598" s="7" t="b">
        <v>1</v>
      </c>
      <c r="K598" s="6">
        <v>767</v>
      </c>
      <c r="L598" s="6">
        <v>5</v>
      </c>
      <c r="M598" s="7" t="s">
        <v>68</v>
      </c>
      <c r="N598" s="7" t="s">
        <v>44</v>
      </c>
      <c r="O598" s="7" t="s">
        <v>78</v>
      </c>
      <c r="P598" s="6">
        <v>69</v>
      </c>
      <c r="Q598" s="11">
        <v>3.2</v>
      </c>
      <c r="R598" s="7" t="b">
        <v>1</v>
      </c>
      <c r="S598" s="7" t="s">
        <v>30</v>
      </c>
      <c r="T598" s="6">
        <v>2984</v>
      </c>
      <c r="U598" s="7" t="s">
        <v>58</v>
      </c>
      <c r="V598" s="12" t="s">
        <v>69</v>
      </c>
      <c r="W598" s="7" t="s">
        <v>93</v>
      </c>
      <c r="X598" s="6">
        <f t="shared" si="39"/>
        <v>264</v>
      </c>
      <c r="Y598" t="str" cm="1">
        <f t="array" ref="Y598">_xlfn.IFS(E598=7.99,"BASIC",E598=11.99,"STANDARD",E598=15.99,"PREMIUM")</f>
        <v>STANDARD</v>
      </c>
      <c r="Z598" s="4">
        <f t="shared" si="37"/>
        <v>0.71590909090909094</v>
      </c>
      <c r="AA598" s="3" t="str" cm="1">
        <f t="array" ref="AA598">_xlfn.IFS(
(F598/(X598/7)) &lt; 5, "Casual",
AND((F598/(X598/7)) &gt;= 5, (F598/(X598/7)) &lt; 15), "Regular",
(F598/(X598/7)) &gt;= 15, "Power"
)</f>
        <v>Casual</v>
      </c>
      <c r="AB598" s="3">
        <f t="shared" si="40"/>
        <v>3.4974093264248704E-2</v>
      </c>
      <c r="AC598" t="str">
        <f t="shared" si="38"/>
        <v xml:space="preserve"> Browsers</v>
      </c>
    </row>
    <row r="599" spans="1:29" x14ac:dyDescent="0.3">
      <c r="A599" s="6">
        <v>2517</v>
      </c>
      <c r="B599" s="7" t="s">
        <v>157</v>
      </c>
      <c r="C599" s="10">
        <v>45411</v>
      </c>
      <c r="D599" s="10">
        <v>45627</v>
      </c>
      <c r="E599" s="13">
        <v>7.99</v>
      </c>
      <c r="F599" s="6">
        <v>105</v>
      </c>
      <c r="G599" s="7" t="s">
        <v>48</v>
      </c>
      <c r="H599" s="6">
        <v>2</v>
      </c>
      <c r="I599" s="6">
        <v>1</v>
      </c>
      <c r="J599" s="7" t="b">
        <v>1</v>
      </c>
      <c r="K599" s="6">
        <v>247</v>
      </c>
      <c r="L599" s="6">
        <v>104</v>
      </c>
      <c r="M599" s="7" t="s">
        <v>92</v>
      </c>
      <c r="N599" s="7" t="s">
        <v>28</v>
      </c>
      <c r="O599" s="7" t="s">
        <v>57</v>
      </c>
      <c r="P599" s="6">
        <v>19</v>
      </c>
      <c r="Q599" s="11">
        <v>3.2</v>
      </c>
      <c r="R599" s="7" t="b">
        <v>1</v>
      </c>
      <c r="S599" s="7" t="s">
        <v>30</v>
      </c>
      <c r="T599" s="6">
        <v>3379</v>
      </c>
      <c r="U599" s="7" t="s">
        <v>31</v>
      </c>
      <c r="V599" s="12" t="s">
        <v>32</v>
      </c>
      <c r="W599" s="7" t="s">
        <v>93</v>
      </c>
      <c r="X599" s="6">
        <f t="shared" si="39"/>
        <v>216</v>
      </c>
      <c r="Y599" t="str" cm="1">
        <f t="array" ref="Y599">_xlfn.IFS(E599=7.99,"BASIC",E599=11.99,"STANDARD",E599=15.99,"PREMIUM")</f>
        <v>BASIC</v>
      </c>
      <c r="Z599" s="4">
        <f t="shared" si="37"/>
        <v>3.4027777777777777</v>
      </c>
      <c r="AA599" s="3" t="str" cm="1">
        <f t="array" ref="AA599">_xlfn.IFS(
(F599/(X599/7)) &lt; 5, "Casual",
AND((F599/(X599/7)) &gt;= 5, (F599/(X599/7)) &lt; 15), "Regular",
(F599/(X599/7)) &gt;= 15, "Power"
)</f>
        <v>Casual</v>
      </c>
      <c r="AB599" s="3">
        <f t="shared" si="40"/>
        <v>0.29914529914529914</v>
      </c>
      <c r="AC599" t="str">
        <f t="shared" si="38"/>
        <v>Viewers</v>
      </c>
    </row>
    <row r="600" spans="1:29" x14ac:dyDescent="0.3">
      <c r="A600" s="6">
        <v>9593</v>
      </c>
      <c r="B600" s="7" t="s">
        <v>592</v>
      </c>
      <c r="C600" s="10">
        <v>45211</v>
      </c>
      <c r="D600" s="10">
        <v>45620</v>
      </c>
      <c r="E600" s="13">
        <v>15.99</v>
      </c>
      <c r="F600" s="6">
        <v>330</v>
      </c>
      <c r="G600" s="7" t="s">
        <v>63</v>
      </c>
      <c r="H600" s="6">
        <v>3</v>
      </c>
      <c r="I600" s="6">
        <v>1</v>
      </c>
      <c r="J600" s="7" t="b">
        <v>1</v>
      </c>
      <c r="K600" s="6">
        <v>69</v>
      </c>
      <c r="L600" s="6">
        <v>101</v>
      </c>
      <c r="M600" s="7" t="s">
        <v>49</v>
      </c>
      <c r="N600" s="7" t="s">
        <v>28</v>
      </c>
      <c r="O600" s="7" t="s">
        <v>64</v>
      </c>
      <c r="P600" s="6">
        <v>38</v>
      </c>
      <c r="Q600" s="11">
        <v>3</v>
      </c>
      <c r="R600" s="7" t="b">
        <v>1</v>
      </c>
      <c r="S600" s="7" t="s">
        <v>30</v>
      </c>
      <c r="T600" s="6">
        <v>4990</v>
      </c>
      <c r="U600" s="7" t="s">
        <v>38</v>
      </c>
      <c r="V600" s="12" t="s">
        <v>79</v>
      </c>
      <c r="W600" s="7" t="s">
        <v>40</v>
      </c>
      <c r="X600" s="6">
        <f t="shared" si="39"/>
        <v>409</v>
      </c>
      <c r="Y600" t="str" cm="1">
        <f t="array" ref="Y600">_xlfn.IFS(E600=7.99,"BASIC",E600=11.99,"STANDARD",E600=15.99,"PREMIUM")</f>
        <v>PREMIUM</v>
      </c>
      <c r="Z600" s="4">
        <f t="shared" si="37"/>
        <v>5.6479217603911982</v>
      </c>
      <c r="AA600" s="3" t="str" cm="1">
        <f t="array" ref="AA600">_xlfn.IFS(
(F600/(X600/7)) &lt; 5, "Casual",
AND((F600/(X600/7)) &gt;= 5, (F600/(X600/7)) &lt; 15), "Regular",
(F600/(X600/7)) &gt;= 15, "Power"
)</f>
        <v>Regular</v>
      </c>
      <c r="AB600" s="3">
        <f t="shared" si="40"/>
        <v>1.9411764705882353</v>
      </c>
      <c r="AC600" t="str">
        <f t="shared" si="38"/>
        <v>Viewers</v>
      </c>
    </row>
    <row r="601" spans="1:29" x14ac:dyDescent="0.3">
      <c r="A601" s="6">
        <v>7507</v>
      </c>
      <c r="B601" s="7" t="s">
        <v>404</v>
      </c>
      <c r="C601" s="10">
        <v>45357</v>
      </c>
      <c r="D601" s="10">
        <v>45636</v>
      </c>
      <c r="E601" s="13">
        <v>11.99</v>
      </c>
      <c r="F601" s="6">
        <v>462</v>
      </c>
      <c r="G601" s="7" t="s">
        <v>51</v>
      </c>
      <c r="H601" s="6">
        <v>2</v>
      </c>
      <c r="I601" s="6">
        <v>4</v>
      </c>
      <c r="J601" s="7" t="b">
        <v>1</v>
      </c>
      <c r="K601" s="6">
        <v>958</v>
      </c>
      <c r="L601" s="6">
        <v>153</v>
      </c>
      <c r="M601" s="7" t="s">
        <v>92</v>
      </c>
      <c r="N601" s="7" t="s">
        <v>56</v>
      </c>
      <c r="O601" s="7" t="s">
        <v>37</v>
      </c>
      <c r="P601" s="6">
        <v>71</v>
      </c>
      <c r="Q601" s="11">
        <v>4.8</v>
      </c>
      <c r="R601" s="7" t="b">
        <v>0</v>
      </c>
      <c r="S601" s="7" t="s">
        <v>30</v>
      </c>
      <c r="T601" s="6">
        <v>2554</v>
      </c>
      <c r="U601" s="7" t="s">
        <v>58</v>
      </c>
      <c r="V601" s="12" t="s">
        <v>32</v>
      </c>
      <c r="W601" s="7" t="s">
        <v>40</v>
      </c>
      <c r="X601" s="6">
        <f t="shared" si="39"/>
        <v>279</v>
      </c>
      <c r="Y601" t="str" cm="1">
        <f t="array" ref="Y601">_xlfn.IFS(E601=7.99,"BASIC",E601=11.99,"STANDARD",E601=15.99,"PREMIUM")</f>
        <v>STANDARD</v>
      </c>
      <c r="Z601" s="4">
        <f t="shared" si="37"/>
        <v>11.591397849462366</v>
      </c>
      <c r="AA601" s="3" t="str" cm="1">
        <f t="array" ref="AA601">_xlfn.IFS(
(F601/(X601/7)) &lt; 5, "Casual",
AND((F601/(X601/7)) &gt;= 5, (F601/(X601/7)) &lt; 15), "Regular",
(F601/(X601/7)) &gt;= 15, "Power"
)</f>
        <v>Regular</v>
      </c>
      <c r="AB601" s="3">
        <f t="shared" si="40"/>
        <v>0.41584158415841582</v>
      </c>
      <c r="AC601" t="str">
        <f t="shared" si="38"/>
        <v>Viewers</v>
      </c>
    </row>
    <row r="602" spans="1:29" x14ac:dyDescent="0.3">
      <c r="A602" s="6">
        <v>2884</v>
      </c>
      <c r="B602" s="7" t="s">
        <v>549</v>
      </c>
      <c r="C602" s="10">
        <v>45260</v>
      </c>
      <c r="D602" s="10">
        <v>45641</v>
      </c>
      <c r="E602" s="13">
        <v>15.99</v>
      </c>
      <c r="F602" s="6">
        <v>250</v>
      </c>
      <c r="G602" s="7" t="s">
        <v>26</v>
      </c>
      <c r="H602" s="6">
        <v>4</v>
      </c>
      <c r="I602" s="6">
        <v>6</v>
      </c>
      <c r="J602" s="7" t="b">
        <v>0</v>
      </c>
      <c r="K602" s="6">
        <v>271</v>
      </c>
      <c r="L602" s="6">
        <v>50</v>
      </c>
      <c r="M602" s="7" t="s">
        <v>74</v>
      </c>
      <c r="N602" s="7" t="s">
        <v>75</v>
      </c>
      <c r="O602" s="7" t="s">
        <v>29</v>
      </c>
      <c r="P602" s="6">
        <v>34</v>
      </c>
      <c r="Q602" s="11">
        <v>4.7</v>
      </c>
      <c r="R602" s="7" t="b">
        <v>0</v>
      </c>
      <c r="S602" s="7" t="s">
        <v>30</v>
      </c>
      <c r="T602" s="6">
        <v>4307</v>
      </c>
      <c r="U602" s="7" t="s">
        <v>76</v>
      </c>
      <c r="V602" s="12" t="s">
        <v>59</v>
      </c>
      <c r="W602" s="7" t="s">
        <v>40</v>
      </c>
      <c r="X602" s="6">
        <f t="shared" si="39"/>
        <v>381</v>
      </c>
      <c r="Y602" t="str" cm="1">
        <f t="array" ref="Y602">_xlfn.IFS(E602=7.99,"BASIC",E602=11.99,"STANDARD",E602=15.99,"PREMIUM")</f>
        <v>PREMIUM</v>
      </c>
      <c r="Z602" s="4">
        <f t="shared" si="37"/>
        <v>4.5931758530183728</v>
      </c>
      <c r="AA602" s="3" t="str" cm="1">
        <f t="array" ref="AA602">_xlfn.IFS(
(F602/(X602/7)) &lt; 5, "Casual",
AND((F602/(X602/7)) &gt;= 5, (F602/(X602/7)) &lt; 15), "Regular",
(F602/(X602/7)) &gt;= 15, "Power"
)</f>
        <v>Casual</v>
      </c>
      <c r="AB602" s="3">
        <f t="shared" si="40"/>
        <v>0.77881619937694702</v>
      </c>
      <c r="AC602" t="str">
        <f t="shared" si="38"/>
        <v>Viewers</v>
      </c>
    </row>
    <row r="603" spans="1:29" x14ac:dyDescent="0.3">
      <c r="A603" s="6">
        <v>6374</v>
      </c>
      <c r="B603" s="7" t="s">
        <v>495</v>
      </c>
      <c r="C603" s="10">
        <v>45114</v>
      </c>
      <c r="D603" s="10">
        <v>45615</v>
      </c>
      <c r="E603" s="13">
        <v>15.99</v>
      </c>
      <c r="F603" s="6">
        <v>30</v>
      </c>
      <c r="G603" s="7" t="s">
        <v>26</v>
      </c>
      <c r="H603" s="6">
        <v>1</v>
      </c>
      <c r="I603" s="6">
        <v>1</v>
      </c>
      <c r="J603" s="7" t="b">
        <v>0</v>
      </c>
      <c r="K603" s="6">
        <v>178</v>
      </c>
      <c r="L603" s="6">
        <v>162</v>
      </c>
      <c r="M603" s="7" t="s">
        <v>55</v>
      </c>
      <c r="N603" s="7" t="s">
        <v>28</v>
      </c>
      <c r="O603" s="7" t="s">
        <v>45</v>
      </c>
      <c r="P603" s="6">
        <v>20</v>
      </c>
      <c r="Q603" s="11">
        <v>4.5999999999999996</v>
      </c>
      <c r="R603" s="7" t="b">
        <v>1</v>
      </c>
      <c r="S603" s="7" t="s">
        <v>30</v>
      </c>
      <c r="T603" s="6">
        <v>3124</v>
      </c>
      <c r="U603" s="7" t="s">
        <v>31</v>
      </c>
      <c r="V603" s="12" t="s">
        <v>69</v>
      </c>
      <c r="W603" s="7" t="s">
        <v>93</v>
      </c>
      <c r="X603" s="6">
        <f t="shared" si="39"/>
        <v>501</v>
      </c>
      <c r="Y603" t="str" cm="1">
        <f t="array" ref="Y603">_xlfn.IFS(E603=7.99,"BASIC",E603=11.99,"STANDARD",E603=15.99,"PREMIUM")</f>
        <v>PREMIUM</v>
      </c>
      <c r="Z603" s="4">
        <f t="shared" si="37"/>
        <v>0.41916167664670662</v>
      </c>
      <c r="AA603" s="3" t="str" cm="1">
        <f t="array" ref="AA603">_xlfn.IFS(
(F603/(X603/7)) &lt; 5, "Casual",
AND((F603/(X603/7)) &gt;= 5, (F603/(X603/7)) &lt; 15), "Regular",
(F603/(X603/7)) &gt;= 15, "Power"
)</f>
        <v>Casual</v>
      </c>
      <c r="AB603" s="3">
        <f t="shared" si="40"/>
        <v>8.8235294117647065E-2</v>
      </c>
      <c r="AC603" t="str">
        <f t="shared" si="38"/>
        <v xml:space="preserve"> Browsers</v>
      </c>
    </row>
    <row r="604" spans="1:29" x14ac:dyDescent="0.3">
      <c r="A604" s="6">
        <v>6888</v>
      </c>
      <c r="B604" s="7" t="s">
        <v>196</v>
      </c>
      <c r="C604" s="10">
        <v>45420</v>
      </c>
      <c r="D604" s="10">
        <v>45629</v>
      </c>
      <c r="E604" s="13">
        <v>15.99</v>
      </c>
      <c r="F604" s="6">
        <v>364</v>
      </c>
      <c r="G604" s="7" t="s">
        <v>73</v>
      </c>
      <c r="H604" s="6">
        <v>2</v>
      </c>
      <c r="I604" s="6">
        <v>5</v>
      </c>
      <c r="J604" s="7" t="b">
        <v>0</v>
      </c>
      <c r="K604" s="6">
        <v>865</v>
      </c>
      <c r="L604" s="6">
        <v>104</v>
      </c>
      <c r="M604" s="7" t="s">
        <v>27</v>
      </c>
      <c r="N604" s="7" t="s">
        <v>56</v>
      </c>
      <c r="O604" s="7" t="s">
        <v>45</v>
      </c>
      <c r="P604" s="6">
        <v>31</v>
      </c>
      <c r="Q604" s="11">
        <v>3.1</v>
      </c>
      <c r="R604" s="7" t="b">
        <v>0</v>
      </c>
      <c r="S604" s="7" t="s">
        <v>30</v>
      </c>
      <c r="T604" s="6">
        <v>1261</v>
      </c>
      <c r="U604" s="7" t="s">
        <v>31</v>
      </c>
      <c r="V604" s="12" t="s">
        <v>32</v>
      </c>
      <c r="W604" s="7" t="s">
        <v>33</v>
      </c>
      <c r="X604" s="6">
        <f t="shared" si="39"/>
        <v>209</v>
      </c>
      <c r="Y604" t="str" cm="1">
        <f t="array" ref="Y604">_xlfn.IFS(E604=7.99,"BASIC",E604=11.99,"STANDARD",E604=15.99,"PREMIUM")</f>
        <v>PREMIUM</v>
      </c>
      <c r="Z604" s="4">
        <f t="shared" si="37"/>
        <v>12.191387559808613</v>
      </c>
      <c r="AA604" s="3" t="str" cm="1">
        <f t="array" ref="AA604">_xlfn.IFS(
(F604/(X604/7)) &lt; 5, "Casual",
AND((F604/(X604/7)) &gt;= 5, (F604/(X604/7)) &lt; 15), "Regular",
(F604/(X604/7)) &gt;= 15, "Power"
)</f>
        <v>Regular</v>
      </c>
      <c r="AB604" s="3">
        <f t="shared" si="40"/>
        <v>0.37564499484004127</v>
      </c>
      <c r="AC604" t="str">
        <f t="shared" si="38"/>
        <v>Viewers</v>
      </c>
    </row>
    <row r="605" spans="1:29" x14ac:dyDescent="0.3">
      <c r="A605" s="6">
        <v>2788</v>
      </c>
      <c r="B605" s="7" t="s">
        <v>593</v>
      </c>
      <c r="C605" s="10">
        <v>44966</v>
      </c>
      <c r="D605" s="10">
        <v>45632</v>
      </c>
      <c r="E605" s="13">
        <v>15.99</v>
      </c>
      <c r="F605" s="6">
        <v>404</v>
      </c>
      <c r="G605" s="7" t="s">
        <v>73</v>
      </c>
      <c r="H605" s="6">
        <v>2</v>
      </c>
      <c r="I605" s="6">
        <v>2</v>
      </c>
      <c r="J605" s="7" t="b">
        <v>0</v>
      </c>
      <c r="K605" s="6">
        <v>257</v>
      </c>
      <c r="L605" s="6">
        <v>113</v>
      </c>
      <c r="M605" s="7" t="s">
        <v>74</v>
      </c>
      <c r="N605" s="7" t="s">
        <v>56</v>
      </c>
      <c r="O605" s="7" t="s">
        <v>45</v>
      </c>
      <c r="P605" s="6">
        <v>60</v>
      </c>
      <c r="Q605" s="11">
        <v>3.8</v>
      </c>
      <c r="R605" s="7" t="b">
        <v>0</v>
      </c>
      <c r="S605" s="7" t="s">
        <v>30</v>
      </c>
      <c r="T605" s="6">
        <v>1290</v>
      </c>
      <c r="U605" s="7" t="s">
        <v>58</v>
      </c>
      <c r="V605" s="12" t="s">
        <v>32</v>
      </c>
      <c r="W605" s="7" t="s">
        <v>33</v>
      </c>
      <c r="X605" s="6">
        <f t="shared" si="39"/>
        <v>666</v>
      </c>
      <c r="Y605" t="str" cm="1">
        <f t="array" ref="Y605">_xlfn.IFS(E605=7.99,"BASIC",E605=11.99,"STANDARD",E605=15.99,"PREMIUM")</f>
        <v>PREMIUM</v>
      </c>
      <c r="Z605" s="4">
        <f t="shared" si="37"/>
        <v>4.2462462462462467</v>
      </c>
      <c r="AA605" s="3" t="str" cm="1">
        <f t="array" ref="AA605">_xlfn.IFS(
(F605/(X605/7)) &lt; 5, "Casual",
AND((F605/(X605/7)) &gt;= 5, (F605/(X605/7)) &lt; 15), "Regular",
(F605/(X605/7)) &gt;= 15, "Power"
)</f>
        <v>Casual</v>
      </c>
      <c r="AB605" s="3">
        <f t="shared" si="40"/>
        <v>1.0918918918918918</v>
      </c>
      <c r="AC605" t="str">
        <f t="shared" si="38"/>
        <v>Viewers</v>
      </c>
    </row>
    <row r="606" spans="1:29" x14ac:dyDescent="0.3">
      <c r="A606" s="6">
        <v>7892</v>
      </c>
      <c r="B606" s="7" t="s">
        <v>137</v>
      </c>
      <c r="C606" s="10">
        <v>45414</v>
      </c>
      <c r="D606" s="10">
        <v>45621</v>
      </c>
      <c r="E606" s="13">
        <v>7.99</v>
      </c>
      <c r="F606" s="6">
        <v>499</v>
      </c>
      <c r="G606" s="7" t="s">
        <v>100</v>
      </c>
      <c r="H606" s="6">
        <v>4</v>
      </c>
      <c r="I606" s="6">
        <v>3</v>
      </c>
      <c r="J606" s="7" t="b">
        <v>0</v>
      </c>
      <c r="K606" s="6">
        <v>428</v>
      </c>
      <c r="L606" s="6">
        <v>168</v>
      </c>
      <c r="M606" s="7" t="s">
        <v>92</v>
      </c>
      <c r="N606" s="7" t="s">
        <v>56</v>
      </c>
      <c r="O606" s="7" t="s">
        <v>78</v>
      </c>
      <c r="P606" s="6">
        <v>82</v>
      </c>
      <c r="Q606" s="11">
        <v>3.7</v>
      </c>
      <c r="R606" s="7" t="b">
        <v>0</v>
      </c>
      <c r="S606" s="7" t="s">
        <v>30</v>
      </c>
      <c r="T606" s="6">
        <v>874</v>
      </c>
      <c r="U606" s="7" t="s">
        <v>31</v>
      </c>
      <c r="V606" s="12" t="s">
        <v>79</v>
      </c>
      <c r="W606" s="7" t="s">
        <v>60</v>
      </c>
      <c r="X606" s="6">
        <f t="shared" si="39"/>
        <v>207</v>
      </c>
      <c r="Y606" t="str" cm="1">
        <f t="array" ref="Y606">_xlfn.IFS(E606=7.99,"BASIC",E606=11.99,"STANDARD",E606=15.99,"PREMIUM")</f>
        <v>BASIC</v>
      </c>
      <c r="Z606" s="4">
        <f t="shared" si="37"/>
        <v>16.874396135265698</v>
      </c>
      <c r="AA606" s="3" t="str" cm="1">
        <f t="array" ref="AA606">_xlfn.IFS(
(F606/(X606/7)) &lt; 5, "Casual",
AND((F606/(X606/7)) &gt;= 5, (F606/(X606/7)) &lt; 15), "Regular",
(F606/(X606/7)) &gt;= 15, "Power"
)</f>
        <v>Power</v>
      </c>
      <c r="AB606" s="3">
        <f t="shared" si="40"/>
        <v>0.83724832214765099</v>
      </c>
      <c r="AC606" t="str">
        <f t="shared" si="38"/>
        <v>Viewers</v>
      </c>
    </row>
    <row r="607" spans="1:29" x14ac:dyDescent="0.3">
      <c r="A607" s="6">
        <v>4576</v>
      </c>
      <c r="B607" s="7" t="s">
        <v>138</v>
      </c>
      <c r="C607" s="10">
        <v>45492</v>
      </c>
      <c r="D607" s="10">
        <v>45642</v>
      </c>
      <c r="E607" s="13">
        <v>15.99</v>
      </c>
      <c r="F607" s="6">
        <v>480</v>
      </c>
      <c r="G607" s="7" t="s">
        <v>36</v>
      </c>
      <c r="H607" s="6">
        <v>2</v>
      </c>
      <c r="I607" s="6">
        <v>2</v>
      </c>
      <c r="J607" s="7" t="b">
        <v>1</v>
      </c>
      <c r="K607" s="6">
        <v>994</v>
      </c>
      <c r="L607" s="6">
        <v>78</v>
      </c>
      <c r="M607" s="7" t="s">
        <v>74</v>
      </c>
      <c r="N607" s="7" t="s">
        <v>56</v>
      </c>
      <c r="O607" s="7" t="s">
        <v>45</v>
      </c>
      <c r="P607" s="6">
        <v>39</v>
      </c>
      <c r="Q607" s="11">
        <v>4.3</v>
      </c>
      <c r="R607" s="7" t="b">
        <v>1</v>
      </c>
      <c r="S607" s="7" t="s">
        <v>30</v>
      </c>
      <c r="T607" s="6">
        <v>1734</v>
      </c>
      <c r="U607" s="7" t="s">
        <v>76</v>
      </c>
      <c r="V607" s="12" t="s">
        <v>39</v>
      </c>
      <c r="W607" s="7" t="s">
        <v>60</v>
      </c>
      <c r="X607" s="6">
        <f t="shared" si="39"/>
        <v>150</v>
      </c>
      <c r="Y607" t="str" cm="1">
        <f t="array" ref="Y607">_xlfn.IFS(E607=7.99,"BASIC",E607=11.99,"STANDARD",E607=15.99,"PREMIUM")</f>
        <v>PREMIUM</v>
      </c>
      <c r="Z607" s="4">
        <f t="shared" si="37"/>
        <v>22.400000000000002</v>
      </c>
      <c r="AA607" s="3" t="str" cm="1">
        <f t="array" ref="AA607">_xlfn.IFS(
(F607/(X607/7)) &lt; 5, "Casual",
AND((F607/(X607/7)) &gt;= 5, (F607/(X607/7)) &lt; 15), "Regular",
(F607/(X607/7)) &gt;= 15, "Power"
)</f>
        <v>Power</v>
      </c>
      <c r="AB607" s="3">
        <f t="shared" si="40"/>
        <v>0.44776119402985076</v>
      </c>
      <c r="AC607" t="str">
        <f t="shared" si="38"/>
        <v>Viewers</v>
      </c>
    </row>
    <row r="608" spans="1:29" x14ac:dyDescent="0.3">
      <c r="A608" s="6">
        <v>8901</v>
      </c>
      <c r="B608" s="7" t="s">
        <v>595</v>
      </c>
      <c r="C608" s="10">
        <v>45300</v>
      </c>
      <c r="D608" s="10">
        <v>45625</v>
      </c>
      <c r="E608" s="13">
        <v>11.99</v>
      </c>
      <c r="F608" s="6">
        <v>417</v>
      </c>
      <c r="G608" s="7" t="s">
        <v>26</v>
      </c>
      <c r="H608" s="6">
        <v>5</v>
      </c>
      <c r="I608" s="6">
        <v>6</v>
      </c>
      <c r="J608" s="7" t="b">
        <v>0</v>
      </c>
      <c r="K608" s="6">
        <v>476</v>
      </c>
      <c r="L608" s="6">
        <v>37</v>
      </c>
      <c r="M608" s="7" t="s">
        <v>27</v>
      </c>
      <c r="N608" s="7" t="s">
        <v>75</v>
      </c>
      <c r="O608" s="7" t="s">
        <v>29</v>
      </c>
      <c r="P608" s="6">
        <v>12</v>
      </c>
      <c r="Q608" s="11">
        <v>4.0999999999999996</v>
      </c>
      <c r="R608" s="7" t="b">
        <v>1</v>
      </c>
      <c r="S608" s="7" t="s">
        <v>30</v>
      </c>
      <c r="T608" s="6">
        <v>2444</v>
      </c>
      <c r="U608" s="7" t="s">
        <v>76</v>
      </c>
      <c r="V608" s="12" t="s">
        <v>79</v>
      </c>
      <c r="W608" s="7" t="s">
        <v>60</v>
      </c>
      <c r="X608" s="6">
        <f t="shared" si="39"/>
        <v>325</v>
      </c>
      <c r="Y608" t="str" cm="1">
        <f t="array" ref="Y608">_xlfn.IFS(E608=7.99,"BASIC",E608=11.99,"STANDARD",E608=15.99,"PREMIUM")</f>
        <v>STANDARD</v>
      </c>
      <c r="Z608" s="4">
        <f t="shared" si="37"/>
        <v>8.9815384615384612</v>
      </c>
      <c r="AA608" s="3" t="str" cm="1">
        <f t="array" ref="AA608">_xlfn.IFS(
(F608/(X608/7)) &lt; 5, "Casual",
AND((F608/(X608/7)) &gt;= 5, (F608/(X608/7)) &lt; 15), "Regular",
(F608/(X608/7)) &gt;= 15, "Power"
)</f>
        <v>Regular</v>
      </c>
      <c r="AB608" s="3">
        <f t="shared" si="40"/>
        <v>0.8128654970760234</v>
      </c>
      <c r="AC608" t="str">
        <f t="shared" si="38"/>
        <v>Viewers</v>
      </c>
    </row>
    <row r="609" spans="1:29" x14ac:dyDescent="0.3">
      <c r="A609" s="6">
        <v>5147</v>
      </c>
      <c r="B609" s="7" t="s">
        <v>140</v>
      </c>
      <c r="C609" s="10">
        <v>45091</v>
      </c>
      <c r="D609" s="10">
        <v>45640</v>
      </c>
      <c r="E609" s="13">
        <v>7.99</v>
      </c>
      <c r="F609" s="6">
        <v>215</v>
      </c>
      <c r="G609" s="7" t="s">
        <v>73</v>
      </c>
      <c r="H609" s="6">
        <v>5</v>
      </c>
      <c r="I609" s="6">
        <v>4</v>
      </c>
      <c r="J609" s="7" t="b">
        <v>1</v>
      </c>
      <c r="K609" s="6">
        <v>150</v>
      </c>
      <c r="L609" s="6">
        <v>57</v>
      </c>
      <c r="M609" s="7" t="s">
        <v>49</v>
      </c>
      <c r="N609" s="7" t="s">
        <v>28</v>
      </c>
      <c r="O609" s="7" t="s">
        <v>29</v>
      </c>
      <c r="P609" s="6">
        <v>76</v>
      </c>
      <c r="Q609" s="11">
        <v>4.5</v>
      </c>
      <c r="R609" s="7" t="b">
        <v>0</v>
      </c>
      <c r="S609" s="7" t="s">
        <v>30</v>
      </c>
      <c r="T609" s="6">
        <v>1529</v>
      </c>
      <c r="U609" s="7" t="s">
        <v>31</v>
      </c>
      <c r="V609" s="12" t="s">
        <v>32</v>
      </c>
      <c r="W609" s="7" t="s">
        <v>33</v>
      </c>
      <c r="X609" s="6">
        <f t="shared" si="39"/>
        <v>549</v>
      </c>
      <c r="Y609" t="str" cm="1">
        <f t="array" ref="Y609">_xlfn.IFS(E609=7.99,"BASIC",E609=11.99,"STANDARD",E609=15.99,"PREMIUM")</f>
        <v>BASIC</v>
      </c>
      <c r="Z609" s="4">
        <f t="shared" si="37"/>
        <v>2.7413479052823315</v>
      </c>
      <c r="AA609" s="3" t="str" cm="1">
        <f t="array" ref="AA609">_xlfn.IFS(
(F609/(X609/7)) &lt; 5, "Casual",
AND((F609/(X609/7)) &gt;= 5, (F609/(X609/7)) &lt; 15), "Regular",
(F609/(X609/7)) &gt;= 15, "Power"
)</f>
        <v>Casual</v>
      </c>
      <c r="AB609" s="3">
        <f t="shared" si="40"/>
        <v>1.038647342995169</v>
      </c>
      <c r="AC609" t="str">
        <f t="shared" si="38"/>
        <v>Viewers</v>
      </c>
    </row>
    <row r="610" spans="1:29" x14ac:dyDescent="0.3">
      <c r="A610" s="6">
        <v>8646</v>
      </c>
      <c r="B610" s="7" t="s">
        <v>294</v>
      </c>
      <c r="C610" s="10">
        <v>45281</v>
      </c>
      <c r="D610" s="10">
        <v>45632</v>
      </c>
      <c r="E610" s="13">
        <v>7.99</v>
      </c>
      <c r="F610" s="6">
        <v>234</v>
      </c>
      <c r="G610" s="7" t="s">
        <v>26</v>
      </c>
      <c r="H610" s="6">
        <v>2</v>
      </c>
      <c r="I610" s="6">
        <v>6</v>
      </c>
      <c r="J610" s="7" t="b">
        <v>1</v>
      </c>
      <c r="K610" s="6">
        <v>580</v>
      </c>
      <c r="L610" s="6">
        <v>149</v>
      </c>
      <c r="M610" s="7" t="s">
        <v>49</v>
      </c>
      <c r="N610" s="7" t="s">
        <v>28</v>
      </c>
      <c r="O610" s="7" t="s">
        <v>78</v>
      </c>
      <c r="P610" s="6">
        <v>31</v>
      </c>
      <c r="Q610" s="11">
        <v>3.8</v>
      </c>
      <c r="R610" s="7" t="b">
        <v>1</v>
      </c>
      <c r="S610" s="7" t="s">
        <v>30</v>
      </c>
      <c r="T610" s="6">
        <v>1976</v>
      </c>
      <c r="U610" s="7" t="s">
        <v>65</v>
      </c>
      <c r="V610" s="12" t="s">
        <v>79</v>
      </c>
      <c r="W610" s="7" t="s">
        <v>33</v>
      </c>
      <c r="X610" s="6">
        <f t="shared" si="39"/>
        <v>351</v>
      </c>
      <c r="Y610" t="str" cm="1">
        <f t="array" ref="Y610">_xlfn.IFS(E610=7.99,"BASIC",E610=11.99,"STANDARD",E610=15.99,"PREMIUM")</f>
        <v>BASIC</v>
      </c>
      <c r="Z610" s="4">
        <f t="shared" si="37"/>
        <v>4.6666666666666661</v>
      </c>
      <c r="AA610" s="3" t="str" cm="1">
        <f t="array" ref="AA610">_xlfn.IFS(
(F610/(X610/7)) &lt; 5, "Casual",
AND((F610/(X610/7)) &gt;= 5, (F610/(X610/7)) &lt; 15), "Regular",
(F610/(X610/7)) &gt;= 15, "Power"
)</f>
        <v>Casual</v>
      </c>
      <c r="AB610" s="3">
        <f t="shared" si="40"/>
        <v>0.32098765432098764</v>
      </c>
      <c r="AC610" t="str">
        <f t="shared" si="38"/>
        <v>Viewers</v>
      </c>
    </row>
    <row r="611" spans="1:29" x14ac:dyDescent="0.3">
      <c r="A611" s="6">
        <v>8343</v>
      </c>
      <c r="B611" s="7" t="s">
        <v>140</v>
      </c>
      <c r="C611" s="10">
        <v>45598</v>
      </c>
      <c r="D611" s="10">
        <v>45643</v>
      </c>
      <c r="E611" s="13">
        <v>7.99</v>
      </c>
      <c r="F611" s="6">
        <v>103</v>
      </c>
      <c r="G611" s="7" t="s">
        <v>26</v>
      </c>
      <c r="H611" s="6">
        <v>2</v>
      </c>
      <c r="I611" s="6">
        <v>6</v>
      </c>
      <c r="J611" s="7" t="b">
        <v>0</v>
      </c>
      <c r="K611" s="6">
        <v>284</v>
      </c>
      <c r="L611" s="6">
        <v>84</v>
      </c>
      <c r="M611" s="7" t="s">
        <v>92</v>
      </c>
      <c r="N611" s="7" t="s">
        <v>28</v>
      </c>
      <c r="O611" s="7" t="s">
        <v>64</v>
      </c>
      <c r="P611" s="6">
        <v>30</v>
      </c>
      <c r="Q611" s="11">
        <v>4</v>
      </c>
      <c r="R611" s="7" t="b">
        <v>0</v>
      </c>
      <c r="S611" s="7" t="s">
        <v>30</v>
      </c>
      <c r="T611" s="6">
        <v>3452</v>
      </c>
      <c r="U611" s="7" t="s">
        <v>31</v>
      </c>
      <c r="V611" s="12" t="s">
        <v>79</v>
      </c>
      <c r="W611" s="7" t="s">
        <v>93</v>
      </c>
      <c r="X611" s="6">
        <f t="shared" si="39"/>
        <v>45</v>
      </c>
      <c r="Y611" t="str" cm="1">
        <f t="array" ref="Y611">_xlfn.IFS(E611=7.99,"BASIC",E611=11.99,"STANDARD",E611=15.99,"PREMIUM")</f>
        <v>BASIC</v>
      </c>
      <c r="Z611" s="4">
        <f t="shared" si="37"/>
        <v>16.022222222222222</v>
      </c>
      <c r="AA611" s="3" t="str" cm="1">
        <f t="array" ref="AA611">_xlfn.IFS(
(F611/(X611/7)) &lt; 5, "Casual",
AND((F611/(X611/7)) &gt;= 5, (F611/(X611/7)) &lt; 15), "Regular",
(F611/(X611/7)) &gt;= 15, "Power"
)</f>
        <v>Power</v>
      </c>
      <c r="AB611" s="3">
        <f t="shared" si="40"/>
        <v>0.27989130434782611</v>
      </c>
      <c r="AC611" t="str">
        <f t="shared" si="38"/>
        <v>Viewers</v>
      </c>
    </row>
    <row r="612" spans="1:29" x14ac:dyDescent="0.3">
      <c r="A612" s="6">
        <v>9332</v>
      </c>
      <c r="B612" s="7" t="s">
        <v>41</v>
      </c>
      <c r="C612" s="10">
        <v>45075</v>
      </c>
      <c r="D612" s="10">
        <v>45644</v>
      </c>
      <c r="E612" s="13">
        <v>15.99</v>
      </c>
      <c r="F612" s="6">
        <v>191</v>
      </c>
      <c r="G612" s="7" t="s">
        <v>51</v>
      </c>
      <c r="H612" s="6">
        <v>5</v>
      </c>
      <c r="I612" s="6">
        <v>1</v>
      </c>
      <c r="J612" s="7" t="b">
        <v>0</v>
      </c>
      <c r="K612" s="6">
        <v>688</v>
      </c>
      <c r="L612" s="6">
        <v>192</v>
      </c>
      <c r="M612" s="7" t="s">
        <v>27</v>
      </c>
      <c r="N612" s="7" t="s">
        <v>28</v>
      </c>
      <c r="O612" s="7" t="s">
        <v>29</v>
      </c>
      <c r="P612" s="6">
        <v>71</v>
      </c>
      <c r="Q612" s="11">
        <v>4</v>
      </c>
      <c r="R612" s="7" t="b">
        <v>0</v>
      </c>
      <c r="S612" s="7" t="s">
        <v>30</v>
      </c>
      <c r="T612" s="6">
        <v>2610</v>
      </c>
      <c r="U612" s="7" t="s">
        <v>58</v>
      </c>
      <c r="V612" s="12" t="s">
        <v>59</v>
      </c>
      <c r="W612" s="7" t="s">
        <v>60</v>
      </c>
      <c r="X612" s="6">
        <f t="shared" si="39"/>
        <v>569</v>
      </c>
      <c r="Y612" t="str" cm="1">
        <f t="array" ref="Y612">_xlfn.IFS(E612=7.99,"BASIC",E612=11.99,"STANDARD",E612=15.99,"PREMIUM")</f>
        <v>PREMIUM</v>
      </c>
      <c r="Z612" s="4">
        <f t="shared" si="37"/>
        <v>2.3497363796133568</v>
      </c>
      <c r="AA612" s="3" t="str" cm="1">
        <f t="array" ref="AA612">_xlfn.IFS(
(F612/(X612/7)) &lt; 5, "Casual",
AND((F612/(X612/7)) &gt;= 5, (F612/(X612/7)) &lt; 15), "Regular",
(F612/(X612/7)) &gt;= 15, "Power"
)</f>
        <v>Casual</v>
      </c>
      <c r="AB612" s="3">
        <f t="shared" si="40"/>
        <v>0.21704545454545454</v>
      </c>
      <c r="AC612" t="str">
        <f t="shared" si="38"/>
        <v>Viewers</v>
      </c>
    </row>
    <row r="613" spans="1:29" x14ac:dyDescent="0.3">
      <c r="A613" s="6">
        <v>7398</v>
      </c>
      <c r="B613" s="7" t="s">
        <v>349</v>
      </c>
      <c r="C613" s="10">
        <v>45275</v>
      </c>
      <c r="D613" s="10">
        <v>45641</v>
      </c>
      <c r="E613" s="13">
        <v>11.99</v>
      </c>
      <c r="F613" s="6">
        <v>82</v>
      </c>
      <c r="G613" s="7" t="s">
        <v>36</v>
      </c>
      <c r="H613" s="6">
        <v>5</v>
      </c>
      <c r="I613" s="6">
        <v>1</v>
      </c>
      <c r="J613" s="7" t="b">
        <v>1</v>
      </c>
      <c r="K613" s="6">
        <v>93</v>
      </c>
      <c r="L613" s="6">
        <v>46</v>
      </c>
      <c r="M613" s="7" t="s">
        <v>43</v>
      </c>
      <c r="N613" s="7" t="s">
        <v>28</v>
      </c>
      <c r="O613" s="7" t="s">
        <v>37</v>
      </c>
      <c r="P613" s="6">
        <v>41</v>
      </c>
      <c r="Q613" s="11">
        <v>4.7</v>
      </c>
      <c r="R613" s="7" t="b">
        <v>1</v>
      </c>
      <c r="S613" s="7" t="s">
        <v>30</v>
      </c>
      <c r="T613" s="6">
        <v>3152</v>
      </c>
      <c r="U613" s="7" t="s">
        <v>31</v>
      </c>
      <c r="V613" s="12" t="s">
        <v>39</v>
      </c>
      <c r="W613" s="7" t="s">
        <v>40</v>
      </c>
      <c r="X613" s="6">
        <f t="shared" si="39"/>
        <v>366</v>
      </c>
      <c r="Y613" t="str" cm="1">
        <f t="array" ref="Y613">_xlfn.IFS(E613=7.99,"BASIC",E613=11.99,"STANDARD",E613=15.99,"PREMIUM")</f>
        <v>STANDARD</v>
      </c>
      <c r="Z613" s="4">
        <f t="shared" si="37"/>
        <v>1.5683060109289617</v>
      </c>
      <c r="AA613" s="3" t="str" cm="1">
        <f t="array" ref="AA613">_xlfn.IFS(
(F613/(X613/7)) &lt; 5, "Casual",
AND((F613/(X613/7)) &gt;= 5, (F613/(X613/7)) &lt; 15), "Regular",
(F613/(X613/7)) &gt;= 15, "Power"
)</f>
        <v>Casual</v>
      </c>
      <c r="AB613" s="3">
        <f t="shared" si="40"/>
        <v>0.58992805755395683</v>
      </c>
      <c r="AC613" t="str">
        <f t="shared" si="38"/>
        <v>Viewers</v>
      </c>
    </row>
    <row r="614" spans="1:29" x14ac:dyDescent="0.3">
      <c r="A614" s="6">
        <v>3572</v>
      </c>
      <c r="B614" s="7" t="s">
        <v>598</v>
      </c>
      <c r="C614" s="10">
        <v>45386</v>
      </c>
      <c r="D614" s="10">
        <v>45641</v>
      </c>
      <c r="E614" s="13">
        <v>11.99</v>
      </c>
      <c r="F614" s="6">
        <v>468</v>
      </c>
      <c r="G614" s="7" t="s">
        <v>51</v>
      </c>
      <c r="H614" s="6">
        <v>5</v>
      </c>
      <c r="I614" s="6">
        <v>6</v>
      </c>
      <c r="J614" s="7" t="b">
        <v>1</v>
      </c>
      <c r="K614" s="6">
        <v>799</v>
      </c>
      <c r="L614" s="6">
        <v>44</v>
      </c>
      <c r="M614" s="7" t="s">
        <v>55</v>
      </c>
      <c r="N614" s="7" t="s">
        <v>28</v>
      </c>
      <c r="O614" s="7" t="s">
        <v>57</v>
      </c>
      <c r="P614" s="6">
        <v>98</v>
      </c>
      <c r="Q614" s="11">
        <v>4.9000000000000004</v>
      </c>
      <c r="R614" s="7" t="b">
        <v>0</v>
      </c>
      <c r="S614" s="7" t="s">
        <v>30</v>
      </c>
      <c r="T614" s="6">
        <v>4963</v>
      </c>
      <c r="U614" s="7" t="s">
        <v>76</v>
      </c>
      <c r="V614" s="12" t="s">
        <v>59</v>
      </c>
      <c r="W614" s="7" t="s">
        <v>40</v>
      </c>
      <c r="X614" s="6">
        <f t="shared" si="39"/>
        <v>255</v>
      </c>
      <c r="Y614" t="str" cm="1">
        <f t="array" ref="Y614">_xlfn.IFS(E614=7.99,"BASIC",E614=11.99,"STANDARD",E614=15.99,"PREMIUM")</f>
        <v>STANDARD</v>
      </c>
      <c r="Z614" s="4">
        <f t="shared" si="37"/>
        <v>12.847058823529411</v>
      </c>
      <c r="AA614" s="3" t="str" cm="1">
        <f t="array" ref="AA614">_xlfn.IFS(
(F614/(X614/7)) &lt; 5, "Casual",
AND((F614/(X614/7)) &gt;= 5, (F614/(X614/7)) &lt; 15), "Regular",
(F614/(X614/7)) &gt;= 15, "Power"
)</f>
        <v>Regular</v>
      </c>
      <c r="AB614" s="3">
        <f t="shared" si="40"/>
        <v>0.55516014234875444</v>
      </c>
      <c r="AC614" t="str">
        <f t="shared" si="38"/>
        <v>Viewers</v>
      </c>
    </row>
    <row r="615" spans="1:29" x14ac:dyDescent="0.3">
      <c r="A615" s="6">
        <v>4590</v>
      </c>
      <c r="B615" s="7" t="s">
        <v>553</v>
      </c>
      <c r="C615" s="10">
        <v>45097</v>
      </c>
      <c r="D615" s="10">
        <v>45629</v>
      </c>
      <c r="E615" s="13">
        <v>11.99</v>
      </c>
      <c r="F615" s="6">
        <v>366</v>
      </c>
      <c r="G615" s="7" t="s">
        <v>100</v>
      </c>
      <c r="H615" s="6">
        <v>4</v>
      </c>
      <c r="I615" s="6">
        <v>3</v>
      </c>
      <c r="J615" s="7" t="b">
        <v>0</v>
      </c>
      <c r="K615" s="6">
        <v>327</v>
      </c>
      <c r="L615" s="6">
        <v>1</v>
      </c>
      <c r="M615" s="7" t="s">
        <v>49</v>
      </c>
      <c r="N615" s="7" t="s">
        <v>44</v>
      </c>
      <c r="O615" s="7" t="s">
        <v>29</v>
      </c>
      <c r="P615" s="6">
        <v>56</v>
      </c>
      <c r="Q615" s="11">
        <v>3.6</v>
      </c>
      <c r="R615" s="7" t="b">
        <v>1</v>
      </c>
      <c r="S615" s="7" t="s">
        <v>30</v>
      </c>
      <c r="T615" s="6">
        <v>3290</v>
      </c>
      <c r="U615" s="7" t="s">
        <v>38</v>
      </c>
      <c r="V615" s="12" t="s">
        <v>79</v>
      </c>
      <c r="W615" s="7" t="s">
        <v>33</v>
      </c>
      <c r="X615" s="6">
        <f t="shared" si="39"/>
        <v>532</v>
      </c>
      <c r="Y615" t="str" cm="1">
        <f t="array" ref="Y615">_xlfn.IFS(E615=7.99,"BASIC",E615=11.99,"STANDARD",E615=15.99,"PREMIUM")</f>
        <v>STANDARD</v>
      </c>
      <c r="Z615" s="4">
        <f t="shared" si="37"/>
        <v>4.8157894736842106</v>
      </c>
      <c r="AA615" s="3" t="str" cm="1">
        <f t="array" ref="AA615">_xlfn.IFS(
(F615/(X615/7)) &lt; 5, "Casual",
AND((F615/(X615/7)) &gt;= 5, (F615/(X615/7)) &lt; 15), "Regular",
(F615/(X615/7)) &gt;= 15, "Power"
)</f>
        <v>Casual</v>
      </c>
      <c r="AB615" s="3">
        <f t="shared" si="40"/>
        <v>1.1158536585365855</v>
      </c>
      <c r="AC615" t="str">
        <f t="shared" si="38"/>
        <v>Viewers</v>
      </c>
    </row>
    <row r="616" spans="1:29" x14ac:dyDescent="0.3">
      <c r="A616" s="6">
        <v>1831</v>
      </c>
      <c r="B616" s="7" t="s">
        <v>88</v>
      </c>
      <c r="C616" s="10">
        <v>45577</v>
      </c>
      <c r="D616" s="10">
        <v>45637</v>
      </c>
      <c r="E616" s="13">
        <v>7.99</v>
      </c>
      <c r="F616" s="6">
        <v>53</v>
      </c>
      <c r="G616" s="7" t="s">
        <v>48</v>
      </c>
      <c r="H616" s="6">
        <v>1</v>
      </c>
      <c r="I616" s="6">
        <v>4</v>
      </c>
      <c r="J616" s="7" t="b">
        <v>0</v>
      </c>
      <c r="K616" s="6">
        <v>685</v>
      </c>
      <c r="L616" s="6">
        <v>127</v>
      </c>
      <c r="M616" s="7" t="s">
        <v>74</v>
      </c>
      <c r="N616" s="7" t="s">
        <v>56</v>
      </c>
      <c r="O616" s="7" t="s">
        <v>64</v>
      </c>
      <c r="P616" s="6">
        <v>26</v>
      </c>
      <c r="Q616" s="11">
        <v>4.0999999999999996</v>
      </c>
      <c r="R616" s="7" t="b">
        <v>1</v>
      </c>
      <c r="S616" s="7" t="s">
        <v>30</v>
      </c>
      <c r="T616" s="6">
        <v>2596</v>
      </c>
      <c r="U616" s="7" t="s">
        <v>58</v>
      </c>
      <c r="V616" s="12" t="s">
        <v>69</v>
      </c>
      <c r="W616" s="7" t="s">
        <v>33</v>
      </c>
      <c r="X616" s="6">
        <f t="shared" si="39"/>
        <v>60</v>
      </c>
      <c r="Y616" t="str" cm="1">
        <f t="array" ref="Y616">_xlfn.IFS(E616=7.99,"BASIC",E616=11.99,"STANDARD",E616=15.99,"PREMIUM")</f>
        <v>BASIC</v>
      </c>
      <c r="Z616" s="4">
        <f t="shared" si="37"/>
        <v>6.1833333333333336</v>
      </c>
      <c r="AA616" s="3" t="str" cm="1">
        <f t="array" ref="AA616">_xlfn.IFS(
(F616/(X616/7)) &lt; 5, "Casual",
AND((F616/(X616/7)) &gt;= 5, (F616/(X616/7)) &lt; 15), "Regular",
(F616/(X616/7)) &gt;= 15, "Power"
)</f>
        <v>Regular</v>
      </c>
      <c r="AB616" s="3">
        <f t="shared" si="40"/>
        <v>6.5270935960591137E-2</v>
      </c>
      <c r="AC616" t="str">
        <f t="shared" si="38"/>
        <v xml:space="preserve"> Browsers</v>
      </c>
    </row>
    <row r="617" spans="1:29" x14ac:dyDescent="0.3">
      <c r="A617" s="6">
        <v>6899</v>
      </c>
      <c r="B617" s="7" t="s">
        <v>284</v>
      </c>
      <c r="C617" s="10">
        <v>45021</v>
      </c>
      <c r="D617" s="10">
        <v>45631</v>
      </c>
      <c r="E617" s="13">
        <v>15.99</v>
      </c>
      <c r="F617" s="6">
        <v>102</v>
      </c>
      <c r="G617" s="7" t="s">
        <v>63</v>
      </c>
      <c r="H617" s="6">
        <v>1</v>
      </c>
      <c r="I617" s="6">
        <v>1</v>
      </c>
      <c r="J617" s="7" t="b">
        <v>1</v>
      </c>
      <c r="K617" s="6">
        <v>604</v>
      </c>
      <c r="L617" s="6">
        <v>107</v>
      </c>
      <c r="M617" s="7" t="s">
        <v>92</v>
      </c>
      <c r="N617" s="7" t="s">
        <v>75</v>
      </c>
      <c r="O617" s="7" t="s">
        <v>78</v>
      </c>
      <c r="P617" s="6">
        <v>9</v>
      </c>
      <c r="Q617" s="11">
        <v>4.3</v>
      </c>
      <c r="R617" s="7" t="b">
        <v>0</v>
      </c>
      <c r="S617" s="7" t="s">
        <v>30</v>
      </c>
      <c r="T617" s="6">
        <v>745</v>
      </c>
      <c r="U617" s="7" t="s">
        <v>76</v>
      </c>
      <c r="V617" s="12" t="s">
        <v>39</v>
      </c>
      <c r="W617" s="7" t="s">
        <v>33</v>
      </c>
      <c r="X617" s="6">
        <f t="shared" si="39"/>
        <v>610</v>
      </c>
      <c r="Y617" t="str" cm="1">
        <f t="array" ref="Y617">_xlfn.IFS(E617=7.99,"BASIC",E617=11.99,"STANDARD",E617=15.99,"PREMIUM")</f>
        <v>PREMIUM</v>
      </c>
      <c r="Z617" s="4">
        <f t="shared" si="37"/>
        <v>1.1704918032786886</v>
      </c>
      <c r="AA617" s="3" t="str" cm="1">
        <f t="array" ref="AA617">_xlfn.IFS(
(F617/(X617/7)) &lt; 5, "Casual",
AND((F617/(X617/7)) &gt;= 5, (F617/(X617/7)) &lt; 15), "Regular",
(F617/(X617/7)) &gt;= 15, "Power"
)</f>
        <v>Casual</v>
      </c>
      <c r="AB617" s="3">
        <f t="shared" si="40"/>
        <v>0.14345991561181434</v>
      </c>
      <c r="AC617" t="str">
        <f t="shared" si="38"/>
        <v xml:space="preserve"> Browsers</v>
      </c>
    </row>
    <row r="618" spans="1:29" x14ac:dyDescent="0.3">
      <c r="A618" s="6">
        <v>1148</v>
      </c>
      <c r="B618" s="7" t="s">
        <v>88</v>
      </c>
      <c r="C618" s="10">
        <v>45442</v>
      </c>
      <c r="D618" s="10">
        <v>45624</v>
      </c>
      <c r="E618" s="13">
        <v>15.99</v>
      </c>
      <c r="F618" s="6">
        <v>259</v>
      </c>
      <c r="G618" s="7" t="s">
        <v>26</v>
      </c>
      <c r="H618" s="6">
        <v>1</v>
      </c>
      <c r="I618" s="6">
        <v>5</v>
      </c>
      <c r="J618" s="7" t="b">
        <v>1</v>
      </c>
      <c r="K618" s="6">
        <v>597</v>
      </c>
      <c r="L618" s="6">
        <v>165</v>
      </c>
      <c r="M618" s="7" t="s">
        <v>74</v>
      </c>
      <c r="N618" s="7" t="s">
        <v>75</v>
      </c>
      <c r="O618" s="7" t="s">
        <v>37</v>
      </c>
      <c r="P618" s="6">
        <v>33</v>
      </c>
      <c r="Q618" s="11">
        <v>4.2</v>
      </c>
      <c r="R618" s="7" t="b">
        <v>1</v>
      </c>
      <c r="S618" s="7" t="s">
        <v>30</v>
      </c>
      <c r="T618" s="6">
        <v>668</v>
      </c>
      <c r="U618" s="7" t="s">
        <v>76</v>
      </c>
      <c r="V618" s="12" t="s">
        <v>39</v>
      </c>
      <c r="W618" s="7" t="s">
        <v>60</v>
      </c>
      <c r="X618" s="6">
        <f t="shared" si="39"/>
        <v>182</v>
      </c>
      <c r="Y618" t="str" cm="1">
        <f t="array" ref="Y618">_xlfn.IFS(E618=7.99,"BASIC",E618=11.99,"STANDARD",E618=15.99,"PREMIUM")</f>
        <v>PREMIUM</v>
      </c>
      <c r="Z618" s="4">
        <f t="shared" si="37"/>
        <v>9.9615384615384617</v>
      </c>
      <c r="AA618" s="3" t="str" cm="1">
        <f t="array" ref="AA618">_xlfn.IFS(
(F618/(X618/7)) &lt; 5, "Casual",
AND((F618/(X618/7)) &gt;= 5, (F618/(X618/7)) &lt; 15), "Regular",
(F618/(X618/7)) &gt;= 15, "Power"
)</f>
        <v>Regular</v>
      </c>
      <c r="AB618" s="3">
        <f t="shared" si="40"/>
        <v>0.33989501312335957</v>
      </c>
      <c r="AC618" t="str">
        <f t="shared" si="38"/>
        <v>Viewers</v>
      </c>
    </row>
    <row r="619" spans="1:29" x14ac:dyDescent="0.3">
      <c r="A619" s="6">
        <v>3745</v>
      </c>
      <c r="B619" s="7" t="s">
        <v>325</v>
      </c>
      <c r="C619" s="10">
        <v>45547</v>
      </c>
      <c r="D619" s="10">
        <v>45642</v>
      </c>
      <c r="E619" s="13">
        <v>11.99</v>
      </c>
      <c r="F619" s="6">
        <v>81</v>
      </c>
      <c r="G619" s="7" t="s">
        <v>100</v>
      </c>
      <c r="H619" s="6">
        <v>2</v>
      </c>
      <c r="I619" s="6">
        <v>4</v>
      </c>
      <c r="J619" s="7" t="b">
        <v>0</v>
      </c>
      <c r="K619" s="6">
        <v>451</v>
      </c>
      <c r="L619" s="6">
        <v>49</v>
      </c>
      <c r="M619" s="7" t="s">
        <v>43</v>
      </c>
      <c r="N619" s="7" t="s">
        <v>44</v>
      </c>
      <c r="O619" s="7" t="s">
        <v>64</v>
      </c>
      <c r="P619" s="6">
        <v>11</v>
      </c>
      <c r="Q619" s="11">
        <v>4.7</v>
      </c>
      <c r="R619" s="7" t="b">
        <v>1</v>
      </c>
      <c r="S619" s="7" t="s">
        <v>30</v>
      </c>
      <c r="T619" s="6">
        <v>3282</v>
      </c>
      <c r="U619" s="7" t="s">
        <v>76</v>
      </c>
      <c r="V619" s="12" t="s">
        <v>32</v>
      </c>
      <c r="W619" s="7" t="s">
        <v>33</v>
      </c>
      <c r="X619" s="6">
        <f t="shared" si="39"/>
        <v>95</v>
      </c>
      <c r="Y619" t="str" cm="1">
        <f t="array" ref="Y619">_xlfn.IFS(E619=7.99,"BASIC",E619=11.99,"STANDARD",E619=15.99,"PREMIUM")</f>
        <v>STANDARD</v>
      </c>
      <c r="Z619" s="4">
        <f t="shared" si="37"/>
        <v>5.9684210526315793</v>
      </c>
      <c r="AA619" s="3" t="str" cm="1">
        <f t="array" ref="AA619">_xlfn.IFS(
(F619/(X619/7)) &lt; 5, "Casual",
AND((F619/(X619/7)) &gt;= 5, (F619/(X619/7)) &lt; 15), "Regular",
(F619/(X619/7)) &gt;= 15, "Power"
)</f>
        <v>Regular</v>
      </c>
      <c r="AB619" s="3">
        <f t="shared" si="40"/>
        <v>0.16200000000000001</v>
      </c>
      <c r="AC619" t="str">
        <f t="shared" si="38"/>
        <v>Viewers</v>
      </c>
    </row>
    <row r="620" spans="1:29" x14ac:dyDescent="0.3">
      <c r="A620" s="6">
        <v>5084</v>
      </c>
      <c r="B620" s="7" t="s">
        <v>599</v>
      </c>
      <c r="C620" s="10">
        <v>45224</v>
      </c>
      <c r="D620" s="10">
        <v>45618</v>
      </c>
      <c r="E620" s="13">
        <v>11.99</v>
      </c>
      <c r="F620" s="6">
        <v>135</v>
      </c>
      <c r="G620" s="7" t="s">
        <v>26</v>
      </c>
      <c r="H620" s="6">
        <v>4</v>
      </c>
      <c r="I620" s="6">
        <v>6</v>
      </c>
      <c r="J620" s="7" t="b">
        <v>0</v>
      </c>
      <c r="K620" s="6">
        <v>50</v>
      </c>
      <c r="L620" s="6">
        <v>15</v>
      </c>
      <c r="M620" s="7" t="s">
        <v>43</v>
      </c>
      <c r="N620" s="7" t="s">
        <v>56</v>
      </c>
      <c r="O620" s="7" t="s">
        <v>78</v>
      </c>
      <c r="P620" s="6">
        <v>91</v>
      </c>
      <c r="Q620" s="11">
        <v>4.4000000000000004</v>
      </c>
      <c r="R620" s="7" t="b">
        <v>0</v>
      </c>
      <c r="S620" s="7" t="s">
        <v>30</v>
      </c>
      <c r="T620" s="6">
        <v>1510</v>
      </c>
      <c r="U620" s="7" t="s">
        <v>58</v>
      </c>
      <c r="V620" s="12" t="s">
        <v>79</v>
      </c>
      <c r="W620" s="7" t="s">
        <v>33</v>
      </c>
      <c r="X620" s="6">
        <f t="shared" si="39"/>
        <v>394</v>
      </c>
      <c r="Y620" t="str" cm="1">
        <f t="array" ref="Y620">_xlfn.IFS(E620=7.99,"BASIC",E620=11.99,"STANDARD",E620=15.99,"PREMIUM")</f>
        <v>STANDARD</v>
      </c>
      <c r="Z620" s="4">
        <f t="shared" si="37"/>
        <v>2.3984771573604062</v>
      </c>
      <c r="AA620" s="3" t="str" cm="1">
        <f t="array" ref="AA620">_xlfn.IFS(
(F620/(X620/7)) &lt; 5, "Casual",
AND((F620/(X620/7)) &gt;= 5, (F620/(X620/7)) &lt; 15), "Regular",
(F620/(X620/7)) &gt;= 15, "Power"
)</f>
        <v>Casual</v>
      </c>
      <c r="AB620" s="3">
        <f t="shared" si="40"/>
        <v>2.0769230769230771</v>
      </c>
      <c r="AC620" t="str">
        <f t="shared" si="38"/>
        <v>Viewers</v>
      </c>
    </row>
    <row r="621" spans="1:29" x14ac:dyDescent="0.3">
      <c r="A621" s="6">
        <v>7179</v>
      </c>
      <c r="B621" s="7" t="s">
        <v>157</v>
      </c>
      <c r="C621" s="10">
        <v>45178</v>
      </c>
      <c r="D621" s="10">
        <v>45625</v>
      </c>
      <c r="E621" s="13">
        <v>11.99</v>
      </c>
      <c r="F621" s="6">
        <v>465</v>
      </c>
      <c r="G621" s="7" t="s">
        <v>73</v>
      </c>
      <c r="H621" s="6">
        <v>2</v>
      </c>
      <c r="I621" s="6">
        <v>3</v>
      </c>
      <c r="J621" s="7" t="b">
        <v>1</v>
      </c>
      <c r="K621" s="6">
        <v>987</v>
      </c>
      <c r="L621" s="6">
        <v>91</v>
      </c>
      <c r="M621" s="7" t="s">
        <v>92</v>
      </c>
      <c r="N621" s="7" t="s">
        <v>44</v>
      </c>
      <c r="O621" s="7" t="s">
        <v>45</v>
      </c>
      <c r="P621" s="6">
        <v>8</v>
      </c>
      <c r="Q621" s="11">
        <v>4.5999999999999996</v>
      </c>
      <c r="R621" s="7" t="b">
        <v>1</v>
      </c>
      <c r="S621" s="7" t="s">
        <v>30</v>
      </c>
      <c r="T621" s="6">
        <v>1206</v>
      </c>
      <c r="U621" s="7" t="s">
        <v>31</v>
      </c>
      <c r="V621" s="12" t="s">
        <v>32</v>
      </c>
      <c r="W621" s="7" t="s">
        <v>60</v>
      </c>
      <c r="X621" s="6">
        <f t="shared" si="39"/>
        <v>447</v>
      </c>
      <c r="Y621" t="str" cm="1">
        <f t="array" ref="Y621">_xlfn.IFS(E621=7.99,"BASIC",E621=11.99,"STANDARD",E621=15.99,"PREMIUM")</f>
        <v>STANDARD</v>
      </c>
      <c r="Z621" s="4">
        <f t="shared" si="37"/>
        <v>7.2818791946308732</v>
      </c>
      <c r="AA621" s="3" t="str" cm="1">
        <f t="array" ref="AA621">_xlfn.IFS(
(F621/(X621/7)) &lt; 5, "Casual",
AND((F621/(X621/7)) &gt;= 5, (F621/(X621/7)) &lt; 15), "Regular",
(F621/(X621/7)) &gt;= 15, "Power"
)</f>
        <v>Regular</v>
      </c>
      <c r="AB621" s="3">
        <f t="shared" si="40"/>
        <v>0.43135435992578852</v>
      </c>
      <c r="AC621" t="str">
        <f t="shared" si="38"/>
        <v>Viewers</v>
      </c>
    </row>
    <row r="622" spans="1:29" x14ac:dyDescent="0.3">
      <c r="A622" s="6">
        <v>1005</v>
      </c>
      <c r="B622" s="7" t="s">
        <v>304</v>
      </c>
      <c r="C622" s="10">
        <v>44978</v>
      </c>
      <c r="D622" s="10">
        <v>45636</v>
      </c>
      <c r="E622" s="13">
        <v>11.99</v>
      </c>
      <c r="F622" s="6">
        <v>163</v>
      </c>
      <c r="G622" s="7" t="s">
        <v>63</v>
      </c>
      <c r="H622" s="6">
        <v>2</v>
      </c>
      <c r="I622" s="6">
        <v>1</v>
      </c>
      <c r="J622" s="7" t="b">
        <v>0</v>
      </c>
      <c r="K622" s="6">
        <v>817</v>
      </c>
      <c r="L622" s="6">
        <v>182</v>
      </c>
      <c r="M622" s="7" t="s">
        <v>55</v>
      </c>
      <c r="N622" s="7" t="s">
        <v>56</v>
      </c>
      <c r="O622" s="7" t="s">
        <v>64</v>
      </c>
      <c r="P622" s="6">
        <v>43</v>
      </c>
      <c r="Q622" s="11">
        <v>4.5999999999999996</v>
      </c>
      <c r="R622" s="7" t="b">
        <v>1</v>
      </c>
      <c r="S622" s="7" t="s">
        <v>30</v>
      </c>
      <c r="T622" s="6">
        <v>168</v>
      </c>
      <c r="U622" s="7" t="s">
        <v>65</v>
      </c>
      <c r="V622" s="12" t="s">
        <v>79</v>
      </c>
      <c r="W622" s="7" t="s">
        <v>93</v>
      </c>
      <c r="X622" s="6">
        <f t="shared" si="39"/>
        <v>658</v>
      </c>
      <c r="Y622" t="str" cm="1">
        <f t="array" ref="Y622">_xlfn.IFS(E622=7.99,"BASIC",E622=11.99,"STANDARD",E622=15.99,"PREMIUM")</f>
        <v>STANDARD</v>
      </c>
      <c r="Z622" s="4">
        <f t="shared" si="37"/>
        <v>1.7340425531914894</v>
      </c>
      <c r="AA622" s="3" t="str" cm="1">
        <f t="array" ref="AA622">_xlfn.IFS(
(F622/(X622/7)) &lt; 5, "Casual",
AND((F622/(X622/7)) &gt;= 5, (F622/(X622/7)) &lt; 15), "Regular",
(F622/(X622/7)) &gt;= 15, "Power"
)</f>
        <v>Casual</v>
      </c>
      <c r="AB622" s="3">
        <f t="shared" si="40"/>
        <v>0.16316316316316315</v>
      </c>
      <c r="AC622" t="str">
        <f t="shared" si="38"/>
        <v>Viewers</v>
      </c>
    </row>
    <row r="623" spans="1:29" x14ac:dyDescent="0.3">
      <c r="A623" s="6">
        <v>6405</v>
      </c>
      <c r="B623" s="7" t="s">
        <v>598</v>
      </c>
      <c r="C623" s="10">
        <v>45030</v>
      </c>
      <c r="D623" s="10">
        <v>45637</v>
      </c>
      <c r="E623" s="13">
        <v>11.99</v>
      </c>
      <c r="F623" s="6">
        <v>321</v>
      </c>
      <c r="G623" s="7" t="s">
        <v>73</v>
      </c>
      <c r="H623" s="6">
        <v>1</v>
      </c>
      <c r="I623" s="6">
        <v>6</v>
      </c>
      <c r="J623" s="7" t="b">
        <v>1</v>
      </c>
      <c r="K623" s="6">
        <v>361</v>
      </c>
      <c r="L623" s="6">
        <v>12</v>
      </c>
      <c r="M623" s="7" t="s">
        <v>55</v>
      </c>
      <c r="N623" s="7" t="s">
        <v>75</v>
      </c>
      <c r="O623" s="7" t="s">
        <v>37</v>
      </c>
      <c r="P623" s="6">
        <v>72</v>
      </c>
      <c r="Q623" s="11">
        <v>4.9000000000000004</v>
      </c>
      <c r="R623" s="7" t="b">
        <v>1</v>
      </c>
      <c r="S623" s="7" t="s">
        <v>30</v>
      </c>
      <c r="T623" s="6">
        <v>1303</v>
      </c>
      <c r="U623" s="7" t="s">
        <v>76</v>
      </c>
      <c r="V623" s="12" t="s">
        <v>59</v>
      </c>
      <c r="W623" s="7" t="s">
        <v>33</v>
      </c>
      <c r="X623" s="6">
        <f t="shared" si="39"/>
        <v>607</v>
      </c>
      <c r="Y623" t="str" cm="1">
        <f t="array" ref="Y623">_xlfn.IFS(E623=7.99,"BASIC",E623=11.99,"STANDARD",E623=15.99,"PREMIUM")</f>
        <v>STANDARD</v>
      </c>
      <c r="Z623" s="4">
        <f t="shared" si="37"/>
        <v>3.7018121911037896</v>
      </c>
      <c r="AA623" s="3" t="str" cm="1">
        <f t="array" ref="AA623">_xlfn.IFS(
(F623/(X623/7)) &lt; 5, "Casual",
AND((F623/(X623/7)) &gt;= 5, (F623/(X623/7)) &lt; 15), "Regular",
(F623/(X623/7)) &gt;= 15, "Power"
)</f>
        <v>Casual</v>
      </c>
      <c r="AB623" s="3">
        <f t="shared" si="40"/>
        <v>0.8605898123324397</v>
      </c>
      <c r="AC623" t="str">
        <f t="shared" si="38"/>
        <v>Viewers</v>
      </c>
    </row>
    <row r="624" spans="1:29" x14ac:dyDescent="0.3">
      <c r="A624" s="6">
        <v>5215</v>
      </c>
      <c r="B624" s="7" t="s">
        <v>41</v>
      </c>
      <c r="C624" s="10">
        <v>45033</v>
      </c>
      <c r="D624" s="10">
        <v>45643</v>
      </c>
      <c r="E624" s="13">
        <v>7.99</v>
      </c>
      <c r="F624" s="6">
        <v>212</v>
      </c>
      <c r="G624" s="7" t="s">
        <v>100</v>
      </c>
      <c r="H624" s="6">
        <v>5</v>
      </c>
      <c r="I624" s="6">
        <v>5</v>
      </c>
      <c r="J624" s="7" t="b">
        <v>0</v>
      </c>
      <c r="K624" s="6">
        <v>146</v>
      </c>
      <c r="L624" s="6">
        <v>147</v>
      </c>
      <c r="M624" s="7" t="s">
        <v>49</v>
      </c>
      <c r="N624" s="7" t="s">
        <v>44</v>
      </c>
      <c r="O624" s="7" t="s">
        <v>78</v>
      </c>
      <c r="P624" s="6">
        <v>23</v>
      </c>
      <c r="Q624" s="11">
        <v>3.4</v>
      </c>
      <c r="R624" s="7" t="b">
        <v>0</v>
      </c>
      <c r="S624" s="7" t="s">
        <v>30</v>
      </c>
      <c r="T624" s="6">
        <v>1365</v>
      </c>
      <c r="U624" s="7" t="s">
        <v>58</v>
      </c>
      <c r="V624" s="12" t="s">
        <v>59</v>
      </c>
      <c r="W624" s="7" t="s">
        <v>93</v>
      </c>
      <c r="X624" s="6">
        <f t="shared" si="39"/>
        <v>610</v>
      </c>
      <c r="Y624" t="str" cm="1">
        <f t="array" ref="Y624">_xlfn.IFS(E624=7.99,"BASIC",E624=11.99,"STANDARD",E624=15.99,"PREMIUM")</f>
        <v>BASIC</v>
      </c>
      <c r="Z624" s="4">
        <f t="shared" si="37"/>
        <v>2.4327868852459016</v>
      </c>
      <c r="AA624" s="3" t="str" cm="1">
        <f t="array" ref="AA624">_xlfn.IFS(
(F624/(X624/7)) &lt; 5, "Casual",
AND((F624/(X624/7)) &gt;= 5, (F624/(X624/7)) &lt; 15), "Regular",
(F624/(X624/7)) &gt;= 15, "Power"
)</f>
        <v>Casual</v>
      </c>
      <c r="AB624" s="3">
        <f t="shared" si="40"/>
        <v>0.7235494880546075</v>
      </c>
      <c r="AC624" t="str">
        <f t="shared" si="38"/>
        <v>Viewers</v>
      </c>
    </row>
    <row r="625" spans="1:29" x14ac:dyDescent="0.3">
      <c r="A625" s="6">
        <v>7525</v>
      </c>
      <c r="B625" s="7" t="s">
        <v>318</v>
      </c>
      <c r="C625" s="10">
        <v>45469</v>
      </c>
      <c r="D625" s="10">
        <v>45644</v>
      </c>
      <c r="E625" s="13">
        <v>15.99</v>
      </c>
      <c r="F625" s="6">
        <v>453</v>
      </c>
      <c r="G625" s="7" t="s">
        <v>26</v>
      </c>
      <c r="H625" s="6">
        <v>1</v>
      </c>
      <c r="I625" s="6">
        <v>4</v>
      </c>
      <c r="J625" s="7" t="b">
        <v>0</v>
      </c>
      <c r="K625" s="6">
        <v>313</v>
      </c>
      <c r="L625" s="6">
        <v>1</v>
      </c>
      <c r="M625" s="7" t="s">
        <v>74</v>
      </c>
      <c r="N625" s="7" t="s">
        <v>28</v>
      </c>
      <c r="O625" s="7" t="s">
        <v>64</v>
      </c>
      <c r="P625" s="6">
        <v>7</v>
      </c>
      <c r="Q625" s="11">
        <v>3.7</v>
      </c>
      <c r="R625" s="7" t="b">
        <v>1</v>
      </c>
      <c r="S625" s="7" t="s">
        <v>30</v>
      </c>
      <c r="T625" s="6">
        <v>1563</v>
      </c>
      <c r="U625" s="7" t="s">
        <v>58</v>
      </c>
      <c r="V625" s="12" t="s">
        <v>39</v>
      </c>
      <c r="W625" s="7" t="s">
        <v>60</v>
      </c>
      <c r="X625" s="6">
        <f t="shared" si="39"/>
        <v>175</v>
      </c>
      <c r="Y625" t="str" cm="1">
        <f t="array" ref="Y625">_xlfn.IFS(E625=7.99,"BASIC",E625=11.99,"STANDARD",E625=15.99,"PREMIUM")</f>
        <v>PREMIUM</v>
      </c>
      <c r="Z625" s="4">
        <f t="shared" si="37"/>
        <v>18.12</v>
      </c>
      <c r="AA625" s="3" t="str" cm="1">
        <f t="array" ref="AA625">_xlfn.IFS(
(F625/(X625/7)) &lt; 5, "Casual",
AND((F625/(X625/7)) &gt;= 5, (F625/(X625/7)) &lt; 15), "Regular",
(F625/(X625/7)) &gt;= 15, "Power"
)</f>
        <v>Power</v>
      </c>
      <c r="AB625" s="3">
        <f t="shared" si="40"/>
        <v>1.4426751592356688</v>
      </c>
      <c r="AC625" t="str">
        <f t="shared" si="38"/>
        <v>Viewers</v>
      </c>
    </row>
    <row r="626" spans="1:29" x14ac:dyDescent="0.3">
      <c r="A626" s="6">
        <v>9115</v>
      </c>
      <c r="B626" s="7" t="s">
        <v>88</v>
      </c>
      <c r="C626" s="10">
        <v>45490</v>
      </c>
      <c r="D626" s="10">
        <v>45643</v>
      </c>
      <c r="E626" s="13">
        <v>11.99</v>
      </c>
      <c r="F626" s="6">
        <v>34</v>
      </c>
      <c r="G626" s="7" t="s">
        <v>73</v>
      </c>
      <c r="H626" s="6">
        <v>1</v>
      </c>
      <c r="I626" s="6">
        <v>1</v>
      </c>
      <c r="J626" s="7" t="b">
        <v>0</v>
      </c>
      <c r="K626" s="6">
        <v>80</v>
      </c>
      <c r="L626" s="6">
        <v>71</v>
      </c>
      <c r="M626" s="7" t="s">
        <v>43</v>
      </c>
      <c r="N626" s="7" t="s">
        <v>56</v>
      </c>
      <c r="O626" s="7" t="s">
        <v>37</v>
      </c>
      <c r="P626" s="6">
        <v>55</v>
      </c>
      <c r="Q626" s="11">
        <v>3.6</v>
      </c>
      <c r="R626" s="7" t="b">
        <v>0</v>
      </c>
      <c r="S626" s="7" t="s">
        <v>30</v>
      </c>
      <c r="T626" s="6">
        <v>1172</v>
      </c>
      <c r="U626" s="7" t="s">
        <v>65</v>
      </c>
      <c r="V626" s="12" t="s">
        <v>69</v>
      </c>
      <c r="W626" s="7" t="s">
        <v>33</v>
      </c>
      <c r="X626" s="6">
        <f t="shared" si="39"/>
        <v>153</v>
      </c>
      <c r="Y626" t="str" cm="1">
        <f t="array" ref="Y626">_xlfn.IFS(E626=7.99,"BASIC",E626=11.99,"STANDARD",E626=15.99,"PREMIUM")</f>
        <v>STANDARD</v>
      </c>
      <c r="Z626" s="4">
        <f t="shared" si="37"/>
        <v>1.5555555555555556</v>
      </c>
      <c r="AA626" s="3" t="str" cm="1">
        <f t="array" ref="AA626">_xlfn.IFS(
(F626/(X626/7)) &lt; 5, "Casual",
AND((F626/(X626/7)) &gt;= 5, (F626/(X626/7)) &lt; 15), "Regular",
(F626/(X626/7)) &gt;= 15, "Power"
)</f>
        <v>Casual</v>
      </c>
      <c r="AB626" s="3">
        <f t="shared" si="40"/>
        <v>0.2251655629139073</v>
      </c>
      <c r="AC626" t="str">
        <f t="shared" si="38"/>
        <v>Viewers</v>
      </c>
    </row>
    <row r="627" spans="1:29" x14ac:dyDescent="0.3">
      <c r="A627" s="6">
        <v>6454</v>
      </c>
      <c r="B627" s="7" t="s">
        <v>191</v>
      </c>
      <c r="C627" s="10">
        <v>45390</v>
      </c>
      <c r="D627" s="10">
        <v>45641</v>
      </c>
      <c r="E627" s="13">
        <v>15.99</v>
      </c>
      <c r="F627" s="6">
        <v>197</v>
      </c>
      <c r="G627" s="7" t="s">
        <v>73</v>
      </c>
      <c r="H627" s="6">
        <v>1</v>
      </c>
      <c r="I627" s="6">
        <v>4</v>
      </c>
      <c r="J627" s="7" t="b">
        <v>1</v>
      </c>
      <c r="K627" s="6">
        <v>860</v>
      </c>
      <c r="L627" s="6">
        <v>42</v>
      </c>
      <c r="M627" s="7" t="s">
        <v>27</v>
      </c>
      <c r="N627" s="7" t="s">
        <v>56</v>
      </c>
      <c r="O627" s="7" t="s">
        <v>78</v>
      </c>
      <c r="P627" s="6">
        <v>97</v>
      </c>
      <c r="Q627" s="11">
        <v>4</v>
      </c>
      <c r="R627" s="7" t="b">
        <v>1</v>
      </c>
      <c r="S627" s="7" t="s">
        <v>30</v>
      </c>
      <c r="T627" s="6">
        <v>1704</v>
      </c>
      <c r="U627" s="7" t="s">
        <v>76</v>
      </c>
      <c r="V627" s="12" t="s">
        <v>32</v>
      </c>
      <c r="W627" s="7" t="s">
        <v>93</v>
      </c>
      <c r="X627" s="6">
        <f t="shared" si="39"/>
        <v>251</v>
      </c>
      <c r="Y627" t="str" cm="1">
        <f t="array" ref="Y627">_xlfn.IFS(E627=7.99,"BASIC",E627=11.99,"STANDARD",E627=15.99,"PREMIUM")</f>
        <v>PREMIUM</v>
      </c>
      <c r="Z627" s="4">
        <f t="shared" si="37"/>
        <v>5.4940239043824706</v>
      </c>
      <c r="AA627" s="3" t="str" cm="1">
        <f t="array" ref="AA627">_xlfn.IFS(
(F627/(X627/7)) &lt; 5, "Casual",
AND((F627/(X627/7)) &gt;= 5, (F627/(X627/7)) &lt; 15), "Regular",
(F627/(X627/7)) &gt;= 15, "Power"
)</f>
        <v>Regular</v>
      </c>
      <c r="AB627" s="3">
        <f t="shared" si="40"/>
        <v>0.21840354767184036</v>
      </c>
      <c r="AC627" t="str">
        <f t="shared" si="38"/>
        <v>Viewers</v>
      </c>
    </row>
    <row r="628" spans="1:29" x14ac:dyDescent="0.3">
      <c r="A628" s="6">
        <v>4781</v>
      </c>
      <c r="B628" s="7" t="s">
        <v>602</v>
      </c>
      <c r="C628" s="10">
        <v>45407</v>
      </c>
      <c r="D628" s="10">
        <v>45627</v>
      </c>
      <c r="E628" s="13">
        <v>15.99</v>
      </c>
      <c r="F628" s="6">
        <v>361</v>
      </c>
      <c r="G628" s="7" t="s">
        <v>73</v>
      </c>
      <c r="H628" s="6">
        <v>5</v>
      </c>
      <c r="I628" s="6">
        <v>3</v>
      </c>
      <c r="J628" s="7" t="b">
        <v>1</v>
      </c>
      <c r="K628" s="6">
        <v>67</v>
      </c>
      <c r="L628" s="6">
        <v>66</v>
      </c>
      <c r="M628" s="7" t="s">
        <v>55</v>
      </c>
      <c r="N628" s="7" t="s">
        <v>28</v>
      </c>
      <c r="O628" s="7" t="s">
        <v>37</v>
      </c>
      <c r="P628" s="6">
        <v>3</v>
      </c>
      <c r="Q628" s="11">
        <v>3.7</v>
      </c>
      <c r="R628" s="7" t="b">
        <v>1</v>
      </c>
      <c r="S628" s="7" t="s">
        <v>30</v>
      </c>
      <c r="T628" s="6">
        <v>4421</v>
      </c>
      <c r="U628" s="7" t="s">
        <v>76</v>
      </c>
      <c r="V628" s="12" t="s">
        <v>79</v>
      </c>
      <c r="W628" s="7" t="s">
        <v>40</v>
      </c>
      <c r="X628" s="6">
        <f t="shared" si="39"/>
        <v>220</v>
      </c>
      <c r="Y628" t="str" cm="1">
        <f t="array" ref="Y628">_xlfn.IFS(E628=7.99,"BASIC",E628=11.99,"STANDARD",E628=15.99,"PREMIUM")</f>
        <v>PREMIUM</v>
      </c>
      <c r="Z628" s="4">
        <f t="shared" si="37"/>
        <v>11.486363636363636</v>
      </c>
      <c r="AA628" s="3" t="str" cm="1">
        <f t="array" ref="AA628">_xlfn.IFS(
(F628/(X628/7)) &lt; 5, "Casual",
AND((F628/(X628/7)) &gt;= 5, (F628/(X628/7)) &lt; 15), "Regular",
(F628/(X628/7)) &gt;= 15, "Power"
)</f>
        <v>Regular</v>
      </c>
      <c r="AB628" s="3">
        <f t="shared" si="40"/>
        <v>2.7142857142857144</v>
      </c>
      <c r="AC628" t="str">
        <f t="shared" si="38"/>
        <v>Viewers</v>
      </c>
    </row>
    <row r="629" spans="1:29" x14ac:dyDescent="0.3">
      <c r="A629" s="6">
        <v>5040</v>
      </c>
      <c r="B629" s="7" t="s">
        <v>603</v>
      </c>
      <c r="C629" s="10">
        <v>45264</v>
      </c>
      <c r="D629" s="10">
        <v>45628</v>
      </c>
      <c r="E629" s="13">
        <v>11.99</v>
      </c>
      <c r="F629" s="6">
        <v>166</v>
      </c>
      <c r="G629" s="7" t="s">
        <v>48</v>
      </c>
      <c r="H629" s="6">
        <v>5</v>
      </c>
      <c r="I629" s="6">
        <v>2</v>
      </c>
      <c r="J629" s="7" t="b">
        <v>1</v>
      </c>
      <c r="K629" s="6">
        <v>178</v>
      </c>
      <c r="L629" s="6">
        <v>61</v>
      </c>
      <c r="M629" s="7" t="s">
        <v>92</v>
      </c>
      <c r="N629" s="7" t="s">
        <v>44</v>
      </c>
      <c r="O629" s="7" t="s">
        <v>78</v>
      </c>
      <c r="P629" s="6">
        <v>30</v>
      </c>
      <c r="Q629" s="11">
        <v>3.1</v>
      </c>
      <c r="R629" s="7" t="b">
        <v>0</v>
      </c>
      <c r="S629" s="7" t="s">
        <v>30</v>
      </c>
      <c r="T629" s="6">
        <v>2964</v>
      </c>
      <c r="U629" s="7" t="s">
        <v>31</v>
      </c>
      <c r="V629" s="12" t="s">
        <v>59</v>
      </c>
      <c r="W629" s="7" t="s">
        <v>33</v>
      </c>
      <c r="X629" s="6">
        <f t="shared" si="39"/>
        <v>364</v>
      </c>
      <c r="Y629" t="str" cm="1">
        <f t="array" ref="Y629">_xlfn.IFS(E629=7.99,"BASIC",E629=11.99,"STANDARD",E629=15.99,"PREMIUM")</f>
        <v>STANDARD</v>
      </c>
      <c r="Z629" s="4">
        <f t="shared" si="37"/>
        <v>3.1923076923076925</v>
      </c>
      <c r="AA629" s="3" t="str" cm="1">
        <f t="array" ref="AA629">_xlfn.IFS(
(F629/(X629/7)) &lt; 5, "Casual",
AND((F629/(X629/7)) &gt;= 5, (F629/(X629/7)) &lt; 15), "Regular",
(F629/(X629/7)) &gt;= 15, "Power"
)</f>
        <v>Casual</v>
      </c>
      <c r="AB629" s="3">
        <f t="shared" si="40"/>
        <v>0.69456066945606698</v>
      </c>
      <c r="AC629" t="str">
        <f t="shared" si="38"/>
        <v>Viewers</v>
      </c>
    </row>
    <row r="630" spans="1:29" x14ac:dyDescent="0.3">
      <c r="A630" s="6">
        <v>3209</v>
      </c>
      <c r="B630" s="7" t="s">
        <v>347</v>
      </c>
      <c r="C630" s="10">
        <v>45250</v>
      </c>
      <c r="D630" s="10">
        <v>45622</v>
      </c>
      <c r="E630" s="13">
        <v>7.99</v>
      </c>
      <c r="F630" s="6">
        <v>168</v>
      </c>
      <c r="G630" s="7" t="s">
        <v>51</v>
      </c>
      <c r="H630" s="6">
        <v>3</v>
      </c>
      <c r="I630" s="6">
        <v>1</v>
      </c>
      <c r="J630" s="7" t="b">
        <v>0</v>
      </c>
      <c r="K630" s="6">
        <v>113</v>
      </c>
      <c r="L630" s="6">
        <v>85</v>
      </c>
      <c r="M630" s="7" t="s">
        <v>49</v>
      </c>
      <c r="N630" s="7" t="s">
        <v>75</v>
      </c>
      <c r="O630" s="7" t="s">
        <v>57</v>
      </c>
      <c r="P630" s="6">
        <v>52</v>
      </c>
      <c r="Q630" s="11">
        <v>4.7</v>
      </c>
      <c r="R630" s="7" t="b">
        <v>0</v>
      </c>
      <c r="S630" s="7" t="s">
        <v>30</v>
      </c>
      <c r="T630" s="6">
        <v>1094</v>
      </c>
      <c r="U630" s="7" t="s">
        <v>31</v>
      </c>
      <c r="V630" s="12" t="s">
        <v>59</v>
      </c>
      <c r="W630" s="7" t="s">
        <v>40</v>
      </c>
      <c r="X630" s="6">
        <f t="shared" si="39"/>
        <v>372</v>
      </c>
      <c r="Y630" t="str" cm="1">
        <f t="array" ref="Y630">_xlfn.IFS(E630=7.99,"BASIC",E630=11.99,"STANDARD",E630=15.99,"PREMIUM")</f>
        <v>BASIC</v>
      </c>
      <c r="Z630" s="4">
        <f t="shared" si="37"/>
        <v>3.161290322580645</v>
      </c>
      <c r="AA630" s="3" t="str" cm="1">
        <f t="array" ref="AA630">_xlfn.IFS(
(F630/(X630/7)) &lt; 5, "Casual",
AND((F630/(X630/7)) &gt;= 5, (F630/(X630/7)) &lt; 15), "Regular",
(F630/(X630/7)) &gt;= 15, "Power"
)</f>
        <v>Casual</v>
      </c>
      <c r="AB630" s="3">
        <f t="shared" si="40"/>
        <v>0.84848484848484851</v>
      </c>
      <c r="AC630" t="str">
        <f t="shared" si="38"/>
        <v>Viewers</v>
      </c>
    </row>
    <row r="631" spans="1:29" x14ac:dyDescent="0.3">
      <c r="A631" s="6">
        <v>8703</v>
      </c>
      <c r="B631" s="7" t="s">
        <v>254</v>
      </c>
      <c r="C631" s="10">
        <v>45479</v>
      </c>
      <c r="D631" s="10">
        <v>45618</v>
      </c>
      <c r="E631" s="13">
        <v>15.99</v>
      </c>
      <c r="F631" s="6">
        <v>336</v>
      </c>
      <c r="G631" s="7" t="s">
        <v>36</v>
      </c>
      <c r="H631" s="6">
        <v>1</v>
      </c>
      <c r="I631" s="6">
        <v>4</v>
      </c>
      <c r="J631" s="7" t="b">
        <v>1</v>
      </c>
      <c r="K631" s="6">
        <v>855</v>
      </c>
      <c r="L631" s="6">
        <v>186</v>
      </c>
      <c r="M631" s="7" t="s">
        <v>43</v>
      </c>
      <c r="N631" s="7" t="s">
        <v>28</v>
      </c>
      <c r="O631" s="7" t="s">
        <v>45</v>
      </c>
      <c r="P631" s="6">
        <v>54</v>
      </c>
      <c r="Q631" s="11">
        <v>3.6</v>
      </c>
      <c r="R631" s="7" t="b">
        <v>0</v>
      </c>
      <c r="S631" s="7" t="s">
        <v>30</v>
      </c>
      <c r="T631" s="6">
        <v>3674</v>
      </c>
      <c r="U631" s="7" t="s">
        <v>76</v>
      </c>
      <c r="V631" s="12" t="s">
        <v>39</v>
      </c>
      <c r="W631" s="7" t="s">
        <v>33</v>
      </c>
      <c r="X631" s="6">
        <f t="shared" si="39"/>
        <v>139</v>
      </c>
      <c r="Y631" t="str" cm="1">
        <f t="array" ref="Y631">_xlfn.IFS(E631=7.99,"BASIC",E631=11.99,"STANDARD",E631=15.99,"PREMIUM")</f>
        <v>PREMIUM</v>
      </c>
      <c r="Z631" s="4">
        <f t="shared" si="37"/>
        <v>16.920863309352516</v>
      </c>
      <c r="AA631" s="3" t="str" cm="1">
        <f t="array" ref="AA631">_xlfn.IFS(
(F631/(X631/7)) &lt; 5, "Casual",
AND((F631/(X631/7)) &gt;= 5, (F631/(X631/7)) &lt; 15), "Regular",
(F631/(X631/7)) &gt;= 15, "Power"
)</f>
        <v>Power</v>
      </c>
      <c r="AB631" s="3">
        <f t="shared" si="40"/>
        <v>0.32276657060518732</v>
      </c>
      <c r="AC631" t="str">
        <f t="shared" si="38"/>
        <v>Viewers</v>
      </c>
    </row>
    <row r="632" spans="1:29" x14ac:dyDescent="0.3">
      <c r="A632" s="6">
        <v>2536</v>
      </c>
      <c r="B632" s="7" t="s">
        <v>272</v>
      </c>
      <c r="C632" s="10">
        <v>45348</v>
      </c>
      <c r="D632" s="10">
        <v>45640</v>
      </c>
      <c r="E632" s="13">
        <v>15.99</v>
      </c>
      <c r="F632" s="6">
        <v>212</v>
      </c>
      <c r="G632" s="7" t="s">
        <v>63</v>
      </c>
      <c r="H632" s="6">
        <v>2</v>
      </c>
      <c r="I632" s="6">
        <v>4</v>
      </c>
      <c r="J632" s="7" t="b">
        <v>0</v>
      </c>
      <c r="K632" s="6">
        <v>608</v>
      </c>
      <c r="L632" s="6">
        <v>96</v>
      </c>
      <c r="M632" s="7" t="s">
        <v>92</v>
      </c>
      <c r="N632" s="7" t="s">
        <v>75</v>
      </c>
      <c r="O632" s="7" t="s">
        <v>45</v>
      </c>
      <c r="P632" s="6">
        <v>76</v>
      </c>
      <c r="Q632" s="11">
        <v>4</v>
      </c>
      <c r="R632" s="7" t="b">
        <v>0</v>
      </c>
      <c r="S632" s="7" t="s">
        <v>30</v>
      </c>
      <c r="T632" s="6">
        <v>296</v>
      </c>
      <c r="U632" s="7" t="s">
        <v>58</v>
      </c>
      <c r="V632" s="12" t="s">
        <v>79</v>
      </c>
      <c r="W632" s="7" t="s">
        <v>93</v>
      </c>
      <c r="X632" s="6">
        <f t="shared" si="39"/>
        <v>292</v>
      </c>
      <c r="Y632" t="str" cm="1">
        <f t="array" ref="Y632">_xlfn.IFS(E632=7.99,"BASIC",E632=11.99,"STANDARD",E632=15.99,"PREMIUM")</f>
        <v>PREMIUM</v>
      </c>
      <c r="Z632" s="4">
        <f t="shared" si="37"/>
        <v>5.0821917808219172</v>
      </c>
      <c r="AA632" s="3" t="str" cm="1">
        <f t="array" ref="AA632">_xlfn.IFS(
(F632/(X632/7)) &lt; 5, "Casual",
AND((F632/(X632/7)) &gt;= 5, (F632/(X632/7)) &lt; 15), "Regular",
(F632/(X632/7)) &gt;= 15, "Power"
)</f>
        <v>Regular</v>
      </c>
      <c r="AB632" s="3">
        <f t="shared" si="40"/>
        <v>0.30113636363636365</v>
      </c>
      <c r="AC632" t="str">
        <f t="shared" si="38"/>
        <v>Viewers</v>
      </c>
    </row>
    <row r="633" spans="1:29" x14ac:dyDescent="0.3">
      <c r="A633" s="6">
        <v>2057</v>
      </c>
      <c r="B633" s="7" t="s">
        <v>604</v>
      </c>
      <c r="C633" s="10">
        <v>45041</v>
      </c>
      <c r="D633" s="10">
        <v>45619</v>
      </c>
      <c r="E633" s="13">
        <v>7.99</v>
      </c>
      <c r="F633" s="6">
        <v>185</v>
      </c>
      <c r="G633" s="7" t="s">
        <v>63</v>
      </c>
      <c r="H633" s="6">
        <v>3</v>
      </c>
      <c r="I633" s="6">
        <v>6</v>
      </c>
      <c r="J633" s="7" t="b">
        <v>1</v>
      </c>
      <c r="K633" s="6">
        <v>804</v>
      </c>
      <c r="L633" s="6">
        <v>49</v>
      </c>
      <c r="M633" s="7" t="s">
        <v>27</v>
      </c>
      <c r="N633" s="7" t="s">
        <v>56</v>
      </c>
      <c r="O633" s="7" t="s">
        <v>45</v>
      </c>
      <c r="P633" s="6">
        <v>32</v>
      </c>
      <c r="Q633" s="11">
        <v>4.0999999999999996</v>
      </c>
      <c r="R633" s="7" t="b">
        <v>0</v>
      </c>
      <c r="S633" s="7" t="s">
        <v>30</v>
      </c>
      <c r="T633" s="6">
        <v>4164</v>
      </c>
      <c r="U633" s="7" t="s">
        <v>31</v>
      </c>
      <c r="V633" s="12" t="s">
        <v>32</v>
      </c>
      <c r="W633" s="7" t="s">
        <v>60</v>
      </c>
      <c r="X633" s="6">
        <f t="shared" si="39"/>
        <v>578</v>
      </c>
      <c r="Y633" t="str" cm="1">
        <f t="array" ref="Y633">_xlfn.IFS(E633=7.99,"BASIC",E633=11.99,"STANDARD",E633=15.99,"PREMIUM")</f>
        <v>BASIC</v>
      </c>
      <c r="Z633" s="4">
        <f t="shared" si="37"/>
        <v>2.2404844290657442</v>
      </c>
      <c r="AA633" s="3" t="str" cm="1">
        <f t="array" ref="AA633">_xlfn.IFS(
(F633/(X633/7)) &lt; 5, "Casual",
AND((F633/(X633/7)) &gt;= 5, (F633/(X633/7)) &lt; 15), "Regular",
(F633/(X633/7)) &gt;= 15, "Power"
)</f>
        <v>Casual</v>
      </c>
      <c r="AB633" s="3">
        <f t="shared" si="40"/>
        <v>0.21688159437280188</v>
      </c>
      <c r="AC633" t="str">
        <f t="shared" si="38"/>
        <v>Viewers</v>
      </c>
    </row>
    <row r="634" spans="1:29" x14ac:dyDescent="0.3">
      <c r="A634" s="6">
        <v>5627</v>
      </c>
      <c r="B634" s="7" t="s">
        <v>606</v>
      </c>
      <c r="C634" s="10">
        <v>45298</v>
      </c>
      <c r="D634" s="10">
        <v>45631</v>
      </c>
      <c r="E634" s="13">
        <v>11.99</v>
      </c>
      <c r="F634" s="6">
        <v>124</v>
      </c>
      <c r="G634" s="7" t="s">
        <v>48</v>
      </c>
      <c r="H634" s="6">
        <v>4</v>
      </c>
      <c r="I634" s="6">
        <v>2</v>
      </c>
      <c r="J634" s="7" t="b">
        <v>1</v>
      </c>
      <c r="K634" s="6">
        <v>207</v>
      </c>
      <c r="L634" s="6">
        <v>140</v>
      </c>
      <c r="M634" s="7" t="s">
        <v>27</v>
      </c>
      <c r="N634" s="7" t="s">
        <v>75</v>
      </c>
      <c r="O634" s="7" t="s">
        <v>29</v>
      </c>
      <c r="P634" s="6">
        <v>44</v>
      </c>
      <c r="Q634" s="11">
        <v>4.8</v>
      </c>
      <c r="R634" s="7" t="b">
        <v>1</v>
      </c>
      <c r="S634" s="7" t="s">
        <v>30</v>
      </c>
      <c r="T634" s="6">
        <v>3349</v>
      </c>
      <c r="U634" s="7" t="s">
        <v>65</v>
      </c>
      <c r="V634" s="12" t="s">
        <v>69</v>
      </c>
      <c r="W634" s="7" t="s">
        <v>40</v>
      </c>
      <c r="X634" s="6">
        <f t="shared" si="39"/>
        <v>333</v>
      </c>
      <c r="Y634" t="str" cm="1">
        <f t="array" ref="Y634">_xlfn.IFS(E634=7.99,"BASIC",E634=11.99,"STANDARD",E634=15.99,"PREMIUM")</f>
        <v>STANDARD</v>
      </c>
      <c r="Z634" s="4">
        <f t="shared" si="37"/>
        <v>2.6066066066066069</v>
      </c>
      <c r="AA634" s="3" t="str" cm="1">
        <f t="array" ref="AA634">_xlfn.IFS(
(F634/(X634/7)) &lt; 5, "Casual",
AND((F634/(X634/7)) &gt;= 5, (F634/(X634/7)) &lt; 15), "Regular",
(F634/(X634/7)) &gt;= 15, "Power"
)</f>
        <v>Casual</v>
      </c>
      <c r="AB634" s="3">
        <f t="shared" si="40"/>
        <v>0.35734870317002881</v>
      </c>
      <c r="AC634" t="str">
        <f t="shared" si="38"/>
        <v>Viewers</v>
      </c>
    </row>
    <row r="635" spans="1:29" x14ac:dyDescent="0.3">
      <c r="A635" s="6">
        <v>4763</v>
      </c>
      <c r="B635" s="7" t="s">
        <v>266</v>
      </c>
      <c r="C635" s="10">
        <v>45334</v>
      </c>
      <c r="D635" s="10">
        <v>45631</v>
      </c>
      <c r="E635" s="13">
        <v>15.99</v>
      </c>
      <c r="F635" s="6">
        <v>256</v>
      </c>
      <c r="G635" s="7" t="s">
        <v>26</v>
      </c>
      <c r="H635" s="6">
        <v>1</v>
      </c>
      <c r="I635" s="6">
        <v>1</v>
      </c>
      <c r="J635" s="7" t="b">
        <v>0</v>
      </c>
      <c r="K635" s="6">
        <v>118</v>
      </c>
      <c r="L635" s="6">
        <v>104</v>
      </c>
      <c r="M635" s="7" t="s">
        <v>68</v>
      </c>
      <c r="N635" s="7" t="s">
        <v>44</v>
      </c>
      <c r="O635" s="7" t="s">
        <v>45</v>
      </c>
      <c r="P635" s="6">
        <v>8</v>
      </c>
      <c r="Q635" s="11">
        <v>3.5</v>
      </c>
      <c r="R635" s="7" t="b">
        <v>0</v>
      </c>
      <c r="S635" s="7" t="s">
        <v>30</v>
      </c>
      <c r="T635" s="6">
        <v>2830</v>
      </c>
      <c r="U635" s="7" t="s">
        <v>38</v>
      </c>
      <c r="V635" s="12" t="s">
        <v>69</v>
      </c>
      <c r="W635" s="7" t="s">
        <v>40</v>
      </c>
      <c r="X635" s="6">
        <f t="shared" si="39"/>
        <v>297</v>
      </c>
      <c r="Y635" t="str" cm="1">
        <f t="array" ref="Y635">_xlfn.IFS(E635=7.99,"BASIC",E635=11.99,"STANDARD",E635=15.99,"PREMIUM")</f>
        <v>PREMIUM</v>
      </c>
      <c r="Z635" s="4">
        <f t="shared" si="37"/>
        <v>6.0336700336700337</v>
      </c>
      <c r="AA635" s="3" t="str" cm="1">
        <f t="array" ref="AA635">_xlfn.IFS(
(F635/(X635/7)) &lt; 5, "Casual",
AND((F635/(X635/7)) &gt;= 5, (F635/(X635/7)) &lt; 15), "Regular",
(F635/(X635/7)) &gt;= 15, "Power"
)</f>
        <v>Regular</v>
      </c>
      <c r="AB635" s="3">
        <f t="shared" si="40"/>
        <v>1.1531531531531531</v>
      </c>
      <c r="AC635" t="str">
        <f t="shared" si="38"/>
        <v>Viewers</v>
      </c>
    </row>
    <row r="636" spans="1:29" x14ac:dyDescent="0.3">
      <c r="A636" s="6">
        <v>4577</v>
      </c>
      <c r="B636" s="7" t="s">
        <v>190</v>
      </c>
      <c r="C636" s="10">
        <v>45465</v>
      </c>
      <c r="D636" s="10">
        <v>45637</v>
      </c>
      <c r="E636" s="13">
        <v>11.99</v>
      </c>
      <c r="F636" s="6">
        <v>58</v>
      </c>
      <c r="G636" s="7" t="s">
        <v>73</v>
      </c>
      <c r="H636" s="6">
        <v>1</v>
      </c>
      <c r="I636" s="6">
        <v>6</v>
      </c>
      <c r="J636" s="7" t="b">
        <v>0</v>
      </c>
      <c r="K636" s="6">
        <v>983</v>
      </c>
      <c r="L636" s="6">
        <v>8</v>
      </c>
      <c r="M636" s="7" t="s">
        <v>49</v>
      </c>
      <c r="N636" s="7" t="s">
        <v>56</v>
      </c>
      <c r="O636" s="7" t="s">
        <v>64</v>
      </c>
      <c r="P636" s="6">
        <v>75</v>
      </c>
      <c r="Q636" s="11">
        <v>4.3</v>
      </c>
      <c r="R636" s="7" t="b">
        <v>1</v>
      </c>
      <c r="S636" s="7" t="s">
        <v>30</v>
      </c>
      <c r="T636" s="6">
        <v>2409</v>
      </c>
      <c r="U636" s="7" t="s">
        <v>76</v>
      </c>
      <c r="V636" s="12" t="s">
        <v>79</v>
      </c>
      <c r="W636" s="7" t="s">
        <v>93</v>
      </c>
      <c r="X636" s="6">
        <f t="shared" si="39"/>
        <v>172</v>
      </c>
      <c r="Y636" t="str" cm="1">
        <f t="array" ref="Y636">_xlfn.IFS(E636=7.99,"BASIC",E636=11.99,"STANDARD",E636=15.99,"PREMIUM")</f>
        <v>STANDARD</v>
      </c>
      <c r="Z636" s="4">
        <f t="shared" si="37"/>
        <v>2.3604651162790695</v>
      </c>
      <c r="AA636" s="3" t="str" cm="1">
        <f t="array" ref="AA636">_xlfn.IFS(
(F636/(X636/7)) &lt; 5, "Casual",
AND((F636/(X636/7)) &gt;= 5, (F636/(X636/7)) &lt; 15), "Regular",
(F636/(X636/7)) &gt;= 15, "Power"
)</f>
        <v>Casual</v>
      </c>
      <c r="AB636" s="3">
        <f t="shared" si="40"/>
        <v>5.8526740665993948E-2</v>
      </c>
      <c r="AC636" t="str">
        <f t="shared" si="38"/>
        <v xml:space="preserve"> Browsers</v>
      </c>
    </row>
    <row r="637" spans="1:29" x14ac:dyDescent="0.3">
      <c r="A637" s="6">
        <v>5216</v>
      </c>
      <c r="B637" s="7" t="s">
        <v>367</v>
      </c>
      <c r="C637" s="10">
        <v>45557</v>
      </c>
      <c r="D637" s="10">
        <v>45617</v>
      </c>
      <c r="E637" s="13">
        <v>15.99</v>
      </c>
      <c r="F637" s="6">
        <v>135</v>
      </c>
      <c r="G637" s="7" t="s">
        <v>73</v>
      </c>
      <c r="H637" s="6">
        <v>3</v>
      </c>
      <c r="I637" s="6">
        <v>2</v>
      </c>
      <c r="J637" s="7" t="b">
        <v>0</v>
      </c>
      <c r="K637" s="6">
        <v>523</v>
      </c>
      <c r="L637" s="6">
        <v>159</v>
      </c>
      <c r="M637" s="7" t="s">
        <v>27</v>
      </c>
      <c r="N637" s="7" t="s">
        <v>44</v>
      </c>
      <c r="O637" s="7" t="s">
        <v>29</v>
      </c>
      <c r="P637" s="6">
        <v>11</v>
      </c>
      <c r="Q637" s="11">
        <v>4.8</v>
      </c>
      <c r="R637" s="7" t="b">
        <v>1</v>
      </c>
      <c r="S637" s="7" t="s">
        <v>30</v>
      </c>
      <c r="T637" s="6">
        <v>2872</v>
      </c>
      <c r="U637" s="7" t="s">
        <v>65</v>
      </c>
      <c r="V637" s="12" t="s">
        <v>39</v>
      </c>
      <c r="W637" s="7" t="s">
        <v>33</v>
      </c>
      <c r="X637" s="6">
        <f t="shared" si="39"/>
        <v>60</v>
      </c>
      <c r="Y637" t="str" cm="1">
        <f t="array" ref="Y637">_xlfn.IFS(E637=7.99,"BASIC",E637=11.99,"STANDARD",E637=15.99,"PREMIUM")</f>
        <v>PREMIUM</v>
      </c>
      <c r="Z637" s="4">
        <f t="shared" si="37"/>
        <v>15.75</v>
      </c>
      <c r="AA637" s="3" t="str" cm="1">
        <f t="array" ref="AA637">_xlfn.IFS(
(F637/(X637/7)) &lt; 5, "Casual",
AND((F637/(X637/7)) &gt;= 5, (F637/(X637/7)) &lt; 15), "Regular",
(F637/(X637/7)) &gt;= 15, "Power"
)</f>
        <v>Power</v>
      </c>
      <c r="AB637" s="3">
        <f t="shared" si="40"/>
        <v>0.19794721407624633</v>
      </c>
      <c r="AC637" t="str">
        <f t="shared" si="38"/>
        <v>Viewers</v>
      </c>
    </row>
    <row r="638" spans="1:29" x14ac:dyDescent="0.3">
      <c r="A638" s="6">
        <v>3941</v>
      </c>
      <c r="B638" s="7" t="s">
        <v>608</v>
      </c>
      <c r="C638" s="10">
        <v>45551</v>
      </c>
      <c r="D638" s="10">
        <v>45625</v>
      </c>
      <c r="E638" s="13">
        <v>11.99</v>
      </c>
      <c r="F638" s="6">
        <v>163</v>
      </c>
      <c r="G638" s="7" t="s">
        <v>100</v>
      </c>
      <c r="H638" s="6">
        <v>5</v>
      </c>
      <c r="I638" s="6">
        <v>2</v>
      </c>
      <c r="J638" s="7" t="b">
        <v>0</v>
      </c>
      <c r="K638" s="6">
        <v>786</v>
      </c>
      <c r="L638" s="6">
        <v>94</v>
      </c>
      <c r="M638" s="7" t="s">
        <v>49</v>
      </c>
      <c r="N638" s="7" t="s">
        <v>75</v>
      </c>
      <c r="O638" s="7" t="s">
        <v>45</v>
      </c>
      <c r="P638" s="6">
        <v>18</v>
      </c>
      <c r="Q638" s="11">
        <v>4.5999999999999996</v>
      </c>
      <c r="R638" s="7" t="b">
        <v>1</v>
      </c>
      <c r="S638" s="7" t="s">
        <v>30</v>
      </c>
      <c r="T638" s="6">
        <v>1364</v>
      </c>
      <c r="U638" s="7" t="s">
        <v>65</v>
      </c>
      <c r="V638" s="12" t="s">
        <v>39</v>
      </c>
      <c r="W638" s="7" t="s">
        <v>40</v>
      </c>
      <c r="X638" s="6">
        <f t="shared" si="39"/>
        <v>74</v>
      </c>
      <c r="Y638" t="str" cm="1">
        <f t="array" ref="Y638">_xlfn.IFS(E638=7.99,"BASIC",E638=11.99,"STANDARD",E638=15.99,"PREMIUM")</f>
        <v>STANDARD</v>
      </c>
      <c r="Z638" s="4">
        <f t="shared" si="37"/>
        <v>15.418918918918919</v>
      </c>
      <c r="AA638" s="3" t="str" cm="1">
        <f t="array" ref="AA638">_xlfn.IFS(
(F638/(X638/7)) &lt; 5, "Casual",
AND((F638/(X638/7)) &gt;= 5, (F638/(X638/7)) &lt; 15), "Regular",
(F638/(X638/7)) &gt;= 15, "Power"
)</f>
        <v>Power</v>
      </c>
      <c r="AB638" s="3">
        <f t="shared" si="40"/>
        <v>0.18522727272727274</v>
      </c>
      <c r="AC638" t="str">
        <f t="shared" si="38"/>
        <v>Viewers</v>
      </c>
    </row>
    <row r="639" spans="1:29" x14ac:dyDescent="0.3">
      <c r="A639" s="6">
        <v>4396</v>
      </c>
      <c r="B639" s="7" t="s">
        <v>234</v>
      </c>
      <c r="C639" s="10">
        <v>44928</v>
      </c>
      <c r="D639" s="10">
        <v>45643</v>
      </c>
      <c r="E639" s="13">
        <v>15.99</v>
      </c>
      <c r="F639" s="6">
        <v>120</v>
      </c>
      <c r="G639" s="7" t="s">
        <v>36</v>
      </c>
      <c r="H639" s="6">
        <v>2</v>
      </c>
      <c r="I639" s="6">
        <v>3</v>
      </c>
      <c r="J639" s="7" t="b">
        <v>0</v>
      </c>
      <c r="K639" s="6">
        <v>781</v>
      </c>
      <c r="L639" s="6">
        <v>97</v>
      </c>
      <c r="M639" s="7" t="s">
        <v>43</v>
      </c>
      <c r="N639" s="7" t="s">
        <v>56</v>
      </c>
      <c r="O639" s="7" t="s">
        <v>64</v>
      </c>
      <c r="P639" s="6">
        <v>46</v>
      </c>
      <c r="Q639" s="11">
        <v>3.3</v>
      </c>
      <c r="R639" s="7" t="b">
        <v>1</v>
      </c>
      <c r="S639" s="7" t="s">
        <v>30</v>
      </c>
      <c r="T639" s="6">
        <v>473</v>
      </c>
      <c r="U639" s="7" t="s">
        <v>58</v>
      </c>
      <c r="V639" s="12" t="s">
        <v>59</v>
      </c>
      <c r="W639" s="7" t="s">
        <v>40</v>
      </c>
      <c r="X639" s="6">
        <f t="shared" si="39"/>
        <v>715</v>
      </c>
      <c r="Y639" t="str" cm="1">
        <f t="array" ref="Y639">_xlfn.IFS(E639=7.99,"BASIC",E639=11.99,"STANDARD",E639=15.99,"PREMIUM")</f>
        <v>PREMIUM</v>
      </c>
      <c r="Z639" s="4">
        <f t="shared" si="37"/>
        <v>1.1748251748251748</v>
      </c>
      <c r="AA639" s="3" t="str" cm="1">
        <f t="array" ref="AA639">_xlfn.IFS(
(F639/(X639/7)) &lt; 5, "Casual",
AND((F639/(X639/7)) &gt;= 5, (F639/(X639/7)) &lt; 15), "Regular",
(F639/(X639/7)) &gt;= 15, "Power"
)</f>
        <v>Casual</v>
      </c>
      <c r="AB639" s="3">
        <f t="shared" si="40"/>
        <v>0.1366742596810934</v>
      </c>
      <c r="AC639" t="str">
        <f t="shared" si="38"/>
        <v xml:space="preserve"> Browsers</v>
      </c>
    </row>
    <row r="640" spans="1:29" x14ac:dyDescent="0.3">
      <c r="A640" s="6">
        <v>4865</v>
      </c>
      <c r="B640" s="7" t="s">
        <v>98</v>
      </c>
      <c r="C640" s="10">
        <v>45280</v>
      </c>
      <c r="D640" s="10">
        <v>45624</v>
      </c>
      <c r="E640" s="13">
        <v>7.99</v>
      </c>
      <c r="F640" s="6">
        <v>439</v>
      </c>
      <c r="G640" s="7" t="s">
        <v>48</v>
      </c>
      <c r="H640" s="6">
        <v>1</v>
      </c>
      <c r="I640" s="6">
        <v>5</v>
      </c>
      <c r="J640" s="7" t="b">
        <v>1</v>
      </c>
      <c r="K640" s="6">
        <v>434</v>
      </c>
      <c r="L640" s="6">
        <v>104</v>
      </c>
      <c r="M640" s="7" t="s">
        <v>92</v>
      </c>
      <c r="N640" s="7" t="s">
        <v>28</v>
      </c>
      <c r="O640" s="7" t="s">
        <v>29</v>
      </c>
      <c r="P640" s="6">
        <v>36</v>
      </c>
      <c r="Q640" s="11">
        <v>4.5</v>
      </c>
      <c r="R640" s="7" t="b">
        <v>1</v>
      </c>
      <c r="S640" s="7" t="s">
        <v>30</v>
      </c>
      <c r="T640" s="6">
        <v>4883</v>
      </c>
      <c r="U640" s="7" t="s">
        <v>31</v>
      </c>
      <c r="V640" s="12" t="s">
        <v>79</v>
      </c>
      <c r="W640" s="7" t="s">
        <v>60</v>
      </c>
      <c r="X640" s="6">
        <f t="shared" si="39"/>
        <v>344</v>
      </c>
      <c r="Y640" t="str" cm="1">
        <f t="array" ref="Y640">_xlfn.IFS(E640=7.99,"BASIC",E640=11.99,"STANDARD",E640=15.99,"PREMIUM")</f>
        <v>BASIC</v>
      </c>
      <c r="Z640" s="4">
        <f t="shared" si="37"/>
        <v>8.9331395348837201</v>
      </c>
      <c r="AA640" s="3" t="str" cm="1">
        <f t="array" ref="AA640">_xlfn.IFS(
(F640/(X640/7)) &lt; 5, "Casual",
AND((F640/(X640/7)) &gt;= 5, (F640/(X640/7)) &lt; 15), "Regular",
(F640/(X640/7)) &gt;= 15, "Power"
)</f>
        <v>Regular</v>
      </c>
      <c r="AB640" s="3">
        <f t="shared" si="40"/>
        <v>0.81598513011152418</v>
      </c>
      <c r="AC640" t="str">
        <f t="shared" si="38"/>
        <v>Viewers</v>
      </c>
    </row>
    <row r="641" spans="1:30" x14ac:dyDescent="0.3">
      <c r="A641" s="6">
        <v>2497</v>
      </c>
      <c r="B641" s="7" t="s">
        <v>382</v>
      </c>
      <c r="C641" s="10">
        <v>45135</v>
      </c>
      <c r="D641" s="10">
        <v>45626</v>
      </c>
      <c r="E641" s="13">
        <v>7.99</v>
      </c>
      <c r="F641" s="6">
        <v>223</v>
      </c>
      <c r="G641" s="7" t="s">
        <v>51</v>
      </c>
      <c r="H641" s="6">
        <v>1</v>
      </c>
      <c r="I641" s="6">
        <v>4</v>
      </c>
      <c r="J641" s="7" t="b">
        <v>0</v>
      </c>
      <c r="K641" s="6">
        <v>824</v>
      </c>
      <c r="L641" s="6">
        <v>125</v>
      </c>
      <c r="M641" s="7" t="s">
        <v>49</v>
      </c>
      <c r="N641" s="7" t="s">
        <v>56</v>
      </c>
      <c r="O641" s="7" t="s">
        <v>29</v>
      </c>
      <c r="P641" s="6">
        <v>56</v>
      </c>
      <c r="Q641" s="11">
        <v>4.5</v>
      </c>
      <c r="R641" s="7" t="b">
        <v>1</v>
      </c>
      <c r="S641" s="7" t="s">
        <v>30</v>
      </c>
      <c r="T641" s="6">
        <v>99</v>
      </c>
      <c r="U641" s="7" t="s">
        <v>58</v>
      </c>
      <c r="V641" s="12" t="s">
        <v>59</v>
      </c>
      <c r="W641" s="7" t="s">
        <v>40</v>
      </c>
      <c r="X641" s="6">
        <f t="shared" si="39"/>
        <v>491</v>
      </c>
      <c r="Y641" t="str" cm="1">
        <f t="array" ref="Y641">_xlfn.IFS(E641=7.99,"BASIC",E641=11.99,"STANDARD",E641=15.99,"PREMIUM")</f>
        <v>BASIC</v>
      </c>
      <c r="Z641" s="4">
        <f t="shared" si="37"/>
        <v>3.179226069246436</v>
      </c>
      <c r="AA641" s="3" t="str" cm="1">
        <f t="array" ref="AA641">_xlfn.IFS(
(F641/(X641/7)) &lt; 5, "Casual",
AND((F641/(X641/7)) &gt;= 5, (F641/(X641/7)) &lt; 15), "Regular",
(F641/(X641/7)) &gt;= 15, "Power"
)</f>
        <v>Casual</v>
      </c>
      <c r="AB641" s="3">
        <f t="shared" si="40"/>
        <v>0.23498419388830347</v>
      </c>
      <c r="AC641" t="str">
        <f t="shared" si="38"/>
        <v>Viewers</v>
      </c>
    </row>
    <row r="642" spans="1:30" x14ac:dyDescent="0.3">
      <c r="A642" s="6">
        <v>4945</v>
      </c>
      <c r="B642" s="7" t="s">
        <v>313</v>
      </c>
      <c r="C642" s="10">
        <v>45416</v>
      </c>
      <c r="D642" s="10">
        <v>45618</v>
      </c>
      <c r="E642" s="13">
        <v>11.99</v>
      </c>
      <c r="F642" s="6">
        <v>485</v>
      </c>
      <c r="G642" s="7" t="s">
        <v>100</v>
      </c>
      <c r="H642" s="6">
        <v>1</v>
      </c>
      <c r="I642" s="6">
        <v>1</v>
      </c>
      <c r="J642" s="7" t="b">
        <v>1</v>
      </c>
      <c r="K642" s="6">
        <v>230</v>
      </c>
      <c r="L642" s="6">
        <v>21</v>
      </c>
      <c r="M642" s="7" t="s">
        <v>43</v>
      </c>
      <c r="N642" s="7" t="s">
        <v>28</v>
      </c>
      <c r="O642" s="7" t="s">
        <v>57</v>
      </c>
      <c r="P642" s="6">
        <v>83</v>
      </c>
      <c r="Q642" s="11">
        <v>4.0999999999999996</v>
      </c>
      <c r="R642" s="7" t="b">
        <v>0</v>
      </c>
      <c r="S642" s="7" t="s">
        <v>30</v>
      </c>
      <c r="T642" s="6">
        <v>2284</v>
      </c>
      <c r="U642" s="7" t="s">
        <v>31</v>
      </c>
      <c r="V642" s="12" t="s">
        <v>69</v>
      </c>
      <c r="W642" s="7" t="s">
        <v>93</v>
      </c>
      <c r="X642" s="6">
        <f t="shared" si="39"/>
        <v>202</v>
      </c>
      <c r="Y642" t="str" cm="1">
        <f t="array" ref="Y642">_xlfn.IFS(E642=7.99,"BASIC",E642=11.99,"STANDARD",E642=15.99,"PREMIUM")</f>
        <v>STANDARD</v>
      </c>
      <c r="Z642" s="4">
        <f t="shared" ref="Z642:Z705" si="41">F642/(X642/7)</f>
        <v>16.806930693069308</v>
      </c>
      <c r="AA642" s="3" t="str" cm="1">
        <f t="array" ref="AA642">_xlfn.IFS(
(F642/(X642/7)) &lt; 5, "Casual",
AND((F642/(X642/7)) &gt;= 5, (F642/(X642/7)) &lt; 15), "Regular",
(F642/(X642/7)) &gt;= 15, "Power"
)</f>
        <v>Power</v>
      </c>
      <c r="AB642" s="3">
        <f t="shared" si="40"/>
        <v>1.9322709163346614</v>
      </c>
      <c r="AC642" t="str">
        <f t="shared" ref="AC642:AC705" si="42">IF(F642/(K642+L642) &lt; 0.15," Browsers","Viewers")</f>
        <v>Viewers</v>
      </c>
    </row>
    <row r="643" spans="1:30" x14ac:dyDescent="0.3">
      <c r="A643" s="6">
        <v>5227</v>
      </c>
      <c r="B643" s="7" t="s">
        <v>610</v>
      </c>
      <c r="C643" s="10">
        <v>45337</v>
      </c>
      <c r="D643" s="10">
        <v>45632</v>
      </c>
      <c r="E643" s="13">
        <v>7.99</v>
      </c>
      <c r="F643" s="6">
        <v>474</v>
      </c>
      <c r="G643" s="7" t="s">
        <v>36</v>
      </c>
      <c r="H643" s="6">
        <v>3</v>
      </c>
      <c r="I643" s="6">
        <v>6</v>
      </c>
      <c r="J643" s="7" t="b">
        <v>1</v>
      </c>
      <c r="K643" s="6">
        <v>358</v>
      </c>
      <c r="L643" s="6">
        <v>147</v>
      </c>
      <c r="M643" s="7" t="s">
        <v>27</v>
      </c>
      <c r="N643" s="7" t="s">
        <v>75</v>
      </c>
      <c r="O643" s="7" t="s">
        <v>29</v>
      </c>
      <c r="P643" s="6">
        <v>44</v>
      </c>
      <c r="Q643" s="11">
        <v>3.9</v>
      </c>
      <c r="R643" s="7" t="b">
        <v>1</v>
      </c>
      <c r="S643" s="7" t="s">
        <v>30</v>
      </c>
      <c r="T643" s="6">
        <v>3505</v>
      </c>
      <c r="U643" s="7" t="s">
        <v>76</v>
      </c>
      <c r="V643" s="12" t="s">
        <v>39</v>
      </c>
      <c r="W643" s="7" t="s">
        <v>60</v>
      </c>
      <c r="X643" s="6">
        <f t="shared" ref="X643:X706" si="43">D643-C643</f>
        <v>295</v>
      </c>
      <c r="Y643" t="str" cm="1">
        <f t="array" ref="Y643">_xlfn.IFS(E643=7.99,"BASIC",E643=11.99,"STANDARD",E643=15.99,"PREMIUM")</f>
        <v>BASIC</v>
      </c>
      <c r="Z643" s="4">
        <f t="shared" si="41"/>
        <v>11.247457627118644</v>
      </c>
      <c r="AA643" s="3" t="str" cm="1">
        <f t="array" ref="AA643">_xlfn.IFS(
(F643/(X643/7)) &lt; 5, "Casual",
AND((F643/(X643/7)) &gt;= 5, (F643/(X643/7)) &lt; 15), "Regular",
(F643/(X643/7)) &gt;= 15, "Power"
)</f>
        <v>Regular</v>
      </c>
      <c r="AB643" s="3">
        <f t="shared" si="40"/>
        <v>0.93861386138613856</v>
      </c>
      <c r="AC643" t="str">
        <f t="shared" si="42"/>
        <v>Viewers</v>
      </c>
    </row>
    <row r="644" spans="1:30" x14ac:dyDescent="0.3">
      <c r="A644" s="6">
        <v>2150</v>
      </c>
      <c r="B644" s="7" t="s">
        <v>311</v>
      </c>
      <c r="C644" s="10">
        <v>45394</v>
      </c>
      <c r="D644" s="10">
        <v>45635</v>
      </c>
      <c r="E644" s="13">
        <v>11.99</v>
      </c>
      <c r="F644" s="6">
        <v>259</v>
      </c>
      <c r="G644" s="7" t="s">
        <v>63</v>
      </c>
      <c r="H644" s="6">
        <v>2</v>
      </c>
      <c r="I644" s="6">
        <v>1</v>
      </c>
      <c r="J644" s="7" t="b">
        <v>0</v>
      </c>
      <c r="K644" s="6">
        <v>380</v>
      </c>
      <c r="L644" s="6">
        <v>9</v>
      </c>
      <c r="M644" s="7" t="s">
        <v>27</v>
      </c>
      <c r="N644" s="7" t="s">
        <v>75</v>
      </c>
      <c r="O644" s="7" t="s">
        <v>45</v>
      </c>
      <c r="P644" s="6">
        <v>49</v>
      </c>
      <c r="Q644" s="11">
        <v>3.2</v>
      </c>
      <c r="R644" s="7" t="b">
        <v>0</v>
      </c>
      <c r="S644" s="7" t="s">
        <v>30</v>
      </c>
      <c r="T644" s="6">
        <v>412</v>
      </c>
      <c r="U644" s="7" t="s">
        <v>31</v>
      </c>
      <c r="V644" s="12" t="s">
        <v>79</v>
      </c>
      <c r="W644" s="7" t="s">
        <v>40</v>
      </c>
      <c r="X644" s="6">
        <f t="shared" si="43"/>
        <v>241</v>
      </c>
      <c r="Y644" t="str" cm="1">
        <f t="array" ref="Y644">_xlfn.IFS(E644=7.99,"BASIC",E644=11.99,"STANDARD",E644=15.99,"PREMIUM")</f>
        <v>STANDARD</v>
      </c>
      <c r="Z644" s="4">
        <f t="shared" si="41"/>
        <v>7.5228215767634854</v>
      </c>
      <c r="AA644" s="3" t="str" cm="1">
        <f t="array" ref="AA644">_xlfn.IFS(
(F644/(X644/7)) &lt; 5, "Casual",
AND((F644/(X644/7)) &gt;= 5, (F644/(X644/7)) &lt; 15), "Regular",
(F644/(X644/7)) &gt;= 15, "Power"
)</f>
        <v>Regular</v>
      </c>
      <c r="AB644" s="3">
        <f t="shared" si="40"/>
        <v>0.66580976863753216</v>
      </c>
      <c r="AC644" t="str">
        <f t="shared" si="42"/>
        <v>Viewers</v>
      </c>
    </row>
    <row r="645" spans="1:30" x14ac:dyDescent="0.3">
      <c r="A645" s="6">
        <v>7145</v>
      </c>
      <c r="B645" s="7" t="s">
        <v>612</v>
      </c>
      <c r="C645" s="10">
        <v>45593</v>
      </c>
      <c r="D645" s="10">
        <v>45618</v>
      </c>
      <c r="E645" s="13">
        <v>7.99</v>
      </c>
      <c r="F645" s="6">
        <v>53</v>
      </c>
      <c r="G645" s="7" t="s">
        <v>36</v>
      </c>
      <c r="H645" s="6">
        <v>2</v>
      </c>
      <c r="I645" s="6">
        <v>1</v>
      </c>
      <c r="J645" s="7" t="b">
        <v>0</v>
      </c>
      <c r="K645" s="6">
        <v>647</v>
      </c>
      <c r="L645" s="6">
        <v>165</v>
      </c>
      <c r="M645" s="7" t="s">
        <v>27</v>
      </c>
      <c r="N645" s="7" t="s">
        <v>28</v>
      </c>
      <c r="O645" s="7" t="s">
        <v>57</v>
      </c>
      <c r="P645" s="6">
        <v>88</v>
      </c>
      <c r="Q645" s="11">
        <v>4</v>
      </c>
      <c r="R645" s="7" t="b">
        <v>0</v>
      </c>
      <c r="S645" s="7" t="s">
        <v>30</v>
      </c>
      <c r="T645" s="6">
        <v>4867</v>
      </c>
      <c r="U645" s="7" t="s">
        <v>76</v>
      </c>
      <c r="V645" s="12" t="s">
        <v>69</v>
      </c>
      <c r="W645" s="7" t="s">
        <v>33</v>
      </c>
      <c r="X645" s="6">
        <f t="shared" si="43"/>
        <v>25</v>
      </c>
      <c r="Y645" t="str" cm="1">
        <f t="array" ref="Y645">_xlfn.IFS(E645=7.99,"BASIC",E645=11.99,"STANDARD",E645=15.99,"PREMIUM")</f>
        <v>BASIC</v>
      </c>
      <c r="Z645" s="4">
        <f t="shared" si="41"/>
        <v>14.84</v>
      </c>
      <c r="AA645" s="3" t="str" cm="1">
        <f t="array" ref="AA645">_xlfn.IFS(
(F645/(X645/7)) &lt; 5, "Casual",
AND((F645/(X645/7)) &gt;= 5, (F645/(X645/7)) &lt; 15), "Regular",
(F645/(X645/7)) &gt;= 15, "Power"
)</f>
        <v>Regular</v>
      </c>
      <c r="AB645" s="3">
        <f t="shared" si="40"/>
        <v>6.5270935960591137E-2</v>
      </c>
      <c r="AC645" t="str">
        <f t="shared" si="42"/>
        <v xml:space="preserve"> Browsers</v>
      </c>
    </row>
    <row r="646" spans="1:30" x14ac:dyDescent="0.3">
      <c r="A646" s="6">
        <v>2040</v>
      </c>
      <c r="B646" s="7" t="s">
        <v>613</v>
      </c>
      <c r="C646" s="10">
        <v>45576</v>
      </c>
      <c r="D646" s="10">
        <v>45626</v>
      </c>
      <c r="E646" s="13">
        <v>7.99</v>
      </c>
      <c r="F646" s="6">
        <v>221</v>
      </c>
      <c r="G646" s="7" t="s">
        <v>63</v>
      </c>
      <c r="H646" s="6">
        <v>1</v>
      </c>
      <c r="I646" s="6">
        <v>3</v>
      </c>
      <c r="J646" s="7" t="b">
        <v>1</v>
      </c>
      <c r="K646" s="6">
        <v>518</v>
      </c>
      <c r="L646" s="6">
        <v>157</v>
      </c>
      <c r="M646" s="7" t="s">
        <v>68</v>
      </c>
      <c r="N646" s="7" t="s">
        <v>75</v>
      </c>
      <c r="O646" s="7" t="s">
        <v>64</v>
      </c>
      <c r="P646" s="6">
        <v>4</v>
      </c>
      <c r="Q646" s="11">
        <v>3.7</v>
      </c>
      <c r="R646" s="7" t="b">
        <v>1</v>
      </c>
      <c r="S646" s="7" t="s">
        <v>30</v>
      </c>
      <c r="T646" s="6">
        <v>2560</v>
      </c>
      <c r="U646" s="7" t="s">
        <v>65</v>
      </c>
      <c r="V646" s="12" t="s">
        <v>59</v>
      </c>
      <c r="W646" s="7" t="s">
        <v>33</v>
      </c>
      <c r="X646" s="6">
        <f t="shared" si="43"/>
        <v>50</v>
      </c>
      <c r="Y646" t="str" cm="1">
        <f t="array" ref="Y646">_xlfn.IFS(E646=7.99,"BASIC",E646=11.99,"STANDARD",E646=15.99,"PREMIUM")</f>
        <v>BASIC</v>
      </c>
      <c r="Z646" s="4">
        <f t="shared" si="41"/>
        <v>30.939999999999998</v>
      </c>
      <c r="AA646" s="3" t="str" cm="1">
        <f t="array" ref="AA646">_xlfn.IFS(
(F646/(X646/7)) &lt; 5, "Casual",
AND((F646/(X646/7)) &gt;= 5, (F646/(X646/7)) &lt; 15), "Regular",
(F646/(X646/7)) &gt;= 15, "Power"
)</f>
        <v>Power</v>
      </c>
      <c r="AB646" s="3">
        <f t="shared" si="40"/>
        <v>0.32740740740740742</v>
      </c>
      <c r="AC646" t="str">
        <f t="shared" si="42"/>
        <v>Viewers</v>
      </c>
    </row>
    <row r="647" spans="1:30" x14ac:dyDescent="0.3">
      <c r="A647" s="6">
        <v>4191</v>
      </c>
      <c r="B647" s="7" t="s">
        <v>270</v>
      </c>
      <c r="C647" s="10">
        <v>45035</v>
      </c>
      <c r="D647" s="10">
        <v>45629</v>
      </c>
      <c r="E647" s="13">
        <v>7.99</v>
      </c>
      <c r="F647" s="6">
        <v>46</v>
      </c>
      <c r="G647" s="7" t="s">
        <v>63</v>
      </c>
      <c r="H647" s="6">
        <v>2</v>
      </c>
      <c r="I647" s="6">
        <v>4</v>
      </c>
      <c r="J647" s="7" t="b">
        <v>0</v>
      </c>
      <c r="K647" s="6">
        <v>33</v>
      </c>
      <c r="L647" s="6">
        <v>120</v>
      </c>
      <c r="M647" s="7" t="s">
        <v>74</v>
      </c>
      <c r="N647" s="7" t="s">
        <v>75</v>
      </c>
      <c r="O647" s="7" t="s">
        <v>29</v>
      </c>
      <c r="P647" s="6">
        <v>77</v>
      </c>
      <c r="Q647" s="11">
        <v>3.9</v>
      </c>
      <c r="R647" s="7" t="b">
        <v>1</v>
      </c>
      <c r="S647" s="7" t="s">
        <v>30</v>
      </c>
      <c r="T647" s="6">
        <v>4269</v>
      </c>
      <c r="U647" s="7" t="s">
        <v>76</v>
      </c>
      <c r="V647" s="12" t="s">
        <v>32</v>
      </c>
      <c r="W647" s="7" t="s">
        <v>40</v>
      </c>
      <c r="X647" s="6">
        <f t="shared" si="43"/>
        <v>594</v>
      </c>
      <c r="Y647" t="str" cm="1">
        <f t="array" ref="Y647">_xlfn.IFS(E647=7.99,"BASIC",E647=11.99,"STANDARD",E647=15.99,"PREMIUM")</f>
        <v>BASIC</v>
      </c>
      <c r="Z647" s="4">
        <f t="shared" si="41"/>
        <v>0.54208754208754206</v>
      </c>
      <c r="AA647" s="3" t="str" cm="1">
        <f t="array" ref="AA647">_xlfn.IFS(
(F647/(X647/7)) &lt; 5, "Casual",
AND((F647/(X647/7)) &gt;= 5, (F647/(X647/7)) &lt; 15), "Regular",
(F647/(X647/7)) &gt;= 15, "Power"
)</f>
        <v>Casual</v>
      </c>
      <c r="AB647" s="3">
        <f t="shared" si="40"/>
        <v>0.30065359477124182</v>
      </c>
      <c r="AC647" t="str">
        <f t="shared" si="42"/>
        <v>Viewers</v>
      </c>
    </row>
    <row r="648" spans="1:30" x14ac:dyDescent="0.3">
      <c r="A648" s="6">
        <v>4336</v>
      </c>
      <c r="B648" s="7" t="s">
        <v>88</v>
      </c>
      <c r="C648" s="10">
        <v>45140</v>
      </c>
      <c r="D648" s="10">
        <v>45637</v>
      </c>
      <c r="E648" s="13">
        <v>15.99</v>
      </c>
      <c r="F648" s="6">
        <v>253</v>
      </c>
      <c r="G648" s="7" t="s">
        <v>51</v>
      </c>
      <c r="H648" s="6">
        <v>4</v>
      </c>
      <c r="I648" s="6">
        <v>2</v>
      </c>
      <c r="J648" s="7" t="b">
        <v>0</v>
      </c>
      <c r="K648" s="6">
        <v>660</v>
      </c>
      <c r="L648" s="6">
        <v>151</v>
      </c>
      <c r="M648" s="7" t="s">
        <v>49</v>
      </c>
      <c r="N648" s="7" t="s">
        <v>75</v>
      </c>
      <c r="O648" s="7" t="s">
        <v>29</v>
      </c>
      <c r="P648" s="6">
        <v>43</v>
      </c>
      <c r="Q648" s="11">
        <v>3.4</v>
      </c>
      <c r="R648" s="7" t="b">
        <v>1</v>
      </c>
      <c r="S648" s="7" t="s">
        <v>30</v>
      </c>
      <c r="T648" s="6">
        <v>1317</v>
      </c>
      <c r="U648" s="7" t="s">
        <v>31</v>
      </c>
      <c r="V648" s="12" t="s">
        <v>59</v>
      </c>
      <c r="W648" s="7" t="s">
        <v>33</v>
      </c>
      <c r="X648" s="6">
        <f t="shared" si="43"/>
        <v>497</v>
      </c>
      <c r="Y648" t="str" cm="1">
        <f t="array" ref="Y648">_xlfn.IFS(E648=7.99,"BASIC",E648=11.99,"STANDARD",E648=15.99,"PREMIUM")</f>
        <v>PREMIUM</v>
      </c>
      <c r="Z648" s="4">
        <f t="shared" si="41"/>
        <v>3.563380281690141</v>
      </c>
      <c r="AA648" s="3" t="str" cm="1">
        <f t="array" ref="AA648">_xlfn.IFS(
(F648/(X648/7)) &lt; 5, "Casual",
AND((F648/(X648/7)) &gt;= 5, (F648/(X648/7)) &lt; 15), "Regular",
(F648/(X648/7)) &gt;= 15, "Power"
)</f>
        <v>Casual</v>
      </c>
      <c r="AB648" s="3">
        <f t="shared" si="40"/>
        <v>0.31196054254007399</v>
      </c>
      <c r="AC648" t="str">
        <f t="shared" si="42"/>
        <v>Viewers</v>
      </c>
    </row>
    <row r="649" spans="1:30" x14ac:dyDescent="0.3">
      <c r="A649" s="6">
        <v>5438</v>
      </c>
      <c r="B649" s="7" t="s">
        <v>411</v>
      </c>
      <c r="C649" s="10">
        <v>45205</v>
      </c>
      <c r="D649" s="10">
        <v>45626</v>
      </c>
      <c r="E649" s="13">
        <v>11.99</v>
      </c>
      <c r="F649" s="6">
        <v>478</v>
      </c>
      <c r="G649" s="7" t="s">
        <v>36</v>
      </c>
      <c r="H649" s="6">
        <v>1</v>
      </c>
      <c r="I649" s="6">
        <v>6</v>
      </c>
      <c r="J649" s="7" t="b">
        <v>1</v>
      </c>
      <c r="K649" s="6">
        <v>517</v>
      </c>
      <c r="L649" s="6">
        <v>200</v>
      </c>
      <c r="M649" s="7" t="s">
        <v>92</v>
      </c>
      <c r="N649" s="7" t="s">
        <v>44</v>
      </c>
      <c r="O649" s="7" t="s">
        <v>29</v>
      </c>
      <c r="P649" s="6">
        <v>41</v>
      </c>
      <c r="Q649" s="11">
        <v>4.8</v>
      </c>
      <c r="R649" s="7" t="b">
        <v>0</v>
      </c>
      <c r="S649" s="7" t="s">
        <v>30</v>
      </c>
      <c r="T649" s="6">
        <v>2936</v>
      </c>
      <c r="U649" s="7" t="s">
        <v>58</v>
      </c>
      <c r="V649" s="12" t="s">
        <v>69</v>
      </c>
      <c r="W649" s="7" t="s">
        <v>33</v>
      </c>
      <c r="X649" s="6">
        <f t="shared" si="43"/>
        <v>421</v>
      </c>
      <c r="Y649" t="str" cm="1">
        <f t="array" ref="Y649">_xlfn.IFS(E649=7.99,"BASIC",E649=11.99,"STANDARD",E649=15.99,"PREMIUM")</f>
        <v>STANDARD</v>
      </c>
      <c r="Z649" s="4">
        <f t="shared" si="41"/>
        <v>7.9477434679334911</v>
      </c>
      <c r="AA649" s="3" t="str" cm="1">
        <f t="array" ref="AA649">_xlfn.IFS(
(F649/(X649/7)) &lt; 5, "Casual",
AND((F649/(X649/7)) &gt;= 5, (F649/(X649/7)) &lt; 15), "Regular",
(F649/(X649/7)) &gt;= 15, "Power"
)</f>
        <v>Regular</v>
      </c>
      <c r="AB649" s="3">
        <f t="shared" ref="AB649:AB712" si="44">(F649/(K649+L649))</f>
        <v>0.66666666666666663</v>
      </c>
      <c r="AC649" t="str">
        <f t="shared" si="42"/>
        <v>Viewers</v>
      </c>
    </row>
    <row r="650" spans="1:30" x14ac:dyDescent="0.3">
      <c r="A650" s="6">
        <v>9857</v>
      </c>
      <c r="B650" s="7" t="s">
        <v>247</v>
      </c>
      <c r="C650" s="10">
        <v>45195</v>
      </c>
      <c r="D650" s="10">
        <v>45628</v>
      </c>
      <c r="E650" s="13">
        <v>7.99</v>
      </c>
      <c r="F650" s="6">
        <v>145</v>
      </c>
      <c r="G650" s="7" t="s">
        <v>26</v>
      </c>
      <c r="H650" s="6">
        <v>2</v>
      </c>
      <c r="I650" s="6">
        <v>5</v>
      </c>
      <c r="J650" s="7" t="b">
        <v>0</v>
      </c>
      <c r="K650" s="6">
        <v>882</v>
      </c>
      <c r="L650" s="6">
        <v>23</v>
      </c>
      <c r="M650" s="7" t="s">
        <v>74</v>
      </c>
      <c r="N650" s="7" t="s">
        <v>75</v>
      </c>
      <c r="O650" s="7" t="s">
        <v>78</v>
      </c>
      <c r="P650" s="6">
        <v>79</v>
      </c>
      <c r="Q650" s="11">
        <v>5</v>
      </c>
      <c r="R650" s="7" t="b">
        <v>1</v>
      </c>
      <c r="S650" s="7" t="s">
        <v>30</v>
      </c>
      <c r="T650" s="6">
        <v>905</v>
      </c>
      <c r="U650" s="7" t="s">
        <v>58</v>
      </c>
      <c r="V650" s="12" t="s">
        <v>69</v>
      </c>
      <c r="W650" s="7" t="s">
        <v>60</v>
      </c>
      <c r="X650" s="6">
        <f t="shared" si="43"/>
        <v>433</v>
      </c>
      <c r="Y650" t="str" cm="1">
        <f t="array" ref="Y650">_xlfn.IFS(E650=7.99,"BASIC",E650=11.99,"STANDARD",E650=15.99,"PREMIUM")</f>
        <v>BASIC</v>
      </c>
      <c r="Z650" s="4">
        <f t="shared" si="41"/>
        <v>2.3441108545034641</v>
      </c>
      <c r="AA650" s="3" t="str" cm="1">
        <f t="array" ref="AA650">_xlfn.IFS(
(F650/(X650/7)) &lt; 5, "Casual",
AND((F650/(X650/7)) &gt;= 5, (F650/(X650/7)) &lt; 15), "Regular",
(F650/(X650/7)) &gt;= 15, "Power"
)</f>
        <v>Casual</v>
      </c>
      <c r="AB650" s="3">
        <f t="shared" si="44"/>
        <v>0.16022099447513813</v>
      </c>
      <c r="AC650" t="str">
        <f t="shared" si="42"/>
        <v>Viewers</v>
      </c>
    </row>
    <row r="651" spans="1:30" x14ac:dyDescent="0.3">
      <c r="A651" s="6">
        <v>4767</v>
      </c>
      <c r="B651" s="7" t="s">
        <v>98</v>
      </c>
      <c r="C651" s="10">
        <v>45279</v>
      </c>
      <c r="D651" s="10">
        <v>45620</v>
      </c>
      <c r="E651" s="13">
        <v>15.99</v>
      </c>
      <c r="F651" s="6">
        <v>366</v>
      </c>
      <c r="G651" s="7" t="s">
        <v>51</v>
      </c>
      <c r="H651" s="6">
        <v>1</v>
      </c>
      <c r="I651" s="6">
        <v>3</v>
      </c>
      <c r="J651" s="7" t="b">
        <v>1</v>
      </c>
      <c r="K651" s="6">
        <v>349</v>
      </c>
      <c r="L651" s="6">
        <v>50</v>
      </c>
      <c r="M651" s="7" t="s">
        <v>68</v>
      </c>
      <c r="N651" s="7" t="s">
        <v>75</v>
      </c>
      <c r="O651" s="7" t="s">
        <v>78</v>
      </c>
      <c r="P651" s="6">
        <v>21</v>
      </c>
      <c r="Q651" s="11">
        <v>5</v>
      </c>
      <c r="R651" s="7" t="b">
        <v>1</v>
      </c>
      <c r="S651" s="7" t="s">
        <v>30</v>
      </c>
      <c r="T651" s="6">
        <v>4513</v>
      </c>
      <c r="U651" s="7" t="s">
        <v>31</v>
      </c>
      <c r="V651" s="12" t="s">
        <v>39</v>
      </c>
      <c r="W651" s="7" t="s">
        <v>33</v>
      </c>
      <c r="X651" s="6">
        <f t="shared" si="43"/>
        <v>341</v>
      </c>
      <c r="Y651" t="str" cm="1">
        <f t="array" ref="Y651">_xlfn.IFS(E651=7.99,"BASIC",E651=11.99,"STANDARD",E651=15.99,"PREMIUM")</f>
        <v>PREMIUM</v>
      </c>
      <c r="Z651" s="4">
        <f t="shared" si="41"/>
        <v>7.513196480938416</v>
      </c>
      <c r="AA651" s="3" t="str" cm="1">
        <f t="array" ref="AA651">_xlfn.IFS(
(F651/(X651/7)) &lt; 5, "Casual",
AND((F651/(X651/7)) &gt;= 5, (F651/(X651/7)) &lt; 15), "Regular",
(F651/(X651/7)) &gt;= 15, "Power"
)</f>
        <v>Regular</v>
      </c>
      <c r="AB651" s="3">
        <f t="shared" si="44"/>
        <v>0.91729323308270672</v>
      </c>
      <c r="AC651" t="str">
        <f t="shared" si="42"/>
        <v>Viewers</v>
      </c>
    </row>
    <row r="652" spans="1:30" x14ac:dyDescent="0.3">
      <c r="A652" s="6">
        <v>9374</v>
      </c>
      <c r="B652" s="7" t="s">
        <v>224</v>
      </c>
      <c r="C652" s="10">
        <f>_xlfn.XLOOKUP(A652,'Data Anomalies -Pls Read It'!A:A,'Data Anomalies -Pls Read It'!D:D,1,0)</f>
        <v>45627</v>
      </c>
      <c r="D652" s="10">
        <f>_xlfn.XLOOKUP(A652,'Data Anomalies -Pls Read It'!A:A,'Data Anomalies -Pls Read It'!C:C,1,0)</f>
        <v>45643</v>
      </c>
      <c r="E652" s="13">
        <v>15.99</v>
      </c>
      <c r="F652" s="6">
        <v>301</v>
      </c>
      <c r="G652" s="7" t="s">
        <v>26</v>
      </c>
      <c r="H652" s="6">
        <v>4</v>
      </c>
      <c r="I652" s="6">
        <v>6</v>
      </c>
      <c r="J652" s="7" t="b">
        <v>0</v>
      </c>
      <c r="K652" s="6">
        <v>619</v>
      </c>
      <c r="L652" s="6">
        <v>172</v>
      </c>
      <c r="M652" s="7" t="s">
        <v>27</v>
      </c>
      <c r="N652" s="7" t="s">
        <v>44</v>
      </c>
      <c r="O652" s="7" t="s">
        <v>64</v>
      </c>
      <c r="P652" s="6">
        <v>37</v>
      </c>
      <c r="Q652" s="11">
        <v>4.2</v>
      </c>
      <c r="R652" s="7" t="b">
        <v>1</v>
      </c>
      <c r="S652" s="7" t="s">
        <v>30</v>
      </c>
      <c r="T652" s="6">
        <v>1153</v>
      </c>
      <c r="U652" s="7" t="s">
        <v>76</v>
      </c>
      <c r="V652" s="12" t="s">
        <v>69</v>
      </c>
      <c r="W652" s="7" t="s">
        <v>40</v>
      </c>
      <c r="X652" s="6">
        <f t="shared" si="43"/>
        <v>16</v>
      </c>
      <c r="Y652" t="str" cm="1">
        <f t="array" ref="Y652">_xlfn.IFS(E652=7.99,"BASIC",E652=11.99,"STANDARD",E652=15.99,"PREMIUM")</f>
        <v>PREMIUM</v>
      </c>
      <c r="Z652" s="4">
        <f t="shared" si="41"/>
        <v>131.6875</v>
      </c>
      <c r="AA652" s="3" t="str" cm="1">
        <f t="array" ref="AA652">_xlfn.IFS(
(F652/(X652/7)) &lt; 5, "Casual",
AND((F652/(X652/7)) &gt;= 5, (F652/(X652/7)) &lt; 15), "Regular",
(F652/(X652/7)) &gt;= 15, "Power"
)</f>
        <v>Power</v>
      </c>
      <c r="AB652" s="3">
        <f t="shared" si="44"/>
        <v>0.38053097345132741</v>
      </c>
      <c r="AC652" t="str">
        <f t="shared" si="42"/>
        <v>Viewers</v>
      </c>
      <c r="AD652" t="s">
        <v>779</v>
      </c>
    </row>
    <row r="653" spans="1:30" x14ac:dyDescent="0.3">
      <c r="A653" s="6">
        <v>3918</v>
      </c>
      <c r="B653" s="7" t="s">
        <v>88</v>
      </c>
      <c r="C653" s="10">
        <v>45216</v>
      </c>
      <c r="D653" s="10">
        <v>45624</v>
      </c>
      <c r="E653" s="13">
        <v>7.99</v>
      </c>
      <c r="F653" s="6">
        <v>26</v>
      </c>
      <c r="G653" s="7" t="s">
        <v>26</v>
      </c>
      <c r="H653" s="6">
        <v>4</v>
      </c>
      <c r="I653" s="6">
        <v>5</v>
      </c>
      <c r="J653" s="7" t="b">
        <v>0</v>
      </c>
      <c r="K653" s="6">
        <v>416</v>
      </c>
      <c r="L653" s="6">
        <v>146</v>
      </c>
      <c r="M653" s="7" t="s">
        <v>49</v>
      </c>
      <c r="N653" s="7" t="s">
        <v>44</v>
      </c>
      <c r="O653" s="7" t="s">
        <v>45</v>
      </c>
      <c r="P653" s="6">
        <v>41</v>
      </c>
      <c r="Q653" s="11">
        <v>3.5</v>
      </c>
      <c r="R653" s="7" t="b">
        <v>1</v>
      </c>
      <c r="S653" s="7" t="s">
        <v>30</v>
      </c>
      <c r="T653" s="6">
        <v>1506</v>
      </c>
      <c r="U653" s="7" t="s">
        <v>58</v>
      </c>
      <c r="V653" s="12" t="s">
        <v>32</v>
      </c>
      <c r="W653" s="7" t="s">
        <v>40</v>
      </c>
      <c r="X653" s="6">
        <f t="shared" si="43"/>
        <v>408</v>
      </c>
      <c r="Y653" t="str" cm="1">
        <f t="array" ref="Y653">_xlfn.IFS(E653=7.99,"BASIC",E653=11.99,"STANDARD",E653=15.99,"PREMIUM")</f>
        <v>BASIC</v>
      </c>
      <c r="Z653" s="4">
        <f t="shared" si="41"/>
        <v>0.44607843137254904</v>
      </c>
      <c r="AA653" s="3" t="str" cm="1">
        <f t="array" ref="AA653">_xlfn.IFS(
(F653/(X653/7)) &lt; 5, "Casual",
AND((F653/(X653/7)) &gt;= 5, (F653/(X653/7)) &lt; 15), "Regular",
(F653/(X653/7)) &gt;= 15, "Power"
)</f>
        <v>Casual</v>
      </c>
      <c r="AB653" s="3">
        <f t="shared" si="44"/>
        <v>4.6263345195729534E-2</v>
      </c>
      <c r="AC653" t="str">
        <f t="shared" si="42"/>
        <v xml:space="preserve"> Browsers</v>
      </c>
    </row>
    <row r="654" spans="1:30" x14ac:dyDescent="0.3">
      <c r="A654" s="6">
        <v>9866</v>
      </c>
      <c r="B654" s="7" t="s">
        <v>138</v>
      </c>
      <c r="C654" s="10">
        <v>45485</v>
      </c>
      <c r="D654" s="10">
        <v>45643</v>
      </c>
      <c r="E654" s="13">
        <v>11.99</v>
      </c>
      <c r="F654" s="6">
        <v>208</v>
      </c>
      <c r="G654" s="7" t="s">
        <v>36</v>
      </c>
      <c r="H654" s="6">
        <v>1</v>
      </c>
      <c r="I654" s="6">
        <v>1</v>
      </c>
      <c r="J654" s="7" t="b">
        <v>0</v>
      </c>
      <c r="K654" s="6">
        <v>466</v>
      </c>
      <c r="L654" s="6">
        <v>174</v>
      </c>
      <c r="M654" s="7" t="s">
        <v>27</v>
      </c>
      <c r="N654" s="7" t="s">
        <v>56</v>
      </c>
      <c r="O654" s="7" t="s">
        <v>64</v>
      </c>
      <c r="P654" s="6">
        <v>51</v>
      </c>
      <c r="Q654" s="11">
        <v>4</v>
      </c>
      <c r="R654" s="7" t="b">
        <v>1</v>
      </c>
      <c r="S654" s="7" t="s">
        <v>30</v>
      </c>
      <c r="T654" s="6">
        <v>3817</v>
      </c>
      <c r="U654" s="7" t="s">
        <v>31</v>
      </c>
      <c r="V654" s="12" t="s">
        <v>32</v>
      </c>
      <c r="W654" s="7" t="s">
        <v>40</v>
      </c>
      <c r="X654" s="6">
        <f t="shared" si="43"/>
        <v>158</v>
      </c>
      <c r="Y654" t="str" cm="1">
        <f t="array" ref="Y654">_xlfn.IFS(E654=7.99,"BASIC",E654=11.99,"STANDARD",E654=15.99,"PREMIUM")</f>
        <v>STANDARD</v>
      </c>
      <c r="Z654" s="4">
        <f t="shared" si="41"/>
        <v>9.2151898734177209</v>
      </c>
      <c r="AA654" s="3" t="str" cm="1">
        <f t="array" ref="AA654">_xlfn.IFS(
(F654/(X654/7)) &lt; 5, "Casual",
AND((F654/(X654/7)) &gt;= 5, (F654/(X654/7)) &lt; 15), "Regular",
(F654/(X654/7)) &gt;= 15, "Power"
)</f>
        <v>Regular</v>
      </c>
      <c r="AB654" s="3">
        <f t="shared" si="44"/>
        <v>0.32500000000000001</v>
      </c>
      <c r="AC654" t="str">
        <f t="shared" si="42"/>
        <v>Viewers</v>
      </c>
    </row>
    <row r="655" spans="1:30" x14ac:dyDescent="0.3">
      <c r="A655" s="6">
        <v>6389</v>
      </c>
      <c r="B655" s="7" t="s">
        <v>541</v>
      </c>
      <c r="C655" s="10">
        <v>44918</v>
      </c>
      <c r="D655" s="10">
        <v>45644</v>
      </c>
      <c r="E655" s="13">
        <v>11.99</v>
      </c>
      <c r="F655" s="6">
        <v>109</v>
      </c>
      <c r="G655" s="7" t="s">
        <v>51</v>
      </c>
      <c r="H655" s="6">
        <v>2</v>
      </c>
      <c r="I655" s="6">
        <v>3</v>
      </c>
      <c r="J655" s="7" t="b">
        <v>0</v>
      </c>
      <c r="K655" s="6">
        <v>701</v>
      </c>
      <c r="L655" s="6">
        <v>4</v>
      </c>
      <c r="M655" s="7" t="s">
        <v>43</v>
      </c>
      <c r="N655" s="7" t="s">
        <v>28</v>
      </c>
      <c r="O655" s="7" t="s">
        <v>29</v>
      </c>
      <c r="P655" s="6">
        <v>64</v>
      </c>
      <c r="Q655" s="11">
        <v>3.5</v>
      </c>
      <c r="R655" s="7" t="b">
        <v>0</v>
      </c>
      <c r="S655" s="7" t="s">
        <v>30</v>
      </c>
      <c r="T655" s="6">
        <v>4662</v>
      </c>
      <c r="U655" s="7" t="s">
        <v>65</v>
      </c>
      <c r="V655" s="12" t="s">
        <v>32</v>
      </c>
      <c r="W655" s="7" t="s">
        <v>93</v>
      </c>
      <c r="X655" s="6">
        <f t="shared" si="43"/>
        <v>726</v>
      </c>
      <c r="Y655" t="str" cm="1">
        <f t="array" ref="Y655">_xlfn.IFS(E655=7.99,"BASIC",E655=11.99,"STANDARD",E655=15.99,"PREMIUM")</f>
        <v>STANDARD</v>
      </c>
      <c r="Z655" s="4">
        <f t="shared" si="41"/>
        <v>1.0509641873278237</v>
      </c>
      <c r="AA655" s="3" t="str" cm="1">
        <f t="array" ref="AA655">_xlfn.IFS(
(F655/(X655/7)) &lt; 5, "Casual",
AND((F655/(X655/7)) &gt;= 5, (F655/(X655/7)) &lt; 15), "Regular",
(F655/(X655/7)) &gt;= 15, "Power"
)</f>
        <v>Casual</v>
      </c>
      <c r="AB655" s="3">
        <f t="shared" si="44"/>
        <v>0.15460992907801419</v>
      </c>
      <c r="AC655" t="str">
        <f t="shared" si="42"/>
        <v>Viewers</v>
      </c>
    </row>
    <row r="656" spans="1:30" x14ac:dyDescent="0.3">
      <c r="A656" s="6">
        <v>8733</v>
      </c>
      <c r="B656" s="7" t="s">
        <v>294</v>
      </c>
      <c r="C656" s="10">
        <v>45449</v>
      </c>
      <c r="D656" s="10">
        <v>45642</v>
      </c>
      <c r="E656" s="13">
        <v>15.99</v>
      </c>
      <c r="F656" s="6">
        <v>451</v>
      </c>
      <c r="G656" s="7" t="s">
        <v>63</v>
      </c>
      <c r="H656" s="6">
        <v>4</v>
      </c>
      <c r="I656" s="6">
        <v>4</v>
      </c>
      <c r="J656" s="7" t="b">
        <v>1</v>
      </c>
      <c r="K656" s="6">
        <v>742</v>
      </c>
      <c r="L656" s="6">
        <v>140</v>
      </c>
      <c r="M656" s="7" t="s">
        <v>68</v>
      </c>
      <c r="N656" s="7" t="s">
        <v>44</v>
      </c>
      <c r="O656" s="7" t="s">
        <v>64</v>
      </c>
      <c r="P656" s="6">
        <v>37</v>
      </c>
      <c r="Q656" s="11">
        <v>4.0999999999999996</v>
      </c>
      <c r="R656" s="7" t="b">
        <v>1</v>
      </c>
      <c r="S656" s="7" t="s">
        <v>30</v>
      </c>
      <c r="T656" s="6">
        <v>3708</v>
      </c>
      <c r="U656" s="7" t="s">
        <v>58</v>
      </c>
      <c r="V656" s="12" t="s">
        <v>32</v>
      </c>
      <c r="W656" s="7" t="s">
        <v>93</v>
      </c>
      <c r="X656" s="6">
        <f t="shared" si="43"/>
        <v>193</v>
      </c>
      <c r="Y656" t="str" cm="1">
        <f t="array" ref="Y656">_xlfn.IFS(E656=7.99,"BASIC",E656=11.99,"STANDARD",E656=15.99,"PREMIUM")</f>
        <v>PREMIUM</v>
      </c>
      <c r="Z656" s="4">
        <f t="shared" si="41"/>
        <v>16.357512953367873</v>
      </c>
      <c r="AA656" s="3" t="str" cm="1">
        <f t="array" ref="AA656">_xlfn.IFS(
(F656/(X656/7)) &lt; 5, "Casual",
AND((F656/(X656/7)) &gt;= 5, (F656/(X656/7)) &lt; 15), "Regular",
(F656/(X656/7)) &gt;= 15, "Power"
)</f>
        <v>Power</v>
      </c>
      <c r="AB656" s="3">
        <f t="shared" si="44"/>
        <v>0.5113378684807256</v>
      </c>
      <c r="AC656" t="str">
        <f t="shared" si="42"/>
        <v>Viewers</v>
      </c>
    </row>
    <row r="657" spans="1:30" x14ac:dyDescent="0.3">
      <c r="A657" s="6">
        <v>8105</v>
      </c>
      <c r="B657" s="7" t="s">
        <v>52</v>
      </c>
      <c r="C657" s="10">
        <v>45192</v>
      </c>
      <c r="D657" s="10">
        <v>45622</v>
      </c>
      <c r="E657" s="13">
        <v>15.99</v>
      </c>
      <c r="F657" s="6">
        <v>33</v>
      </c>
      <c r="G657" s="7" t="s">
        <v>36</v>
      </c>
      <c r="H657" s="6">
        <v>4</v>
      </c>
      <c r="I657" s="6">
        <v>5</v>
      </c>
      <c r="J657" s="7" t="b">
        <v>1</v>
      </c>
      <c r="K657" s="6">
        <v>228</v>
      </c>
      <c r="L657" s="6">
        <v>42</v>
      </c>
      <c r="M657" s="7" t="s">
        <v>55</v>
      </c>
      <c r="N657" s="7" t="s">
        <v>56</v>
      </c>
      <c r="O657" s="7" t="s">
        <v>29</v>
      </c>
      <c r="P657" s="6">
        <v>21</v>
      </c>
      <c r="Q657" s="11">
        <v>4</v>
      </c>
      <c r="R657" s="7" t="b">
        <v>1</v>
      </c>
      <c r="S657" s="7" t="s">
        <v>30</v>
      </c>
      <c r="T657" s="6">
        <v>1256</v>
      </c>
      <c r="U657" s="7" t="s">
        <v>31</v>
      </c>
      <c r="V657" s="12" t="s">
        <v>32</v>
      </c>
      <c r="W657" s="7" t="s">
        <v>33</v>
      </c>
      <c r="X657" s="6">
        <f t="shared" si="43"/>
        <v>430</v>
      </c>
      <c r="Y657" t="str" cm="1">
        <f t="array" ref="Y657">_xlfn.IFS(E657=7.99,"BASIC",E657=11.99,"STANDARD",E657=15.99,"PREMIUM")</f>
        <v>PREMIUM</v>
      </c>
      <c r="Z657" s="4">
        <f t="shared" si="41"/>
        <v>0.53720930232558139</v>
      </c>
      <c r="AA657" s="3" t="str" cm="1">
        <f t="array" ref="AA657">_xlfn.IFS(
(F657/(X657/7)) &lt; 5, "Casual",
AND((F657/(X657/7)) &gt;= 5, (F657/(X657/7)) &lt; 15), "Regular",
(F657/(X657/7)) &gt;= 15, "Power"
)</f>
        <v>Casual</v>
      </c>
      <c r="AB657" s="3">
        <f t="shared" si="44"/>
        <v>0.12222222222222222</v>
      </c>
      <c r="AC657" t="str">
        <f t="shared" si="42"/>
        <v xml:space="preserve"> Browsers</v>
      </c>
    </row>
    <row r="658" spans="1:30" x14ac:dyDescent="0.3">
      <c r="A658" s="6">
        <v>3443</v>
      </c>
      <c r="B658" s="7" t="s">
        <v>190</v>
      </c>
      <c r="C658" s="10">
        <v>45352</v>
      </c>
      <c r="D658" s="10">
        <v>45631</v>
      </c>
      <c r="E658" s="13">
        <v>15.99</v>
      </c>
      <c r="F658" s="6">
        <v>467</v>
      </c>
      <c r="G658" s="7" t="s">
        <v>51</v>
      </c>
      <c r="H658" s="6">
        <v>4</v>
      </c>
      <c r="I658" s="6">
        <v>2</v>
      </c>
      <c r="J658" s="7" t="b">
        <v>0</v>
      </c>
      <c r="K658" s="6">
        <v>18</v>
      </c>
      <c r="L658" s="6">
        <v>34</v>
      </c>
      <c r="M658" s="7" t="s">
        <v>68</v>
      </c>
      <c r="N658" s="7" t="s">
        <v>75</v>
      </c>
      <c r="O658" s="7" t="s">
        <v>78</v>
      </c>
      <c r="P658" s="6">
        <v>100</v>
      </c>
      <c r="Q658" s="11">
        <v>4.0999999999999996</v>
      </c>
      <c r="R658" s="7" t="b">
        <v>1</v>
      </c>
      <c r="S658" s="7" t="s">
        <v>30</v>
      </c>
      <c r="T658" s="6">
        <v>1792</v>
      </c>
      <c r="U658" s="7" t="s">
        <v>31</v>
      </c>
      <c r="V658" s="12" t="s">
        <v>59</v>
      </c>
      <c r="W658" s="7" t="s">
        <v>93</v>
      </c>
      <c r="X658" s="6">
        <f t="shared" si="43"/>
        <v>279</v>
      </c>
      <c r="Y658" t="str" cm="1">
        <f t="array" ref="Y658">_xlfn.IFS(E658=7.99,"BASIC",E658=11.99,"STANDARD",E658=15.99,"PREMIUM")</f>
        <v>PREMIUM</v>
      </c>
      <c r="Z658" s="4">
        <f t="shared" si="41"/>
        <v>11.716845878136201</v>
      </c>
      <c r="AA658" s="3" t="str" cm="1">
        <f t="array" ref="AA658">_xlfn.IFS(
(F658/(X658/7)) &lt; 5, "Casual",
AND((F658/(X658/7)) &gt;= 5, (F658/(X658/7)) &lt; 15), "Regular",
(F658/(X658/7)) &gt;= 15, "Power"
)</f>
        <v>Regular</v>
      </c>
      <c r="AB658" s="3">
        <f t="shared" si="44"/>
        <v>8.9807692307692299</v>
      </c>
      <c r="AC658" t="str">
        <f t="shared" si="42"/>
        <v>Viewers</v>
      </c>
    </row>
    <row r="659" spans="1:30" x14ac:dyDescent="0.3">
      <c r="A659" s="6">
        <v>2664</v>
      </c>
      <c r="B659" s="7" t="s">
        <v>98</v>
      </c>
      <c r="C659" s="10">
        <v>45214</v>
      </c>
      <c r="D659" s="10">
        <v>45623</v>
      </c>
      <c r="E659" s="13">
        <v>7.99</v>
      </c>
      <c r="F659" s="6">
        <v>123</v>
      </c>
      <c r="G659" s="7" t="s">
        <v>73</v>
      </c>
      <c r="H659" s="6">
        <v>2</v>
      </c>
      <c r="I659" s="6">
        <v>3</v>
      </c>
      <c r="J659" s="7" t="b">
        <v>1</v>
      </c>
      <c r="K659" s="6">
        <v>826</v>
      </c>
      <c r="L659" s="6">
        <v>79</v>
      </c>
      <c r="M659" s="7" t="s">
        <v>74</v>
      </c>
      <c r="N659" s="7" t="s">
        <v>56</v>
      </c>
      <c r="O659" s="7" t="s">
        <v>37</v>
      </c>
      <c r="P659" s="6">
        <v>34</v>
      </c>
      <c r="Q659" s="11">
        <v>3.5</v>
      </c>
      <c r="R659" s="7" t="b">
        <v>0</v>
      </c>
      <c r="S659" s="7" t="s">
        <v>30</v>
      </c>
      <c r="T659" s="6">
        <v>402</v>
      </c>
      <c r="U659" s="7" t="s">
        <v>38</v>
      </c>
      <c r="V659" s="12" t="s">
        <v>59</v>
      </c>
      <c r="W659" s="7" t="s">
        <v>40</v>
      </c>
      <c r="X659" s="6">
        <f t="shared" si="43"/>
        <v>409</v>
      </c>
      <c r="Y659" t="str" cm="1">
        <f t="array" ref="Y659">_xlfn.IFS(E659=7.99,"BASIC",E659=11.99,"STANDARD",E659=15.99,"PREMIUM")</f>
        <v>BASIC</v>
      </c>
      <c r="Z659" s="4">
        <f t="shared" si="41"/>
        <v>2.1051344743276283</v>
      </c>
      <c r="AA659" s="3" t="str" cm="1">
        <f t="array" ref="AA659">_xlfn.IFS(
(F659/(X659/7)) &lt; 5, "Casual",
AND((F659/(X659/7)) &gt;= 5, (F659/(X659/7)) &lt; 15), "Regular",
(F659/(X659/7)) &gt;= 15, "Power"
)</f>
        <v>Casual</v>
      </c>
      <c r="AB659" s="3">
        <f t="shared" si="44"/>
        <v>0.13591160220994475</v>
      </c>
      <c r="AC659" t="str">
        <f t="shared" si="42"/>
        <v xml:space="preserve"> Browsers</v>
      </c>
    </row>
    <row r="660" spans="1:30" x14ac:dyDescent="0.3">
      <c r="A660" s="6">
        <v>1782</v>
      </c>
      <c r="B660" s="7" t="s">
        <v>617</v>
      </c>
      <c r="C660" s="10">
        <v>45047</v>
      </c>
      <c r="D660" s="10">
        <v>45625</v>
      </c>
      <c r="E660" s="13">
        <v>15.99</v>
      </c>
      <c r="F660" s="6">
        <v>139</v>
      </c>
      <c r="G660" s="7" t="s">
        <v>100</v>
      </c>
      <c r="H660" s="6">
        <v>1</v>
      </c>
      <c r="I660" s="6">
        <v>4</v>
      </c>
      <c r="J660" s="7" t="b">
        <v>1</v>
      </c>
      <c r="K660" s="6">
        <v>357</v>
      </c>
      <c r="L660" s="6">
        <v>44</v>
      </c>
      <c r="M660" s="7" t="s">
        <v>55</v>
      </c>
      <c r="N660" s="7" t="s">
        <v>44</v>
      </c>
      <c r="O660" s="7" t="s">
        <v>57</v>
      </c>
      <c r="P660" s="6">
        <v>67</v>
      </c>
      <c r="Q660" s="11">
        <v>4.0999999999999996</v>
      </c>
      <c r="R660" s="7" t="b">
        <v>0</v>
      </c>
      <c r="S660" s="7" t="s">
        <v>30</v>
      </c>
      <c r="T660" s="6">
        <v>1271</v>
      </c>
      <c r="U660" s="7" t="s">
        <v>38</v>
      </c>
      <c r="V660" s="12" t="s">
        <v>69</v>
      </c>
      <c r="W660" s="7" t="s">
        <v>40</v>
      </c>
      <c r="X660" s="6">
        <f t="shared" si="43"/>
        <v>578</v>
      </c>
      <c r="Y660" t="str" cm="1">
        <f t="array" ref="Y660">_xlfn.IFS(E660=7.99,"BASIC",E660=11.99,"STANDARD",E660=15.99,"PREMIUM")</f>
        <v>PREMIUM</v>
      </c>
      <c r="Z660" s="4">
        <f t="shared" si="41"/>
        <v>1.6833910034602078</v>
      </c>
      <c r="AA660" s="3" t="str" cm="1">
        <f t="array" ref="AA660">_xlfn.IFS(
(F660/(X660/7)) &lt; 5, "Casual",
AND((F660/(X660/7)) &gt;= 5, (F660/(X660/7)) &lt; 15), "Regular",
(F660/(X660/7)) &gt;= 15, "Power"
)</f>
        <v>Casual</v>
      </c>
      <c r="AB660" s="3">
        <f t="shared" si="44"/>
        <v>0.34663341645885287</v>
      </c>
      <c r="AC660" t="str">
        <f t="shared" si="42"/>
        <v>Viewers</v>
      </c>
    </row>
    <row r="661" spans="1:30" x14ac:dyDescent="0.3">
      <c r="A661" s="6">
        <v>1337</v>
      </c>
      <c r="B661" s="7" t="s">
        <v>618</v>
      </c>
      <c r="C661" s="10">
        <v>45036</v>
      </c>
      <c r="D661" s="10">
        <v>45642</v>
      </c>
      <c r="E661" s="13">
        <v>7.99</v>
      </c>
      <c r="F661" s="6">
        <v>103</v>
      </c>
      <c r="G661" s="7" t="s">
        <v>100</v>
      </c>
      <c r="H661" s="6">
        <v>2</v>
      </c>
      <c r="I661" s="6">
        <v>1</v>
      </c>
      <c r="J661" s="7" t="b">
        <v>0</v>
      </c>
      <c r="K661" s="6">
        <v>474</v>
      </c>
      <c r="L661" s="6">
        <v>2</v>
      </c>
      <c r="M661" s="7" t="s">
        <v>74</v>
      </c>
      <c r="N661" s="7" t="s">
        <v>28</v>
      </c>
      <c r="O661" s="7" t="s">
        <v>37</v>
      </c>
      <c r="P661" s="6">
        <v>31</v>
      </c>
      <c r="Q661" s="11">
        <v>3.5</v>
      </c>
      <c r="R661" s="7" t="b">
        <v>0</v>
      </c>
      <c r="S661" s="7" t="s">
        <v>30</v>
      </c>
      <c r="T661" s="6">
        <v>4537</v>
      </c>
      <c r="U661" s="7" t="s">
        <v>58</v>
      </c>
      <c r="V661" s="12" t="s">
        <v>59</v>
      </c>
      <c r="W661" s="7" t="s">
        <v>93</v>
      </c>
      <c r="X661" s="6">
        <f t="shared" si="43"/>
        <v>606</v>
      </c>
      <c r="Y661" t="str" cm="1">
        <f t="array" ref="Y661">_xlfn.IFS(E661=7.99,"BASIC",E661=11.99,"STANDARD",E661=15.99,"PREMIUM")</f>
        <v>BASIC</v>
      </c>
      <c r="Z661" s="4">
        <f t="shared" si="41"/>
        <v>1.1897689768976898</v>
      </c>
      <c r="AA661" s="3" t="str" cm="1">
        <f t="array" ref="AA661">_xlfn.IFS(
(F661/(X661/7)) &lt; 5, "Casual",
AND((F661/(X661/7)) &gt;= 5, (F661/(X661/7)) &lt; 15), "Regular",
(F661/(X661/7)) &gt;= 15, "Power"
)</f>
        <v>Casual</v>
      </c>
      <c r="AB661" s="3">
        <f t="shared" si="44"/>
        <v>0.21638655462184875</v>
      </c>
      <c r="AC661" t="str">
        <f t="shared" si="42"/>
        <v>Viewers</v>
      </c>
    </row>
    <row r="662" spans="1:30" x14ac:dyDescent="0.3">
      <c r="A662" s="6">
        <v>5901</v>
      </c>
      <c r="B662" s="7" t="s">
        <v>41</v>
      </c>
      <c r="C662" s="10">
        <v>45022</v>
      </c>
      <c r="D662" s="10">
        <v>45644</v>
      </c>
      <c r="E662" s="13">
        <v>7.99</v>
      </c>
      <c r="F662" s="6">
        <v>207</v>
      </c>
      <c r="G662" s="7" t="s">
        <v>63</v>
      </c>
      <c r="H662" s="6">
        <v>5</v>
      </c>
      <c r="I662" s="6">
        <v>5</v>
      </c>
      <c r="J662" s="7" t="b">
        <v>1</v>
      </c>
      <c r="K662" s="6">
        <v>946</v>
      </c>
      <c r="L662" s="6">
        <v>166</v>
      </c>
      <c r="M662" s="7" t="s">
        <v>92</v>
      </c>
      <c r="N662" s="7" t="s">
        <v>75</v>
      </c>
      <c r="O662" s="7" t="s">
        <v>29</v>
      </c>
      <c r="P662" s="6">
        <v>96</v>
      </c>
      <c r="Q662" s="11">
        <v>4.5999999999999996</v>
      </c>
      <c r="R662" s="7" t="b">
        <v>0</v>
      </c>
      <c r="S662" s="7" t="s">
        <v>30</v>
      </c>
      <c r="T662" s="6">
        <v>4815</v>
      </c>
      <c r="U662" s="7" t="s">
        <v>76</v>
      </c>
      <c r="V662" s="12" t="s">
        <v>79</v>
      </c>
      <c r="W662" s="7" t="s">
        <v>40</v>
      </c>
      <c r="X662" s="6">
        <f t="shared" si="43"/>
        <v>622</v>
      </c>
      <c r="Y662" t="str" cm="1">
        <f t="array" ref="Y662">_xlfn.IFS(E662=7.99,"BASIC",E662=11.99,"STANDARD",E662=15.99,"PREMIUM")</f>
        <v>BASIC</v>
      </c>
      <c r="Z662" s="4">
        <f t="shared" si="41"/>
        <v>2.3295819935691315</v>
      </c>
      <c r="AA662" s="3" t="str" cm="1">
        <f t="array" ref="AA662">_xlfn.IFS(
(F662/(X662/7)) &lt; 5, "Casual",
AND((F662/(X662/7)) &gt;= 5, (F662/(X662/7)) &lt; 15), "Regular",
(F662/(X662/7)) &gt;= 15, "Power"
)</f>
        <v>Casual</v>
      </c>
      <c r="AB662" s="3">
        <f t="shared" si="44"/>
        <v>0.18615107913669066</v>
      </c>
      <c r="AC662" t="str">
        <f t="shared" si="42"/>
        <v>Viewers</v>
      </c>
    </row>
    <row r="663" spans="1:30" x14ac:dyDescent="0.3">
      <c r="A663" s="6">
        <v>2731</v>
      </c>
      <c r="B663" s="7" t="s">
        <v>619</v>
      </c>
      <c r="C663" s="10">
        <v>45454</v>
      </c>
      <c r="D663" s="10">
        <v>45639</v>
      </c>
      <c r="E663" s="13">
        <v>15.99</v>
      </c>
      <c r="F663" s="6">
        <v>267</v>
      </c>
      <c r="G663" s="7" t="s">
        <v>100</v>
      </c>
      <c r="H663" s="6">
        <v>5</v>
      </c>
      <c r="I663" s="6">
        <v>5</v>
      </c>
      <c r="J663" s="7" t="b">
        <v>1</v>
      </c>
      <c r="K663" s="6">
        <v>890</v>
      </c>
      <c r="L663" s="6">
        <v>187</v>
      </c>
      <c r="M663" s="7" t="s">
        <v>49</v>
      </c>
      <c r="N663" s="7" t="s">
        <v>28</v>
      </c>
      <c r="O663" s="7" t="s">
        <v>78</v>
      </c>
      <c r="P663" s="6">
        <v>98</v>
      </c>
      <c r="Q663" s="11">
        <v>3</v>
      </c>
      <c r="R663" s="7" t="b">
        <v>1</v>
      </c>
      <c r="S663" s="7" t="s">
        <v>30</v>
      </c>
      <c r="T663" s="6">
        <v>3510</v>
      </c>
      <c r="U663" s="7" t="s">
        <v>65</v>
      </c>
      <c r="V663" s="12" t="s">
        <v>69</v>
      </c>
      <c r="W663" s="7" t="s">
        <v>60</v>
      </c>
      <c r="X663" s="6">
        <f t="shared" si="43"/>
        <v>185</v>
      </c>
      <c r="Y663" t="str" cm="1">
        <f t="array" ref="Y663">_xlfn.IFS(E663=7.99,"BASIC",E663=11.99,"STANDARD",E663=15.99,"PREMIUM")</f>
        <v>PREMIUM</v>
      </c>
      <c r="Z663" s="4">
        <f t="shared" si="41"/>
        <v>10.102702702702704</v>
      </c>
      <c r="AA663" s="3" t="str" cm="1">
        <f t="array" ref="AA663">_xlfn.IFS(
(F663/(X663/7)) &lt; 5, "Casual",
AND((F663/(X663/7)) &gt;= 5, (F663/(X663/7)) &lt; 15), "Regular",
(F663/(X663/7)) &gt;= 15, "Power"
)</f>
        <v>Regular</v>
      </c>
      <c r="AB663" s="3">
        <f t="shared" si="44"/>
        <v>0.24791086350974931</v>
      </c>
      <c r="AC663" t="str">
        <f t="shared" si="42"/>
        <v>Viewers</v>
      </c>
    </row>
    <row r="664" spans="1:30" x14ac:dyDescent="0.3">
      <c r="A664" s="6">
        <v>8307</v>
      </c>
      <c r="B664" s="7" t="s">
        <v>245</v>
      </c>
      <c r="C664" s="10">
        <v>45295</v>
      </c>
      <c r="D664" s="10">
        <v>45632</v>
      </c>
      <c r="E664" s="13">
        <v>7.99</v>
      </c>
      <c r="F664" s="6">
        <v>266</v>
      </c>
      <c r="G664" s="7" t="s">
        <v>63</v>
      </c>
      <c r="H664" s="6">
        <v>5</v>
      </c>
      <c r="I664" s="6">
        <v>3</v>
      </c>
      <c r="J664" s="7" t="b">
        <v>1</v>
      </c>
      <c r="K664" s="6">
        <v>583</v>
      </c>
      <c r="L664" s="6">
        <v>131</v>
      </c>
      <c r="M664" s="7" t="s">
        <v>43</v>
      </c>
      <c r="N664" s="7" t="s">
        <v>44</v>
      </c>
      <c r="O664" s="7" t="s">
        <v>45</v>
      </c>
      <c r="P664" s="6">
        <v>0</v>
      </c>
      <c r="Q664" s="11">
        <v>4</v>
      </c>
      <c r="R664" s="7" t="b">
        <v>0</v>
      </c>
      <c r="S664" s="7" t="s">
        <v>30</v>
      </c>
      <c r="T664" s="6">
        <v>4789</v>
      </c>
      <c r="U664" s="7" t="s">
        <v>76</v>
      </c>
      <c r="V664" s="12" t="s">
        <v>32</v>
      </c>
      <c r="W664" s="7" t="s">
        <v>60</v>
      </c>
      <c r="X664" s="6">
        <f t="shared" si="43"/>
        <v>337</v>
      </c>
      <c r="Y664" t="str" cm="1">
        <f t="array" ref="Y664">_xlfn.IFS(E664=7.99,"BASIC",E664=11.99,"STANDARD",E664=15.99,"PREMIUM")</f>
        <v>BASIC</v>
      </c>
      <c r="Z664" s="4">
        <f t="shared" si="41"/>
        <v>5.525222551928783</v>
      </c>
      <c r="AA664" s="3" t="str" cm="1">
        <f t="array" ref="AA664">_xlfn.IFS(
(F664/(X664/7)) &lt; 5, "Casual",
AND((F664/(X664/7)) &gt;= 5, (F664/(X664/7)) &lt; 15), "Regular",
(F664/(X664/7)) &gt;= 15, "Power"
)</f>
        <v>Regular</v>
      </c>
      <c r="AB664" s="3">
        <f t="shared" si="44"/>
        <v>0.37254901960784315</v>
      </c>
      <c r="AC664" t="str">
        <f t="shared" si="42"/>
        <v>Viewers</v>
      </c>
    </row>
    <row r="665" spans="1:30" x14ac:dyDescent="0.3">
      <c r="A665" s="6">
        <v>8019</v>
      </c>
      <c r="B665" s="7" t="s">
        <v>620</v>
      </c>
      <c r="C665" s="10">
        <v>44976</v>
      </c>
      <c r="D665" s="10">
        <v>45615</v>
      </c>
      <c r="E665" s="13">
        <v>11.99</v>
      </c>
      <c r="F665" s="6">
        <v>240</v>
      </c>
      <c r="G665" s="7" t="s">
        <v>73</v>
      </c>
      <c r="H665" s="6">
        <v>4</v>
      </c>
      <c r="I665" s="6">
        <v>1</v>
      </c>
      <c r="J665" s="7" t="b">
        <v>0</v>
      </c>
      <c r="K665" s="6">
        <v>304</v>
      </c>
      <c r="L665" s="6">
        <v>25</v>
      </c>
      <c r="M665" s="7" t="s">
        <v>43</v>
      </c>
      <c r="N665" s="7" t="s">
        <v>28</v>
      </c>
      <c r="O665" s="7" t="s">
        <v>37</v>
      </c>
      <c r="P665" s="6">
        <v>66</v>
      </c>
      <c r="Q665" s="11">
        <v>4.5999999999999996</v>
      </c>
      <c r="R665" s="7" t="b">
        <v>0</v>
      </c>
      <c r="S665" s="7" t="s">
        <v>30</v>
      </c>
      <c r="T665" s="6">
        <v>863</v>
      </c>
      <c r="U665" s="7" t="s">
        <v>58</v>
      </c>
      <c r="V665" s="12" t="s">
        <v>59</v>
      </c>
      <c r="W665" s="7" t="s">
        <v>40</v>
      </c>
      <c r="X665" s="6">
        <f t="shared" si="43"/>
        <v>639</v>
      </c>
      <c r="Y665" t="str" cm="1">
        <f t="array" ref="Y665">_xlfn.IFS(E665=7.99,"BASIC",E665=11.99,"STANDARD",E665=15.99,"PREMIUM")</f>
        <v>STANDARD</v>
      </c>
      <c r="Z665" s="4">
        <f t="shared" si="41"/>
        <v>2.629107981220657</v>
      </c>
      <c r="AA665" s="3" t="str" cm="1">
        <f t="array" ref="AA665">_xlfn.IFS(
(F665/(X665/7)) &lt; 5, "Casual",
AND((F665/(X665/7)) &gt;= 5, (F665/(X665/7)) &lt; 15), "Regular",
(F665/(X665/7)) &gt;= 15, "Power"
)</f>
        <v>Casual</v>
      </c>
      <c r="AB665" s="3">
        <f t="shared" si="44"/>
        <v>0.72948328267477203</v>
      </c>
      <c r="AC665" t="str">
        <f t="shared" si="42"/>
        <v>Viewers</v>
      </c>
    </row>
    <row r="666" spans="1:30" x14ac:dyDescent="0.3">
      <c r="A666" s="6">
        <v>4847</v>
      </c>
      <c r="B666" s="7" t="s">
        <v>238</v>
      </c>
      <c r="C666" s="10">
        <f>_xlfn.XLOOKUP(A666,'Data Anomalies -Pls Read It'!A:A,'Data Anomalies -Pls Read It'!D:D,1,0)</f>
        <v>45626</v>
      </c>
      <c r="D666" s="10">
        <f>_xlfn.XLOOKUP(A666,'Data Anomalies -Pls Read It'!A:A,'Data Anomalies -Pls Read It'!C:C,1,0)</f>
        <v>45627</v>
      </c>
      <c r="E666" s="13">
        <v>15.99</v>
      </c>
      <c r="F666" s="6">
        <v>315</v>
      </c>
      <c r="G666" s="7" t="s">
        <v>63</v>
      </c>
      <c r="H666" s="6">
        <v>1</v>
      </c>
      <c r="I666" s="6">
        <v>6</v>
      </c>
      <c r="J666" s="7" t="b">
        <v>0</v>
      </c>
      <c r="K666" s="6">
        <v>205</v>
      </c>
      <c r="L666" s="6">
        <v>92</v>
      </c>
      <c r="M666" s="7" t="s">
        <v>55</v>
      </c>
      <c r="N666" s="7" t="s">
        <v>28</v>
      </c>
      <c r="O666" s="7" t="s">
        <v>64</v>
      </c>
      <c r="P666" s="6">
        <v>67</v>
      </c>
      <c r="Q666" s="11">
        <v>3.5</v>
      </c>
      <c r="R666" s="7" t="b">
        <v>0</v>
      </c>
      <c r="S666" s="7" t="s">
        <v>30</v>
      </c>
      <c r="T666" s="6">
        <v>1584</v>
      </c>
      <c r="U666" s="7" t="s">
        <v>76</v>
      </c>
      <c r="V666" s="12" t="s">
        <v>79</v>
      </c>
      <c r="W666" s="7" t="s">
        <v>33</v>
      </c>
      <c r="X666" s="6">
        <f t="shared" si="43"/>
        <v>1</v>
      </c>
      <c r="Y666" t="str" cm="1">
        <f t="array" ref="Y666">_xlfn.IFS(E666=7.99,"BASIC",E666=11.99,"STANDARD",E666=15.99,"PREMIUM")</f>
        <v>PREMIUM</v>
      </c>
      <c r="Z666" s="4">
        <f t="shared" si="41"/>
        <v>2205</v>
      </c>
      <c r="AA666" s="3" t="str" cm="1">
        <f t="array" ref="AA666">_xlfn.IFS(
(F666/(X666/7)) &lt; 5, "Casual",
AND((F666/(X666/7)) &gt;= 5, (F666/(X666/7)) &lt; 15), "Regular",
(F666/(X666/7)) &gt;= 15, "Power"
)</f>
        <v>Power</v>
      </c>
      <c r="AB666" s="3">
        <f t="shared" si="44"/>
        <v>1.0606060606060606</v>
      </c>
      <c r="AC666" t="str">
        <f t="shared" si="42"/>
        <v>Viewers</v>
      </c>
      <c r="AD666" t="s">
        <v>779</v>
      </c>
    </row>
    <row r="667" spans="1:30" x14ac:dyDescent="0.3">
      <c r="A667" s="6">
        <v>9822</v>
      </c>
      <c r="B667" s="7" t="s">
        <v>212</v>
      </c>
      <c r="C667" s="10">
        <v>45100</v>
      </c>
      <c r="D667" s="10">
        <v>45639</v>
      </c>
      <c r="E667" s="13">
        <v>7.99</v>
      </c>
      <c r="F667" s="6">
        <v>276</v>
      </c>
      <c r="G667" s="7" t="s">
        <v>73</v>
      </c>
      <c r="H667" s="6">
        <v>4</v>
      </c>
      <c r="I667" s="6">
        <v>1</v>
      </c>
      <c r="J667" s="7" t="b">
        <v>1</v>
      </c>
      <c r="K667" s="6">
        <v>348</v>
      </c>
      <c r="L667" s="6">
        <v>13</v>
      </c>
      <c r="M667" s="7" t="s">
        <v>55</v>
      </c>
      <c r="N667" s="7" t="s">
        <v>75</v>
      </c>
      <c r="O667" s="7" t="s">
        <v>37</v>
      </c>
      <c r="P667" s="6">
        <v>34</v>
      </c>
      <c r="Q667" s="11">
        <v>4.7</v>
      </c>
      <c r="R667" s="7" t="b">
        <v>0</v>
      </c>
      <c r="S667" s="7" t="s">
        <v>30</v>
      </c>
      <c r="T667" s="6">
        <v>3178</v>
      </c>
      <c r="U667" s="7" t="s">
        <v>58</v>
      </c>
      <c r="V667" s="12" t="s">
        <v>79</v>
      </c>
      <c r="W667" s="7" t="s">
        <v>93</v>
      </c>
      <c r="X667" s="6">
        <f t="shared" si="43"/>
        <v>539</v>
      </c>
      <c r="Y667" t="str" cm="1">
        <f t="array" ref="Y667">_xlfn.IFS(E667=7.99,"BASIC",E667=11.99,"STANDARD",E667=15.99,"PREMIUM")</f>
        <v>BASIC</v>
      </c>
      <c r="Z667" s="4">
        <f t="shared" si="41"/>
        <v>3.5844155844155843</v>
      </c>
      <c r="AA667" s="3" t="str" cm="1">
        <f t="array" ref="AA667">_xlfn.IFS(
(F667/(X667/7)) &lt; 5, "Casual",
AND((F667/(X667/7)) &gt;= 5, (F667/(X667/7)) &lt; 15), "Regular",
(F667/(X667/7)) &gt;= 15, "Power"
)</f>
        <v>Casual</v>
      </c>
      <c r="AB667" s="3">
        <f t="shared" si="44"/>
        <v>0.76454293628808867</v>
      </c>
      <c r="AC667" t="str">
        <f t="shared" si="42"/>
        <v>Viewers</v>
      </c>
    </row>
    <row r="668" spans="1:30" x14ac:dyDescent="0.3">
      <c r="A668" s="6">
        <v>9141</v>
      </c>
      <c r="B668" s="7" t="s">
        <v>621</v>
      </c>
      <c r="C668" s="10">
        <v>45229</v>
      </c>
      <c r="D668" s="10">
        <v>45621</v>
      </c>
      <c r="E668" s="13">
        <v>7.99</v>
      </c>
      <c r="F668" s="6">
        <v>308</v>
      </c>
      <c r="G668" s="7" t="s">
        <v>36</v>
      </c>
      <c r="H668" s="6">
        <v>1</v>
      </c>
      <c r="I668" s="6">
        <v>5</v>
      </c>
      <c r="J668" s="7" t="b">
        <v>0</v>
      </c>
      <c r="K668" s="6">
        <v>107</v>
      </c>
      <c r="L668" s="6">
        <v>87</v>
      </c>
      <c r="M668" s="7" t="s">
        <v>43</v>
      </c>
      <c r="N668" s="7" t="s">
        <v>75</v>
      </c>
      <c r="O668" s="7" t="s">
        <v>78</v>
      </c>
      <c r="P668" s="6">
        <v>17</v>
      </c>
      <c r="Q668" s="11">
        <v>3.4</v>
      </c>
      <c r="R668" s="7" t="b">
        <v>0</v>
      </c>
      <c r="S668" s="7" t="s">
        <v>30</v>
      </c>
      <c r="T668" s="6">
        <v>4108</v>
      </c>
      <c r="U668" s="7" t="s">
        <v>38</v>
      </c>
      <c r="V668" s="12" t="s">
        <v>59</v>
      </c>
      <c r="W668" s="7" t="s">
        <v>33</v>
      </c>
      <c r="X668" s="6">
        <f t="shared" si="43"/>
        <v>392</v>
      </c>
      <c r="Y668" t="str" cm="1">
        <f t="array" ref="Y668">_xlfn.IFS(E668=7.99,"BASIC",E668=11.99,"STANDARD",E668=15.99,"PREMIUM")</f>
        <v>BASIC</v>
      </c>
      <c r="Z668" s="4">
        <f t="shared" si="41"/>
        <v>5.5</v>
      </c>
      <c r="AA668" s="3" t="str" cm="1">
        <f t="array" ref="AA668">_xlfn.IFS(
(F668/(X668/7)) &lt; 5, "Casual",
AND((F668/(X668/7)) &gt;= 5, (F668/(X668/7)) &lt; 15), "Regular",
(F668/(X668/7)) &gt;= 15, "Power"
)</f>
        <v>Regular</v>
      </c>
      <c r="AB668" s="3">
        <f t="shared" si="44"/>
        <v>1.5876288659793814</v>
      </c>
      <c r="AC668" t="str">
        <f t="shared" si="42"/>
        <v>Viewers</v>
      </c>
    </row>
    <row r="669" spans="1:30" x14ac:dyDescent="0.3">
      <c r="A669" s="6">
        <v>7539</v>
      </c>
      <c r="B669" s="7" t="s">
        <v>606</v>
      </c>
      <c r="C669" s="10">
        <v>45170</v>
      </c>
      <c r="D669" s="10">
        <v>45634</v>
      </c>
      <c r="E669" s="13">
        <v>7.99</v>
      </c>
      <c r="F669" s="6">
        <v>297</v>
      </c>
      <c r="G669" s="7" t="s">
        <v>63</v>
      </c>
      <c r="H669" s="6">
        <v>1</v>
      </c>
      <c r="I669" s="6">
        <v>6</v>
      </c>
      <c r="J669" s="7" t="b">
        <v>1</v>
      </c>
      <c r="K669" s="6">
        <v>959</v>
      </c>
      <c r="L669" s="6">
        <v>71</v>
      </c>
      <c r="M669" s="7" t="s">
        <v>74</v>
      </c>
      <c r="N669" s="7" t="s">
        <v>75</v>
      </c>
      <c r="O669" s="7" t="s">
        <v>78</v>
      </c>
      <c r="P669" s="6">
        <v>82</v>
      </c>
      <c r="Q669" s="11">
        <v>3.3</v>
      </c>
      <c r="R669" s="7" t="b">
        <v>1</v>
      </c>
      <c r="S669" s="7" t="s">
        <v>30</v>
      </c>
      <c r="T669" s="6">
        <v>2562</v>
      </c>
      <c r="U669" s="7" t="s">
        <v>76</v>
      </c>
      <c r="V669" s="12" t="s">
        <v>39</v>
      </c>
      <c r="W669" s="7" t="s">
        <v>93</v>
      </c>
      <c r="X669" s="6">
        <f t="shared" si="43"/>
        <v>464</v>
      </c>
      <c r="Y669" t="str" cm="1">
        <f t="array" ref="Y669">_xlfn.IFS(E669=7.99,"BASIC",E669=11.99,"STANDARD",E669=15.99,"PREMIUM")</f>
        <v>BASIC</v>
      </c>
      <c r="Z669" s="4">
        <f t="shared" si="41"/>
        <v>4.4806034482758621</v>
      </c>
      <c r="AA669" s="3" t="str" cm="1">
        <f t="array" ref="AA669">_xlfn.IFS(
(F669/(X669/7)) &lt; 5, "Casual",
AND((F669/(X669/7)) &gt;= 5, (F669/(X669/7)) &lt; 15), "Regular",
(F669/(X669/7)) &gt;= 15, "Power"
)</f>
        <v>Casual</v>
      </c>
      <c r="AB669" s="3">
        <f t="shared" si="44"/>
        <v>0.28834951456310681</v>
      </c>
      <c r="AC669" t="str">
        <f t="shared" si="42"/>
        <v>Viewers</v>
      </c>
    </row>
    <row r="670" spans="1:30" x14ac:dyDescent="0.3">
      <c r="A670" s="6">
        <v>1390</v>
      </c>
      <c r="B670" s="7" t="s">
        <v>623</v>
      </c>
      <c r="C670" s="10">
        <v>45501</v>
      </c>
      <c r="D670" s="10">
        <v>45625</v>
      </c>
      <c r="E670" s="13">
        <v>11.99</v>
      </c>
      <c r="F670" s="6">
        <v>326</v>
      </c>
      <c r="G670" s="7" t="s">
        <v>63</v>
      </c>
      <c r="H670" s="6">
        <v>4</v>
      </c>
      <c r="I670" s="6">
        <v>1</v>
      </c>
      <c r="J670" s="7" t="b">
        <v>0</v>
      </c>
      <c r="K670" s="6">
        <v>439</v>
      </c>
      <c r="L670" s="6">
        <v>88</v>
      </c>
      <c r="M670" s="7" t="s">
        <v>92</v>
      </c>
      <c r="N670" s="7" t="s">
        <v>44</v>
      </c>
      <c r="O670" s="7" t="s">
        <v>64</v>
      </c>
      <c r="P670" s="6">
        <v>3</v>
      </c>
      <c r="Q670" s="11">
        <v>3.3</v>
      </c>
      <c r="R670" s="7" t="b">
        <v>1</v>
      </c>
      <c r="S670" s="7" t="s">
        <v>30</v>
      </c>
      <c r="T670" s="6">
        <v>3499</v>
      </c>
      <c r="U670" s="7" t="s">
        <v>58</v>
      </c>
      <c r="V670" s="12" t="s">
        <v>39</v>
      </c>
      <c r="W670" s="7" t="s">
        <v>93</v>
      </c>
      <c r="X670" s="6">
        <f t="shared" si="43"/>
        <v>124</v>
      </c>
      <c r="Y670" t="str" cm="1">
        <f t="array" ref="Y670">_xlfn.IFS(E670=7.99,"BASIC",E670=11.99,"STANDARD",E670=15.99,"PREMIUM")</f>
        <v>STANDARD</v>
      </c>
      <c r="Z670" s="4">
        <f t="shared" si="41"/>
        <v>18.403225806451612</v>
      </c>
      <c r="AA670" s="3" t="str" cm="1">
        <f t="array" ref="AA670">_xlfn.IFS(
(F670/(X670/7)) &lt; 5, "Casual",
AND((F670/(X670/7)) &gt;= 5, (F670/(X670/7)) &lt; 15), "Regular",
(F670/(X670/7)) &gt;= 15, "Power"
)</f>
        <v>Power</v>
      </c>
      <c r="AB670" s="3">
        <f t="shared" si="44"/>
        <v>0.61859582542694502</v>
      </c>
      <c r="AC670" t="str">
        <f t="shared" si="42"/>
        <v>Viewers</v>
      </c>
    </row>
    <row r="671" spans="1:30" x14ac:dyDescent="0.3">
      <c r="A671" s="6">
        <v>9505</v>
      </c>
      <c r="B671" s="7" t="s">
        <v>284</v>
      </c>
      <c r="C671" s="10">
        <v>45469</v>
      </c>
      <c r="D671" s="10">
        <v>45630</v>
      </c>
      <c r="E671" s="13">
        <v>15.99</v>
      </c>
      <c r="F671" s="6">
        <v>352</v>
      </c>
      <c r="G671" s="7" t="s">
        <v>73</v>
      </c>
      <c r="H671" s="6">
        <v>4</v>
      </c>
      <c r="I671" s="6">
        <v>6</v>
      </c>
      <c r="J671" s="7" t="b">
        <v>0</v>
      </c>
      <c r="K671" s="6">
        <v>757</v>
      </c>
      <c r="L671" s="6">
        <v>13</v>
      </c>
      <c r="M671" s="7" t="s">
        <v>92</v>
      </c>
      <c r="N671" s="7" t="s">
        <v>44</v>
      </c>
      <c r="O671" s="7" t="s">
        <v>29</v>
      </c>
      <c r="P671" s="6">
        <v>67</v>
      </c>
      <c r="Q671" s="11">
        <v>4.3</v>
      </c>
      <c r="R671" s="7" t="b">
        <v>1</v>
      </c>
      <c r="S671" s="7" t="s">
        <v>30</v>
      </c>
      <c r="T671" s="6">
        <v>3645</v>
      </c>
      <c r="U671" s="7" t="s">
        <v>76</v>
      </c>
      <c r="V671" s="12" t="s">
        <v>32</v>
      </c>
      <c r="W671" s="7" t="s">
        <v>93</v>
      </c>
      <c r="X671" s="6">
        <f t="shared" si="43"/>
        <v>161</v>
      </c>
      <c r="Y671" t="str" cm="1">
        <f t="array" ref="Y671">_xlfn.IFS(E671=7.99,"BASIC",E671=11.99,"STANDARD",E671=15.99,"PREMIUM")</f>
        <v>PREMIUM</v>
      </c>
      <c r="Z671" s="4">
        <f t="shared" si="41"/>
        <v>15.304347826086957</v>
      </c>
      <c r="AA671" s="3" t="str" cm="1">
        <f t="array" ref="AA671">_xlfn.IFS(
(F671/(X671/7)) &lt; 5, "Casual",
AND((F671/(X671/7)) &gt;= 5, (F671/(X671/7)) &lt; 15), "Regular",
(F671/(X671/7)) &gt;= 15, "Power"
)</f>
        <v>Power</v>
      </c>
      <c r="AB671" s="3">
        <f t="shared" si="44"/>
        <v>0.45714285714285713</v>
      </c>
      <c r="AC671" t="str">
        <f t="shared" si="42"/>
        <v>Viewers</v>
      </c>
    </row>
    <row r="672" spans="1:30" x14ac:dyDescent="0.3">
      <c r="A672" s="6">
        <v>6741</v>
      </c>
      <c r="B672" s="7" t="s">
        <v>259</v>
      </c>
      <c r="C672" s="10">
        <v>45227</v>
      </c>
      <c r="D672" s="10">
        <v>45616</v>
      </c>
      <c r="E672" s="13">
        <v>7.99</v>
      </c>
      <c r="F672" s="6">
        <v>180</v>
      </c>
      <c r="G672" s="7" t="s">
        <v>48</v>
      </c>
      <c r="H672" s="6">
        <v>5</v>
      </c>
      <c r="I672" s="6">
        <v>2</v>
      </c>
      <c r="J672" s="7" t="b">
        <v>1</v>
      </c>
      <c r="K672" s="6">
        <v>647</v>
      </c>
      <c r="L672" s="6">
        <v>2</v>
      </c>
      <c r="M672" s="7" t="s">
        <v>43</v>
      </c>
      <c r="N672" s="7" t="s">
        <v>75</v>
      </c>
      <c r="O672" s="7" t="s">
        <v>78</v>
      </c>
      <c r="P672" s="6">
        <v>9</v>
      </c>
      <c r="Q672" s="11">
        <v>3.5</v>
      </c>
      <c r="R672" s="7" t="b">
        <v>0</v>
      </c>
      <c r="S672" s="7" t="s">
        <v>30</v>
      </c>
      <c r="T672" s="6">
        <v>2989</v>
      </c>
      <c r="U672" s="7" t="s">
        <v>31</v>
      </c>
      <c r="V672" s="12" t="s">
        <v>79</v>
      </c>
      <c r="W672" s="7" t="s">
        <v>93</v>
      </c>
      <c r="X672" s="6">
        <f t="shared" si="43"/>
        <v>389</v>
      </c>
      <c r="Y672" t="str" cm="1">
        <f t="array" ref="Y672">_xlfn.IFS(E672=7.99,"BASIC",E672=11.99,"STANDARD",E672=15.99,"PREMIUM")</f>
        <v>BASIC</v>
      </c>
      <c r="Z672" s="4">
        <f t="shared" si="41"/>
        <v>3.2390745501285347</v>
      </c>
      <c r="AA672" s="3" t="str" cm="1">
        <f t="array" ref="AA672">_xlfn.IFS(
(F672/(X672/7)) &lt; 5, "Casual",
AND((F672/(X672/7)) &gt;= 5, (F672/(X672/7)) &lt; 15), "Regular",
(F672/(X672/7)) &gt;= 15, "Power"
)</f>
        <v>Casual</v>
      </c>
      <c r="AB672" s="3">
        <f t="shared" si="44"/>
        <v>0.27734976887519258</v>
      </c>
      <c r="AC672" t="str">
        <f t="shared" si="42"/>
        <v>Viewers</v>
      </c>
    </row>
    <row r="673" spans="1:30" x14ac:dyDescent="0.3">
      <c r="A673" s="6">
        <v>1790</v>
      </c>
      <c r="B673" s="7" t="s">
        <v>624</v>
      </c>
      <c r="C673" s="10">
        <v>45362</v>
      </c>
      <c r="D673" s="10">
        <v>45627</v>
      </c>
      <c r="E673" s="13">
        <v>11.99</v>
      </c>
      <c r="F673" s="6">
        <v>362</v>
      </c>
      <c r="G673" s="7" t="s">
        <v>48</v>
      </c>
      <c r="H673" s="6">
        <v>2</v>
      </c>
      <c r="I673" s="6">
        <v>2</v>
      </c>
      <c r="J673" s="7" t="b">
        <v>0</v>
      </c>
      <c r="K673" s="6">
        <v>535</v>
      </c>
      <c r="L673" s="6">
        <v>200</v>
      </c>
      <c r="M673" s="7" t="s">
        <v>74</v>
      </c>
      <c r="N673" s="7" t="s">
        <v>44</v>
      </c>
      <c r="O673" s="7" t="s">
        <v>29</v>
      </c>
      <c r="P673" s="6">
        <v>60</v>
      </c>
      <c r="Q673" s="11">
        <v>4.9000000000000004</v>
      </c>
      <c r="R673" s="7" t="b">
        <v>1</v>
      </c>
      <c r="S673" s="7" t="s">
        <v>30</v>
      </c>
      <c r="T673" s="6">
        <v>55</v>
      </c>
      <c r="U673" s="7" t="s">
        <v>76</v>
      </c>
      <c r="V673" s="12" t="s">
        <v>59</v>
      </c>
      <c r="W673" s="7" t="s">
        <v>33</v>
      </c>
      <c r="X673" s="6">
        <f t="shared" si="43"/>
        <v>265</v>
      </c>
      <c r="Y673" t="str" cm="1">
        <f t="array" ref="Y673">_xlfn.IFS(E673=7.99,"BASIC",E673=11.99,"STANDARD",E673=15.99,"PREMIUM")</f>
        <v>STANDARD</v>
      </c>
      <c r="Z673" s="4">
        <f t="shared" si="41"/>
        <v>9.5622641509433972</v>
      </c>
      <c r="AA673" s="3" t="str" cm="1">
        <f t="array" ref="AA673">_xlfn.IFS(
(F673/(X673/7)) &lt; 5, "Casual",
AND((F673/(X673/7)) &gt;= 5, (F673/(X673/7)) &lt; 15), "Regular",
(F673/(X673/7)) &gt;= 15, "Power"
)</f>
        <v>Regular</v>
      </c>
      <c r="AB673" s="3">
        <f t="shared" si="44"/>
        <v>0.49251700680272109</v>
      </c>
      <c r="AC673" t="str">
        <f t="shared" si="42"/>
        <v>Viewers</v>
      </c>
    </row>
    <row r="674" spans="1:30" x14ac:dyDescent="0.3">
      <c r="A674" s="6">
        <v>6491</v>
      </c>
      <c r="B674" s="7" t="s">
        <v>625</v>
      </c>
      <c r="C674" s="10">
        <v>44941</v>
      </c>
      <c r="D674" s="10">
        <v>45624</v>
      </c>
      <c r="E674" s="13">
        <v>7.99</v>
      </c>
      <c r="F674" s="6">
        <v>154</v>
      </c>
      <c r="G674" s="7" t="s">
        <v>26</v>
      </c>
      <c r="H674" s="6">
        <v>5</v>
      </c>
      <c r="I674" s="6">
        <v>4</v>
      </c>
      <c r="J674" s="7" t="b">
        <v>1</v>
      </c>
      <c r="K674" s="6">
        <v>340</v>
      </c>
      <c r="L674" s="6">
        <v>53</v>
      </c>
      <c r="M674" s="7" t="s">
        <v>74</v>
      </c>
      <c r="N674" s="7" t="s">
        <v>56</v>
      </c>
      <c r="O674" s="7" t="s">
        <v>64</v>
      </c>
      <c r="P674" s="6">
        <v>31</v>
      </c>
      <c r="Q674" s="11">
        <v>4.4000000000000004</v>
      </c>
      <c r="R674" s="7" t="b">
        <v>0</v>
      </c>
      <c r="S674" s="7" t="s">
        <v>30</v>
      </c>
      <c r="T674" s="6">
        <v>1850</v>
      </c>
      <c r="U674" s="7" t="s">
        <v>38</v>
      </c>
      <c r="V674" s="12" t="s">
        <v>79</v>
      </c>
      <c r="W674" s="7" t="s">
        <v>33</v>
      </c>
      <c r="X674" s="6">
        <f t="shared" si="43"/>
        <v>683</v>
      </c>
      <c r="Y674" t="str" cm="1">
        <f t="array" ref="Y674">_xlfn.IFS(E674=7.99,"BASIC",E674=11.99,"STANDARD",E674=15.99,"PREMIUM")</f>
        <v>BASIC</v>
      </c>
      <c r="Z674" s="4">
        <f t="shared" si="41"/>
        <v>1.5783308931185944</v>
      </c>
      <c r="AA674" s="3" t="str" cm="1">
        <f t="array" ref="AA674">_xlfn.IFS(
(F674/(X674/7)) &lt; 5, "Casual",
AND((F674/(X674/7)) &gt;= 5, (F674/(X674/7)) &lt; 15), "Regular",
(F674/(X674/7)) &gt;= 15, "Power"
)</f>
        <v>Casual</v>
      </c>
      <c r="AB674" s="3">
        <f t="shared" si="44"/>
        <v>0.39185750636132316</v>
      </c>
      <c r="AC674" t="str">
        <f t="shared" si="42"/>
        <v>Viewers</v>
      </c>
    </row>
    <row r="675" spans="1:30" x14ac:dyDescent="0.3">
      <c r="A675" s="6">
        <v>3102</v>
      </c>
      <c r="B675" s="7" t="s">
        <v>260</v>
      </c>
      <c r="C675" s="10">
        <v>45538</v>
      </c>
      <c r="D675" s="10">
        <v>45623</v>
      </c>
      <c r="E675" s="13">
        <v>7.99</v>
      </c>
      <c r="F675" s="6">
        <v>287</v>
      </c>
      <c r="G675" s="7" t="s">
        <v>36</v>
      </c>
      <c r="H675" s="6">
        <v>1</v>
      </c>
      <c r="I675" s="6">
        <v>2</v>
      </c>
      <c r="J675" s="7" t="b">
        <v>0</v>
      </c>
      <c r="K675" s="6">
        <v>670</v>
      </c>
      <c r="L675" s="6">
        <v>147</v>
      </c>
      <c r="M675" s="7" t="s">
        <v>27</v>
      </c>
      <c r="N675" s="7" t="s">
        <v>44</v>
      </c>
      <c r="O675" s="7" t="s">
        <v>29</v>
      </c>
      <c r="P675" s="6">
        <v>42</v>
      </c>
      <c r="Q675" s="11">
        <v>4.3</v>
      </c>
      <c r="R675" s="7" t="b">
        <v>1</v>
      </c>
      <c r="S675" s="7" t="s">
        <v>30</v>
      </c>
      <c r="T675" s="6">
        <v>4672</v>
      </c>
      <c r="U675" s="7" t="s">
        <v>31</v>
      </c>
      <c r="V675" s="12" t="s">
        <v>59</v>
      </c>
      <c r="W675" s="7" t="s">
        <v>40</v>
      </c>
      <c r="X675" s="6">
        <f t="shared" si="43"/>
        <v>85</v>
      </c>
      <c r="Y675" t="str" cm="1">
        <f t="array" ref="Y675">_xlfn.IFS(E675=7.99,"BASIC",E675=11.99,"STANDARD",E675=15.99,"PREMIUM")</f>
        <v>BASIC</v>
      </c>
      <c r="Z675" s="4">
        <f t="shared" si="41"/>
        <v>23.63529411764706</v>
      </c>
      <c r="AA675" s="3" t="str" cm="1">
        <f t="array" ref="AA675">_xlfn.IFS(
(F675/(X675/7)) &lt; 5, "Casual",
AND((F675/(X675/7)) &gt;= 5, (F675/(X675/7)) &lt; 15), "Regular",
(F675/(X675/7)) &gt;= 15, "Power"
)</f>
        <v>Power</v>
      </c>
      <c r="AB675" s="3">
        <f t="shared" si="44"/>
        <v>0.35128518971848227</v>
      </c>
      <c r="AC675" t="str">
        <f t="shared" si="42"/>
        <v>Viewers</v>
      </c>
    </row>
    <row r="676" spans="1:30" x14ac:dyDescent="0.3">
      <c r="A676" s="6">
        <v>1300</v>
      </c>
      <c r="B676" s="7" t="s">
        <v>626</v>
      </c>
      <c r="C676" s="10">
        <v>45104</v>
      </c>
      <c r="D676" s="10">
        <v>45642</v>
      </c>
      <c r="E676" s="13">
        <v>11.99</v>
      </c>
      <c r="F676" s="6">
        <v>303</v>
      </c>
      <c r="G676" s="7" t="s">
        <v>100</v>
      </c>
      <c r="H676" s="6">
        <v>3</v>
      </c>
      <c r="I676" s="6">
        <v>6</v>
      </c>
      <c r="J676" s="7" t="b">
        <v>1</v>
      </c>
      <c r="K676" s="6">
        <v>780</v>
      </c>
      <c r="L676" s="6">
        <v>128</v>
      </c>
      <c r="M676" s="7" t="s">
        <v>92</v>
      </c>
      <c r="N676" s="7" t="s">
        <v>44</v>
      </c>
      <c r="O676" s="7" t="s">
        <v>64</v>
      </c>
      <c r="P676" s="6">
        <v>12</v>
      </c>
      <c r="Q676" s="11">
        <v>4.5999999999999996</v>
      </c>
      <c r="R676" s="7" t="b">
        <v>1</v>
      </c>
      <c r="S676" s="7" t="s">
        <v>30</v>
      </c>
      <c r="T676" s="6">
        <v>2615</v>
      </c>
      <c r="U676" s="7" t="s">
        <v>38</v>
      </c>
      <c r="V676" s="12" t="s">
        <v>32</v>
      </c>
      <c r="W676" s="7" t="s">
        <v>60</v>
      </c>
      <c r="X676" s="6">
        <f t="shared" si="43"/>
        <v>538</v>
      </c>
      <c r="Y676" t="str" cm="1">
        <f t="array" ref="Y676">_xlfn.IFS(E676=7.99,"BASIC",E676=11.99,"STANDARD",E676=15.99,"PREMIUM")</f>
        <v>STANDARD</v>
      </c>
      <c r="Z676" s="4">
        <f t="shared" si="41"/>
        <v>3.9423791821561336</v>
      </c>
      <c r="AA676" s="3" t="str" cm="1">
        <f t="array" ref="AA676">_xlfn.IFS(
(F676/(X676/7)) &lt; 5, "Casual",
AND((F676/(X676/7)) &gt;= 5, (F676/(X676/7)) &lt; 15), "Regular",
(F676/(X676/7)) &gt;= 15, "Power"
)</f>
        <v>Casual</v>
      </c>
      <c r="AB676" s="3">
        <f t="shared" si="44"/>
        <v>0.33370044052863435</v>
      </c>
      <c r="AC676" t="str">
        <f t="shared" si="42"/>
        <v>Viewers</v>
      </c>
    </row>
    <row r="677" spans="1:30" x14ac:dyDescent="0.3">
      <c r="A677" s="6">
        <v>5410</v>
      </c>
      <c r="B677" s="7" t="s">
        <v>628</v>
      </c>
      <c r="C677" s="10">
        <v>45113</v>
      </c>
      <c r="D677" s="10">
        <v>45627</v>
      </c>
      <c r="E677" s="13">
        <v>15.99</v>
      </c>
      <c r="F677" s="6">
        <v>447</v>
      </c>
      <c r="G677" s="7" t="s">
        <v>63</v>
      </c>
      <c r="H677" s="6">
        <v>1</v>
      </c>
      <c r="I677" s="6">
        <v>5</v>
      </c>
      <c r="J677" s="7" t="b">
        <v>0</v>
      </c>
      <c r="K677" s="6">
        <v>615</v>
      </c>
      <c r="L677" s="6">
        <v>132</v>
      </c>
      <c r="M677" s="7" t="s">
        <v>68</v>
      </c>
      <c r="N677" s="7" t="s">
        <v>75</v>
      </c>
      <c r="O677" s="7" t="s">
        <v>45</v>
      </c>
      <c r="P677" s="6">
        <v>88</v>
      </c>
      <c r="Q677" s="11">
        <v>3.9</v>
      </c>
      <c r="R677" s="7" t="b">
        <v>0</v>
      </c>
      <c r="S677" s="7" t="s">
        <v>30</v>
      </c>
      <c r="T677" s="6">
        <v>4927</v>
      </c>
      <c r="U677" s="7" t="s">
        <v>65</v>
      </c>
      <c r="V677" s="12" t="s">
        <v>69</v>
      </c>
      <c r="W677" s="7" t="s">
        <v>60</v>
      </c>
      <c r="X677" s="6">
        <f t="shared" si="43"/>
        <v>514</v>
      </c>
      <c r="Y677" t="str" cm="1">
        <f t="array" ref="Y677">_xlfn.IFS(E677=7.99,"BASIC",E677=11.99,"STANDARD",E677=15.99,"PREMIUM")</f>
        <v>PREMIUM</v>
      </c>
      <c r="Z677" s="4">
        <f t="shared" si="41"/>
        <v>6.0875486381322954</v>
      </c>
      <c r="AA677" s="3" t="str" cm="1">
        <f t="array" ref="AA677">_xlfn.IFS(
(F677/(X677/7)) &lt; 5, "Casual",
AND((F677/(X677/7)) &gt;= 5, (F677/(X677/7)) &lt; 15), "Regular",
(F677/(X677/7)) &gt;= 15, "Power"
)</f>
        <v>Regular</v>
      </c>
      <c r="AB677" s="3">
        <f t="shared" si="44"/>
        <v>0.59839357429718876</v>
      </c>
      <c r="AC677" t="str">
        <f t="shared" si="42"/>
        <v>Viewers</v>
      </c>
    </row>
    <row r="678" spans="1:30" x14ac:dyDescent="0.3">
      <c r="A678" s="6">
        <v>2714</v>
      </c>
      <c r="B678" s="7" t="s">
        <v>629</v>
      </c>
      <c r="C678" s="10">
        <f>_xlfn.XLOOKUP(A678,'Data Anomalies -Pls Read It'!A:A,'Data Anomalies -Pls Read It'!D:D,1,0)</f>
        <v>45624</v>
      </c>
      <c r="D678" s="10">
        <f>_xlfn.XLOOKUP(A678,'Data Anomalies -Pls Read It'!A:A,'Data Anomalies -Pls Read It'!C:C,1,0)</f>
        <v>45635</v>
      </c>
      <c r="E678" s="13">
        <v>11.99</v>
      </c>
      <c r="F678" s="6">
        <v>480</v>
      </c>
      <c r="G678" s="7" t="s">
        <v>48</v>
      </c>
      <c r="H678" s="6">
        <v>4</v>
      </c>
      <c r="I678" s="6">
        <v>6</v>
      </c>
      <c r="J678" s="7" t="b">
        <v>1</v>
      </c>
      <c r="K678" s="6">
        <v>277</v>
      </c>
      <c r="L678" s="6">
        <v>25</v>
      </c>
      <c r="M678" s="7" t="s">
        <v>74</v>
      </c>
      <c r="N678" s="7" t="s">
        <v>56</v>
      </c>
      <c r="O678" s="7" t="s">
        <v>78</v>
      </c>
      <c r="P678" s="6">
        <v>41</v>
      </c>
      <c r="Q678" s="11">
        <v>4.8</v>
      </c>
      <c r="R678" s="7" t="b">
        <v>0</v>
      </c>
      <c r="S678" s="7" t="s">
        <v>30</v>
      </c>
      <c r="T678" s="6">
        <v>3069</v>
      </c>
      <c r="U678" s="7" t="s">
        <v>76</v>
      </c>
      <c r="V678" s="12" t="s">
        <v>32</v>
      </c>
      <c r="W678" s="7" t="s">
        <v>93</v>
      </c>
      <c r="X678" s="6">
        <f t="shared" si="43"/>
        <v>11</v>
      </c>
      <c r="Y678" t="str" cm="1">
        <f t="array" ref="Y678">_xlfn.IFS(E678=7.99,"BASIC",E678=11.99,"STANDARD",E678=15.99,"PREMIUM")</f>
        <v>STANDARD</v>
      </c>
      <c r="Z678" s="4">
        <f t="shared" si="41"/>
        <v>305.45454545454544</v>
      </c>
      <c r="AA678" s="3" t="str" cm="1">
        <f t="array" ref="AA678">_xlfn.IFS(
(F678/(X678/7)) &lt; 5, "Casual",
AND((F678/(X678/7)) &gt;= 5, (F678/(X678/7)) &lt; 15), "Regular",
(F678/(X678/7)) &gt;= 15, "Power"
)</f>
        <v>Power</v>
      </c>
      <c r="AB678" s="3">
        <f t="shared" si="44"/>
        <v>1.5894039735099337</v>
      </c>
      <c r="AC678" t="str">
        <f t="shared" si="42"/>
        <v>Viewers</v>
      </c>
      <c r="AD678" t="s">
        <v>779</v>
      </c>
    </row>
    <row r="679" spans="1:30" x14ac:dyDescent="0.3">
      <c r="A679" s="6">
        <v>4700</v>
      </c>
      <c r="B679" s="7" t="s">
        <v>179</v>
      </c>
      <c r="C679" s="10">
        <v>45612</v>
      </c>
      <c r="D679" s="10">
        <v>45630</v>
      </c>
      <c r="E679" s="13">
        <v>7.99</v>
      </c>
      <c r="F679" s="6">
        <v>438</v>
      </c>
      <c r="G679" s="7" t="s">
        <v>26</v>
      </c>
      <c r="H679" s="6">
        <v>4</v>
      </c>
      <c r="I679" s="6">
        <v>4</v>
      </c>
      <c r="J679" s="7" t="b">
        <v>1</v>
      </c>
      <c r="K679" s="6">
        <v>546</v>
      </c>
      <c r="L679" s="6">
        <v>88</v>
      </c>
      <c r="M679" s="7" t="s">
        <v>49</v>
      </c>
      <c r="N679" s="7" t="s">
        <v>75</v>
      </c>
      <c r="O679" s="7" t="s">
        <v>78</v>
      </c>
      <c r="P679" s="6">
        <v>36</v>
      </c>
      <c r="Q679" s="11">
        <v>3.5</v>
      </c>
      <c r="R679" s="7" t="b">
        <v>0</v>
      </c>
      <c r="S679" s="7" t="s">
        <v>30</v>
      </c>
      <c r="T679" s="6">
        <v>1906</v>
      </c>
      <c r="U679" s="7" t="s">
        <v>65</v>
      </c>
      <c r="V679" s="12" t="s">
        <v>79</v>
      </c>
      <c r="W679" s="7" t="s">
        <v>93</v>
      </c>
      <c r="X679" s="6">
        <f t="shared" si="43"/>
        <v>18</v>
      </c>
      <c r="Y679" t="str" cm="1">
        <f t="array" ref="Y679">_xlfn.IFS(E679=7.99,"BASIC",E679=11.99,"STANDARD",E679=15.99,"PREMIUM")</f>
        <v>BASIC</v>
      </c>
      <c r="Z679" s="4">
        <f t="shared" si="41"/>
        <v>170.33333333333331</v>
      </c>
      <c r="AA679" s="3" t="str" cm="1">
        <f t="array" ref="AA679">_xlfn.IFS(
(F679/(X679/7)) &lt; 5, "Casual",
AND((F679/(X679/7)) &gt;= 5, (F679/(X679/7)) &lt; 15), "Regular",
(F679/(X679/7)) &gt;= 15, "Power"
)</f>
        <v>Power</v>
      </c>
      <c r="AB679" s="3">
        <f t="shared" si="44"/>
        <v>0.69085173501577291</v>
      </c>
      <c r="AC679" t="str">
        <f t="shared" si="42"/>
        <v>Viewers</v>
      </c>
    </row>
    <row r="680" spans="1:30" x14ac:dyDescent="0.3">
      <c r="A680" s="6">
        <v>7589</v>
      </c>
      <c r="B680" s="7" t="s">
        <v>280</v>
      </c>
      <c r="C680" s="10">
        <v>45145</v>
      </c>
      <c r="D680" s="10">
        <v>45628</v>
      </c>
      <c r="E680" s="13">
        <v>15.99</v>
      </c>
      <c r="F680" s="6">
        <v>295</v>
      </c>
      <c r="G680" s="7" t="s">
        <v>63</v>
      </c>
      <c r="H680" s="6">
        <v>2</v>
      </c>
      <c r="I680" s="6">
        <v>5</v>
      </c>
      <c r="J680" s="7" t="b">
        <v>0</v>
      </c>
      <c r="K680" s="6">
        <v>514</v>
      </c>
      <c r="L680" s="6">
        <v>102</v>
      </c>
      <c r="M680" s="7" t="s">
        <v>74</v>
      </c>
      <c r="N680" s="7" t="s">
        <v>28</v>
      </c>
      <c r="O680" s="7" t="s">
        <v>37</v>
      </c>
      <c r="P680" s="6">
        <v>3</v>
      </c>
      <c r="Q680" s="11">
        <v>4.8</v>
      </c>
      <c r="R680" s="7" t="b">
        <v>0</v>
      </c>
      <c r="S680" s="7" t="s">
        <v>30</v>
      </c>
      <c r="T680" s="6">
        <v>105</v>
      </c>
      <c r="U680" s="7" t="s">
        <v>31</v>
      </c>
      <c r="V680" s="12" t="s">
        <v>69</v>
      </c>
      <c r="W680" s="7" t="s">
        <v>93</v>
      </c>
      <c r="X680" s="6">
        <f t="shared" si="43"/>
        <v>483</v>
      </c>
      <c r="Y680" t="str" cm="1">
        <f t="array" ref="Y680">_xlfn.IFS(E680=7.99,"BASIC",E680=11.99,"STANDARD",E680=15.99,"PREMIUM")</f>
        <v>PREMIUM</v>
      </c>
      <c r="Z680" s="4">
        <f t="shared" si="41"/>
        <v>4.27536231884058</v>
      </c>
      <c r="AA680" s="3" t="str" cm="1">
        <f t="array" ref="AA680">_xlfn.IFS(
(F680/(X680/7)) &lt; 5, "Casual",
AND((F680/(X680/7)) &gt;= 5, (F680/(X680/7)) &lt; 15), "Regular",
(F680/(X680/7)) &gt;= 15, "Power"
)</f>
        <v>Casual</v>
      </c>
      <c r="AB680" s="3">
        <f t="shared" si="44"/>
        <v>0.47889610389610388</v>
      </c>
      <c r="AC680" t="str">
        <f t="shared" si="42"/>
        <v>Viewers</v>
      </c>
    </row>
    <row r="681" spans="1:30" x14ac:dyDescent="0.3">
      <c r="A681" s="6">
        <v>6866</v>
      </c>
      <c r="B681" s="7" t="s">
        <v>199</v>
      </c>
      <c r="C681" s="10">
        <v>45430</v>
      </c>
      <c r="D681" s="10">
        <v>45620</v>
      </c>
      <c r="E681" s="13">
        <v>11.99</v>
      </c>
      <c r="F681" s="6">
        <v>479</v>
      </c>
      <c r="G681" s="7" t="s">
        <v>63</v>
      </c>
      <c r="H681" s="6">
        <v>1</v>
      </c>
      <c r="I681" s="6">
        <v>3</v>
      </c>
      <c r="J681" s="7" t="b">
        <v>1</v>
      </c>
      <c r="K681" s="6">
        <v>952</v>
      </c>
      <c r="L681" s="6">
        <v>48</v>
      </c>
      <c r="M681" s="7" t="s">
        <v>27</v>
      </c>
      <c r="N681" s="7" t="s">
        <v>56</v>
      </c>
      <c r="O681" s="7" t="s">
        <v>64</v>
      </c>
      <c r="P681" s="6">
        <v>54</v>
      </c>
      <c r="Q681" s="11">
        <v>4.5999999999999996</v>
      </c>
      <c r="R681" s="7" t="b">
        <v>1</v>
      </c>
      <c r="S681" s="7" t="s">
        <v>30</v>
      </c>
      <c r="T681" s="6">
        <v>4</v>
      </c>
      <c r="U681" s="7" t="s">
        <v>38</v>
      </c>
      <c r="V681" s="12" t="s">
        <v>79</v>
      </c>
      <c r="W681" s="7" t="s">
        <v>40</v>
      </c>
      <c r="X681" s="6">
        <f t="shared" si="43"/>
        <v>190</v>
      </c>
      <c r="Y681" t="str" cm="1">
        <f t="array" ref="Y681">_xlfn.IFS(E681=7.99,"BASIC",E681=11.99,"STANDARD",E681=15.99,"PREMIUM")</f>
        <v>STANDARD</v>
      </c>
      <c r="Z681" s="4">
        <f t="shared" si="41"/>
        <v>17.647368421052633</v>
      </c>
      <c r="AA681" s="3" t="str" cm="1">
        <f t="array" ref="AA681">_xlfn.IFS(
(F681/(X681/7)) &lt; 5, "Casual",
AND((F681/(X681/7)) &gt;= 5, (F681/(X681/7)) &lt; 15), "Regular",
(F681/(X681/7)) &gt;= 15, "Power"
)</f>
        <v>Power</v>
      </c>
      <c r="AB681" s="3">
        <f t="shared" si="44"/>
        <v>0.47899999999999998</v>
      </c>
      <c r="AC681" t="str">
        <f t="shared" si="42"/>
        <v>Viewers</v>
      </c>
    </row>
    <row r="682" spans="1:30" x14ac:dyDescent="0.3">
      <c r="A682" s="6">
        <v>6960</v>
      </c>
      <c r="B682" s="7" t="s">
        <v>630</v>
      </c>
      <c r="C682" s="10">
        <v>45242</v>
      </c>
      <c r="D682" s="10">
        <v>45622</v>
      </c>
      <c r="E682" s="13">
        <v>15.99</v>
      </c>
      <c r="F682" s="6">
        <v>214</v>
      </c>
      <c r="G682" s="7" t="s">
        <v>51</v>
      </c>
      <c r="H682" s="6">
        <v>5</v>
      </c>
      <c r="I682" s="6">
        <v>6</v>
      </c>
      <c r="J682" s="7" t="b">
        <v>1</v>
      </c>
      <c r="K682" s="6">
        <v>780</v>
      </c>
      <c r="L682" s="6">
        <v>16</v>
      </c>
      <c r="M682" s="7" t="s">
        <v>92</v>
      </c>
      <c r="N682" s="7" t="s">
        <v>28</v>
      </c>
      <c r="O682" s="7" t="s">
        <v>78</v>
      </c>
      <c r="P682" s="6">
        <v>1</v>
      </c>
      <c r="Q682" s="11">
        <v>3.3</v>
      </c>
      <c r="R682" s="7" t="b">
        <v>1</v>
      </c>
      <c r="S682" s="7" t="s">
        <v>30</v>
      </c>
      <c r="T682" s="6">
        <v>1651</v>
      </c>
      <c r="U682" s="7" t="s">
        <v>58</v>
      </c>
      <c r="V682" s="12" t="s">
        <v>79</v>
      </c>
      <c r="W682" s="7" t="s">
        <v>40</v>
      </c>
      <c r="X682" s="6">
        <f t="shared" si="43"/>
        <v>380</v>
      </c>
      <c r="Y682" t="str" cm="1">
        <f t="array" ref="Y682">_xlfn.IFS(E682=7.99,"BASIC",E682=11.99,"STANDARD",E682=15.99,"PREMIUM")</f>
        <v>PREMIUM</v>
      </c>
      <c r="Z682" s="4">
        <f t="shared" si="41"/>
        <v>3.9421052631578948</v>
      </c>
      <c r="AA682" s="3" t="str" cm="1">
        <f t="array" ref="AA682">_xlfn.IFS(
(F682/(X682/7)) &lt; 5, "Casual",
AND((F682/(X682/7)) &gt;= 5, (F682/(X682/7)) &lt; 15), "Regular",
(F682/(X682/7)) &gt;= 15, "Power"
)</f>
        <v>Casual</v>
      </c>
      <c r="AB682" s="3">
        <f t="shared" si="44"/>
        <v>0.26884422110552764</v>
      </c>
      <c r="AC682" t="str">
        <f t="shared" si="42"/>
        <v>Viewers</v>
      </c>
    </row>
    <row r="683" spans="1:30" x14ac:dyDescent="0.3">
      <c r="A683" s="6">
        <v>5808</v>
      </c>
      <c r="B683" s="7" t="s">
        <v>491</v>
      </c>
      <c r="C683" s="10">
        <v>45373</v>
      </c>
      <c r="D683" s="10">
        <v>45615</v>
      </c>
      <c r="E683" s="13">
        <v>15.99</v>
      </c>
      <c r="F683" s="6">
        <v>69</v>
      </c>
      <c r="G683" s="7" t="s">
        <v>26</v>
      </c>
      <c r="H683" s="6">
        <v>4</v>
      </c>
      <c r="I683" s="6">
        <v>5</v>
      </c>
      <c r="J683" s="7" t="b">
        <v>0</v>
      </c>
      <c r="K683" s="6">
        <v>976</v>
      </c>
      <c r="L683" s="6">
        <v>105</v>
      </c>
      <c r="M683" s="7" t="s">
        <v>27</v>
      </c>
      <c r="N683" s="7" t="s">
        <v>75</v>
      </c>
      <c r="O683" s="7" t="s">
        <v>45</v>
      </c>
      <c r="P683" s="6">
        <v>50</v>
      </c>
      <c r="Q683" s="11">
        <v>4.7</v>
      </c>
      <c r="R683" s="7" t="b">
        <v>1</v>
      </c>
      <c r="S683" s="7" t="s">
        <v>30</v>
      </c>
      <c r="T683" s="6">
        <v>1828</v>
      </c>
      <c r="U683" s="7" t="s">
        <v>76</v>
      </c>
      <c r="V683" s="12" t="s">
        <v>69</v>
      </c>
      <c r="W683" s="7" t="s">
        <v>40</v>
      </c>
      <c r="X683" s="6">
        <f t="shared" si="43"/>
        <v>242</v>
      </c>
      <c r="Y683" t="str" cm="1">
        <f t="array" ref="Y683">_xlfn.IFS(E683=7.99,"BASIC",E683=11.99,"STANDARD",E683=15.99,"PREMIUM")</f>
        <v>PREMIUM</v>
      </c>
      <c r="Z683" s="4">
        <f t="shared" si="41"/>
        <v>1.9958677685950414</v>
      </c>
      <c r="AA683" s="3" t="str" cm="1">
        <f t="array" ref="AA683">_xlfn.IFS(
(F683/(X683/7)) &lt; 5, "Casual",
AND((F683/(X683/7)) &gt;= 5, (F683/(X683/7)) &lt; 15), "Regular",
(F683/(X683/7)) &gt;= 15, "Power"
)</f>
        <v>Casual</v>
      </c>
      <c r="AB683" s="3">
        <f t="shared" si="44"/>
        <v>6.3829787234042548E-2</v>
      </c>
      <c r="AC683" t="str">
        <f t="shared" si="42"/>
        <v xml:space="preserve"> Browsers</v>
      </c>
    </row>
    <row r="684" spans="1:30" x14ac:dyDescent="0.3">
      <c r="A684" s="6">
        <v>5525</v>
      </c>
      <c r="B684" s="7" t="s">
        <v>224</v>
      </c>
      <c r="C684" s="10">
        <v>45204</v>
      </c>
      <c r="D684" s="10">
        <v>45632</v>
      </c>
      <c r="E684" s="13">
        <v>15.99</v>
      </c>
      <c r="F684" s="6">
        <v>344</v>
      </c>
      <c r="G684" s="7" t="s">
        <v>26</v>
      </c>
      <c r="H684" s="6">
        <v>5</v>
      </c>
      <c r="I684" s="6">
        <v>2</v>
      </c>
      <c r="J684" s="7" t="b">
        <v>0</v>
      </c>
      <c r="K684" s="6">
        <v>91</v>
      </c>
      <c r="L684" s="6">
        <v>137</v>
      </c>
      <c r="M684" s="7" t="s">
        <v>74</v>
      </c>
      <c r="N684" s="7" t="s">
        <v>75</v>
      </c>
      <c r="O684" s="7" t="s">
        <v>37</v>
      </c>
      <c r="P684" s="6">
        <v>37</v>
      </c>
      <c r="Q684" s="11">
        <v>3.4</v>
      </c>
      <c r="R684" s="7" t="b">
        <v>1</v>
      </c>
      <c r="S684" s="7" t="s">
        <v>30</v>
      </c>
      <c r="T684" s="6">
        <v>396</v>
      </c>
      <c r="U684" s="7" t="s">
        <v>58</v>
      </c>
      <c r="V684" s="12" t="s">
        <v>32</v>
      </c>
      <c r="W684" s="7" t="s">
        <v>33</v>
      </c>
      <c r="X684" s="6">
        <f t="shared" si="43"/>
        <v>428</v>
      </c>
      <c r="Y684" t="str" cm="1">
        <f t="array" ref="Y684">_xlfn.IFS(E684=7.99,"BASIC",E684=11.99,"STANDARD",E684=15.99,"PREMIUM")</f>
        <v>PREMIUM</v>
      </c>
      <c r="Z684" s="4">
        <f t="shared" si="41"/>
        <v>5.6261682242990654</v>
      </c>
      <c r="AA684" s="3" t="str" cm="1">
        <f t="array" ref="AA684">_xlfn.IFS(
(F684/(X684/7)) &lt; 5, "Casual",
AND((F684/(X684/7)) &gt;= 5, (F684/(X684/7)) &lt; 15), "Regular",
(F684/(X684/7)) &gt;= 15, "Power"
)</f>
        <v>Regular</v>
      </c>
      <c r="AB684" s="3">
        <f t="shared" si="44"/>
        <v>1.5087719298245614</v>
      </c>
      <c r="AC684" t="str">
        <f t="shared" si="42"/>
        <v>Viewers</v>
      </c>
    </row>
    <row r="685" spans="1:30" x14ac:dyDescent="0.3">
      <c r="A685" s="6">
        <v>1272</v>
      </c>
      <c r="B685" s="7" t="s">
        <v>272</v>
      </c>
      <c r="C685" s="10">
        <v>45490</v>
      </c>
      <c r="D685" s="10">
        <v>45616</v>
      </c>
      <c r="E685" s="13">
        <v>15.99</v>
      </c>
      <c r="F685" s="6">
        <v>163</v>
      </c>
      <c r="G685" s="7" t="s">
        <v>73</v>
      </c>
      <c r="H685" s="6">
        <v>5</v>
      </c>
      <c r="I685" s="6">
        <v>1</v>
      </c>
      <c r="J685" s="7" t="b">
        <v>0</v>
      </c>
      <c r="K685" s="6">
        <v>683</v>
      </c>
      <c r="L685" s="6">
        <v>108</v>
      </c>
      <c r="M685" s="7" t="s">
        <v>49</v>
      </c>
      <c r="N685" s="7" t="s">
        <v>75</v>
      </c>
      <c r="O685" s="7" t="s">
        <v>45</v>
      </c>
      <c r="P685" s="6">
        <v>10</v>
      </c>
      <c r="Q685" s="11">
        <v>4.2</v>
      </c>
      <c r="R685" s="7" t="b">
        <v>0</v>
      </c>
      <c r="S685" s="7" t="s">
        <v>30</v>
      </c>
      <c r="T685" s="6">
        <v>809</v>
      </c>
      <c r="U685" s="7" t="s">
        <v>31</v>
      </c>
      <c r="V685" s="12" t="s">
        <v>79</v>
      </c>
      <c r="W685" s="7" t="s">
        <v>40</v>
      </c>
      <c r="X685" s="6">
        <f t="shared" si="43"/>
        <v>126</v>
      </c>
      <c r="Y685" t="str" cm="1">
        <f t="array" ref="Y685">_xlfn.IFS(E685=7.99,"BASIC",E685=11.99,"STANDARD",E685=15.99,"PREMIUM")</f>
        <v>PREMIUM</v>
      </c>
      <c r="Z685" s="4">
        <f t="shared" si="41"/>
        <v>9.0555555555555554</v>
      </c>
      <c r="AA685" s="3" t="str" cm="1">
        <f t="array" ref="AA685">_xlfn.IFS(
(F685/(X685/7)) &lt; 5, "Casual",
AND((F685/(X685/7)) &gt;= 5, (F685/(X685/7)) &lt; 15), "Regular",
(F685/(X685/7)) &gt;= 15, "Power"
)</f>
        <v>Regular</v>
      </c>
      <c r="AB685" s="3">
        <f t="shared" si="44"/>
        <v>0.20606826801517067</v>
      </c>
      <c r="AC685" t="str">
        <f t="shared" si="42"/>
        <v>Viewers</v>
      </c>
    </row>
    <row r="686" spans="1:30" x14ac:dyDescent="0.3">
      <c r="A686" s="6">
        <v>8063</v>
      </c>
      <c r="B686" s="7" t="s">
        <v>304</v>
      </c>
      <c r="C686" s="10">
        <v>45104</v>
      </c>
      <c r="D686" s="10">
        <v>45638</v>
      </c>
      <c r="E686" s="13">
        <v>7.99</v>
      </c>
      <c r="F686" s="6">
        <v>217</v>
      </c>
      <c r="G686" s="7" t="s">
        <v>73</v>
      </c>
      <c r="H686" s="6">
        <v>1</v>
      </c>
      <c r="I686" s="6">
        <v>6</v>
      </c>
      <c r="J686" s="7" t="b">
        <v>0</v>
      </c>
      <c r="K686" s="6">
        <v>53</v>
      </c>
      <c r="L686" s="6">
        <v>153</v>
      </c>
      <c r="M686" s="7" t="s">
        <v>43</v>
      </c>
      <c r="N686" s="7" t="s">
        <v>28</v>
      </c>
      <c r="O686" s="7" t="s">
        <v>57</v>
      </c>
      <c r="P686" s="6">
        <v>2</v>
      </c>
      <c r="Q686" s="11">
        <v>3.1</v>
      </c>
      <c r="R686" s="7" t="b">
        <v>1</v>
      </c>
      <c r="S686" s="7" t="s">
        <v>30</v>
      </c>
      <c r="T686" s="6">
        <v>1431</v>
      </c>
      <c r="U686" s="7" t="s">
        <v>65</v>
      </c>
      <c r="V686" s="12" t="s">
        <v>79</v>
      </c>
      <c r="W686" s="7" t="s">
        <v>40</v>
      </c>
      <c r="X686" s="6">
        <f t="shared" si="43"/>
        <v>534</v>
      </c>
      <c r="Y686" t="str" cm="1">
        <f t="array" ref="Y686">_xlfn.IFS(E686=7.99,"BASIC",E686=11.99,"STANDARD",E686=15.99,"PREMIUM")</f>
        <v>BASIC</v>
      </c>
      <c r="Z686" s="4">
        <f t="shared" si="41"/>
        <v>2.8445692883895131</v>
      </c>
      <c r="AA686" s="3" t="str" cm="1">
        <f t="array" ref="AA686">_xlfn.IFS(
(F686/(X686/7)) &lt; 5, "Casual",
AND((F686/(X686/7)) &gt;= 5, (F686/(X686/7)) &lt; 15), "Regular",
(F686/(X686/7)) &gt;= 15, "Power"
)</f>
        <v>Casual</v>
      </c>
      <c r="AB686" s="3">
        <f t="shared" si="44"/>
        <v>1.0533980582524272</v>
      </c>
      <c r="AC686" t="str">
        <f t="shared" si="42"/>
        <v>Viewers</v>
      </c>
    </row>
    <row r="687" spans="1:30" x14ac:dyDescent="0.3">
      <c r="A687" s="6">
        <v>1856</v>
      </c>
      <c r="B687" s="7" t="s">
        <v>631</v>
      </c>
      <c r="C687" s="10">
        <v>45192</v>
      </c>
      <c r="D687" s="10">
        <v>45637</v>
      </c>
      <c r="E687" s="13">
        <v>15.99</v>
      </c>
      <c r="F687" s="6">
        <v>177</v>
      </c>
      <c r="G687" s="7" t="s">
        <v>63</v>
      </c>
      <c r="H687" s="6">
        <v>3</v>
      </c>
      <c r="I687" s="6">
        <v>2</v>
      </c>
      <c r="J687" s="7" t="b">
        <v>1</v>
      </c>
      <c r="K687" s="6">
        <v>246</v>
      </c>
      <c r="L687" s="6">
        <v>182</v>
      </c>
      <c r="M687" s="7" t="s">
        <v>74</v>
      </c>
      <c r="N687" s="7" t="s">
        <v>44</v>
      </c>
      <c r="O687" s="7" t="s">
        <v>57</v>
      </c>
      <c r="P687" s="6">
        <v>89</v>
      </c>
      <c r="Q687" s="11">
        <v>3.1</v>
      </c>
      <c r="R687" s="7" t="b">
        <v>0</v>
      </c>
      <c r="S687" s="7" t="s">
        <v>30</v>
      </c>
      <c r="T687" s="6">
        <v>2394</v>
      </c>
      <c r="U687" s="7" t="s">
        <v>76</v>
      </c>
      <c r="V687" s="12" t="s">
        <v>59</v>
      </c>
      <c r="W687" s="7" t="s">
        <v>93</v>
      </c>
      <c r="X687" s="6">
        <f t="shared" si="43"/>
        <v>445</v>
      </c>
      <c r="Y687" t="str" cm="1">
        <f t="array" ref="Y687">_xlfn.IFS(E687=7.99,"BASIC",E687=11.99,"STANDARD",E687=15.99,"PREMIUM")</f>
        <v>PREMIUM</v>
      </c>
      <c r="Z687" s="4">
        <f t="shared" si="41"/>
        <v>2.7842696629213486</v>
      </c>
      <c r="AA687" s="3" t="str" cm="1">
        <f t="array" ref="AA687">_xlfn.IFS(
(F687/(X687/7)) &lt; 5, "Casual",
AND((F687/(X687/7)) &gt;= 5, (F687/(X687/7)) &lt; 15), "Regular",
(F687/(X687/7)) &gt;= 15, "Power"
)</f>
        <v>Casual</v>
      </c>
      <c r="AB687" s="3">
        <f t="shared" si="44"/>
        <v>0.4135514018691589</v>
      </c>
      <c r="AC687" t="str">
        <f t="shared" si="42"/>
        <v>Viewers</v>
      </c>
    </row>
    <row r="688" spans="1:30" x14ac:dyDescent="0.3">
      <c r="A688" s="6">
        <v>2830</v>
      </c>
      <c r="B688" s="7" t="s">
        <v>579</v>
      </c>
      <c r="C688" s="10">
        <v>45049</v>
      </c>
      <c r="D688" s="10">
        <v>45634</v>
      </c>
      <c r="E688" s="13">
        <v>11.99</v>
      </c>
      <c r="F688" s="6">
        <v>304</v>
      </c>
      <c r="G688" s="7" t="s">
        <v>73</v>
      </c>
      <c r="H688" s="6">
        <v>1</v>
      </c>
      <c r="I688" s="6">
        <v>1</v>
      </c>
      <c r="J688" s="7" t="b">
        <v>1</v>
      </c>
      <c r="K688" s="6">
        <v>389</v>
      </c>
      <c r="L688" s="6">
        <v>137</v>
      </c>
      <c r="M688" s="7" t="s">
        <v>55</v>
      </c>
      <c r="N688" s="7" t="s">
        <v>75</v>
      </c>
      <c r="O688" s="7" t="s">
        <v>78</v>
      </c>
      <c r="P688" s="6">
        <v>2</v>
      </c>
      <c r="Q688" s="11">
        <v>4.8</v>
      </c>
      <c r="R688" s="7" t="b">
        <v>1</v>
      </c>
      <c r="S688" s="7" t="s">
        <v>30</v>
      </c>
      <c r="T688" s="6">
        <v>4685</v>
      </c>
      <c r="U688" s="7" t="s">
        <v>38</v>
      </c>
      <c r="V688" s="12" t="s">
        <v>79</v>
      </c>
      <c r="W688" s="7" t="s">
        <v>60</v>
      </c>
      <c r="X688" s="6">
        <f t="shared" si="43"/>
        <v>585</v>
      </c>
      <c r="Y688" t="str" cm="1">
        <f t="array" ref="Y688">_xlfn.IFS(E688=7.99,"BASIC",E688=11.99,"STANDARD",E688=15.99,"PREMIUM")</f>
        <v>STANDARD</v>
      </c>
      <c r="Z688" s="4">
        <f t="shared" si="41"/>
        <v>3.6376068376068376</v>
      </c>
      <c r="AA688" s="3" t="str" cm="1">
        <f t="array" ref="AA688">_xlfn.IFS(
(F688/(X688/7)) &lt; 5, "Casual",
AND((F688/(X688/7)) &gt;= 5, (F688/(X688/7)) &lt; 15), "Regular",
(F688/(X688/7)) &gt;= 15, "Power"
)</f>
        <v>Casual</v>
      </c>
      <c r="AB688" s="3">
        <f t="shared" si="44"/>
        <v>0.57794676806083645</v>
      </c>
      <c r="AC688" t="str">
        <f t="shared" si="42"/>
        <v>Viewers</v>
      </c>
    </row>
    <row r="689" spans="1:29" x14ac:dyDescent="0.3">
      <c r="A689" s="6">
        <v>3287</v>
      </c>
      <c r="B689" s="7" t="s">
        <v>508</v>
      </c>
      <c r="C689" s="10">
        <v>45280</v>
      </c>
      <c r="D689" s="10">
        <v>45617</v>
      </c>
      <c r="E689" s="13">
        <v>15.99</v>
      </c>
      <c r="F689" s="6">
        <v>90</v>
      </c>
      <c r="G689" s="7" t="s">
        <v>63</v>
      </c>
      <c r="H689" s="6">
        <v>3</v>
      </c>
      <c r="I689" s="6">
        <v>2</v>
      </c>
      <c r="J689" s="7" t="b">
        <v>0</v>
      </c>
      <c r="K689" s="6">
        <v>399</v>
      </c>
      <c r="L689" s="6">
        <v>9</v>
      </c>
      <c r="M689" s="7" t="s">
        <v>92</v>
      </c>
      <c r="N689" s="7" t="s">
        <v>28</v>
      </c>
      <c r="O689" s="7" t="s">
        <v>45</v>
      </c>
      <c r="P689" s="6">
        <v>73</v>
      </c>
      <c r="Q689" s="11">
        <v>4.4000000000000004</v>
      </c>
      <c r="R689" s="7" t="b">
        <v>1</v>
      </c>
      <c r="S689" s="7" t="s">
        <v>30</v>
      </c>
      <c r="T689" s="6">
        <v>4332</v>
      </c>
      <c r="U689" s="7" t="s">
        <v>31</v>
      </c>
      <c r="V689" s="12" t="s">
        <v>79</v>
      </c>
      <c r="W689" s="7" t="s">
        <v>93</v>
      </c>
      <c r="X689" s="6">
        <f t="shared" si="43"/>
        <v>337</v>
      </c>
      <c r="Y689" t="str" cm="1">
        <f t="array" ref="Y689">_xlfn.IFS(E689=7.99,"BASIC",E689=11.99,"STANDARD",E689=15.99,"PREMIUM")</f>
        <v>PREMIUM</v>
      </c>
      <c r="Z689" s="4">
        <f t="shared" si="41"/>
        <v>1.8694362017804154</v>
      </c>
      <c r="AA689" s="3" t="str" cm="1">
        <f t="array" ref="AA689">_xlfn.IFS(
(F689/(X689/7)) &lt; 5, "Casual",
AND((F689/(X689/7)) &gt;= 5, (F689/(X689/7)) &lt; 15), "Regular",
(F689/(X689/7)) &gt;= 15, "Power"
)</f>
        <v>Casual</v>
      </c>
      <c r="AB689" s="3">
        <f t="shared" si="44"/>
        <v>0.22058823529411764</v>
      </c>
      <c r="AC689" t="str">
        <f t="shared" si="42"/>
        <v>Viewers</v>
      </c>
    </row>
    <row r="690" spans="1:29" x14ac:dyDescent="0.3">
      <c r="A690" s="6">
        <v>5679</v>
      </c>
      <c r="B690" s="7" t="s">
        <v>444</v>
      </c>
      <c r="C690" s="10">
        <v>45230</v>
      </c>
      <c r="D690" s="10">
        <v>45632</v>
      </c>
      <c r="E690" s="13">
        <v>15.99</v>
      </c>
      <c r="F690" s="6">
        <v>108</v>
      </c>
      <c r="G690" s="7" t="s">
        <v>26</v>
      </c>
      <c r="H690" s="6">
        <v>4</v>
      </c>
      <c r="I690" s="6">
        <v>2</v>
      </c>
      <c r="J690" s="7" t="b">
        <v>0</v>
      </c>
      <c r="K690" s="6">
        <v>694</v>
      </c>
      <c r="L690" s="6">
        <v>199</v>
      </c>
      <c r="M690" s="7" t="s">
        <v>49</v>
      </c>
      <c r="N690" s="7" t="s">
        <v>75</v>
      </c>
      <c r="O690" s="7" t="s">
        <v>45</v>
      </c>
      <c r="P690" s="6">
        <v>81</v>
      </c>
      <c r="Q690" s="11">
        <v>5</v>
      </c>
      <c r="R690" s="7" t="b">
        <v>0</v>
      </c>
      <c r="S690" s="7" t="s">
        <v>30</v>
      </c>
      <c r="T690" s="6">
        <v>851</v>
      </c>
      <c r="U690" s="7" t="s">
        <v>65</v>
      </c>
      <c r="V690" s="12" t="s">
        <v>69</v>
      </c>
      <c r="W690" s="7" t="s">
        <v>93</v>
      </c>
      <c r="X690" s="6">
        <f t="shared" si="43"/>
        <v>402</v>
      </c>
      <c r="Y690" t="str" cm="1">
        <f t="array" ref="Y690">_xlfn.IFS(E690=7.99,"BASIC",E690=11.99,"STANDARD",E690=15.99,"PREMIUM")</f>
        <v>PREMIUM</v>
      </c>
      <c r="Z690" s="4">
        <f t="shared" si="41"/>
        <v>1.880597014925373</v>
      </c>
      <c r="AA690" s="3" t="str" cm="1">
        <f t="array" ref="AA690">_xlfn.IFS(
(F690/(X690/7)) &lt; 5, "Casual",
AND((F690/(X690/7)) &gt;= 5, (F690/(X690/7)) &lt; 15), "Regular",
(F690/(X690/7)) &gt;= 15, "Power"
)</f>
        <v>Casual</v>
      </c>
      <c r="AB690" s="3">
        <f t="shared" si="44"/>
        <v>0.12094064949608063</v>
      </c>
      <c r="AC690" t="str">
        <f t="shared" si="42"/>
        <v xml:space="preserve"> Browsers</v>
      </c>
    </row>
    <row r="691" spans="1:29" x14ac:dyDescent="0.3">
      <c r="A691" s="6">
        <v>6399</v>
      </c>
      <c r="B691" s="7" t="s">
        <v>157</v>
      </c>
      <c r="C691" s="10">
        <v>44927</v>
      </c>
      <c r="D691" s="10">
        <v>45631</v>
      </c>
      <c r="E691" s="13">
        <v>11.99</v>
      </c>
      <c r="F691" s="6">
        <v>96</v>
      </c>
      <c r="G691" s="7" t="s">
        <v>51</v>
      </c>
      <c r="H691" s="6">
        <v>3</v>
      </c>
      <c r="I691" s="6">
        <v>2</v>
      </c>
      <c r="J691" s="7" t="b">
        <v>0</v>
      </c>
      <c r="K691" s="6">
        <v>434</v>
      </c>
      <c r="L691" s="6">
        <v>11</v>
      </c>
      <c r="M691" s="7" t="s">
        <v>27</v>
      </c>
      <c r="N691" s="7" t="s">
        <v>56</v>
      </c>
      <c r="O691" s="7" t="s">
        <v>78</v>
      </c>
      <c r="P691" s="6">
        <v>80</v>
      </c>
      <c r="Q691" s="11">
        <v>4.5999999999999996</v>
      </c>
      <c r="R691" s="7" t="b">
        <v>0</v>
      </c>
      <c r="S691" s="7" t="s">
        <v>30</v>
      </c>
      <c r="T691" s="6">
        <v>2261</v>
      </c>
      <c r="U691" s="7" t="s">
        <v>65</v>
      </c>
      <c r="V691" s="12" t="s">
        <v>59</v>
      </c>
      <c r="W691" s="7" t="s">
        <v>93</v>
      </c>
      <c r="X691" s="6">
        <f t="shared" si="43"/>
        <v>704</v>
      </c>
      <c r="Y691" t="str" cm="1">
        <f t="array" ref="Y691">_xlfn.IFS(E691=7.99,"BASIC",E691=11.99,"STANDARD",E691=15.99,"PREMIUM")</f>
        <v>STANDARD</v>
      </c>
      <c r="Z691" s="4">
        <f t="shared" si="41"/>
        <v>0.95454545454545459</v>
      </c>
      <c r="AA691" s="3" t="str" cm="1">
        <f t="array" ref="AA691">_xlfn.IFS(
(F691/(X691/7)) &lt; 5, "Casual",
AND((F691/(X691/7)) &gt;= 5, (F691/(X691/7)) &lt; 15), "Regular",
(F691/(X691/7)) &gt;= 15, "Power"
)</f>
        <v>Casual</v>
      </c>
      <c r="AB691" s="3">
        <f t="shared" si="44"/>
        <v>0.21573033707865169</v>
      </c>
      <c r="AC691" t="str">
        <f t="shared" si="42"/>
        <v>Viewers</v>
      </c>
    </row>
    <row r="692" spans="1:29" x14ac:dyDescent="0.3">
      <c r="A692" s="6">
        <v>8753</v>
      </c>
      <c r="B692" s="7" t="s">
        <v>257</v>
      </c>
      <c r="C692" s="10">
        <v>45339</v>
      </c>
      <c r="D692" s="10">
        <v>45626</v>
      </c>
      <c r="E692" s="13">
        <v>11.99</v>
      </c>
      <c r="F692" s="6">
        <v>247</v>
      </c>
      <c r="G692" s="7" t="s">
        <v>26</v>
      </c>
      <c r="H692" s="6">
        <v>2</v>
      </c>
      <c r="I692" s="6">
        <v>3</v>
      </c>
      <c r="J692" s="7" t="b">
        <v>0</v>
      </c>
      <c r="K692" s="6">
        <v>696</v>
      </c>
      <c r="L692" s="6">
        <v>28</v>
      </c>
      <c r="M692" s="7" t="s">
        <v>74</v>
      </c>
      <c r="N692" s="7" t="s">
        <v>44</v>
      </c>
      <c r="O692" s="7" t="s">
        <v>78</v>
      </c>
      <c r="P692" s="6">
        <v>79</v>
      </c>
      <c r="Q692" s="11">
        <v>4.8</v>
      </c>
      <c r="R692" s="7" t="b">
        <v>0</v>
      </c>
      <c r="S692" s="7" t="s">
        <v>30</v>
      </c>
      <c r="T692" s="6">
        <v>1500</v>
      </c>
      <c r="U692" s="7" t="s">
        <v>31</v>
      </c>
      <c r="V692" s="12" t="s">
        <v>79</v>
      </c>
      <c r="W692" s="7" t="s">
        <v>33</v>
      </c>
      <c r="X692" s="6">
        <f t="shared" si="43"/>
        <v>287</v>
      </c>
      <c r="Y692" t="str" cm="1">
        <f t="array" ref="Y692">_xlfn.IFS(E692=7.99,"BASIC",E692=11.99,"STANDARD",E692=15.99,"PREMIUM")</f>
        <v>STANDARD</v>
      </c>
      <c r="Z692" s="4">
        <f t="shared" si="41"/>
        <v>6.024390243902439</v>
      </c>
      <c r="AA692" s="3" t="str" cm="1">
        <f t="array" ref="AA692">_xlfn.IFS(
(F692/(X692/7)) &lt; 5, "Casual",
AND((F692/(X692/7)) &gt;= 5, (F692/(X692/7)) &lt; 15), "Regular",
(F692/(X692/7)) &gt;= 15, "Power"
)</f>
        <v>Regular</v>
      </c>
      <c r="AB692" s="3">
        <f t="shared" si="44"/>
        <v>0.34116022099447513</v>
      </c>
      <c r="AC692" t="str">
        <f t="shared" si="42"/>
        <v>Viewers</v>
      </c>
    </row>
    <row r="693" spans="1:29" x14ac:dyDescent="0.3">
      <c r="A693" s="6">
        <v>9267</v>
      </c>
      <c r="B693" s="7" t="s">
        <v>284</v>
      </c>
      <c r="C693" s="10">
        <v>45419</v>
      </c>
      <c r="D693" s="10">
        <v>45620</v>
      </c>
      <c r="E693" s="13">
        <v>15.99</v>
      </c>
      <c r="F693" s="6">
        <v>245</v>
      </c>
      <c r="G693" s="7" t="s">
        <v>100</v>
      </c>
      <c r="H693" s="6">
        <v>3</v>
      </c>
      <c r="I693" s="6">
        <v>5</v>
      </c>
      <c r="J693" s="7" t="b">
        <v>1</v>
      </c>
      <c r="K693" s="6">
        <v>862</v>
      </c>
      <c r="L693" s="6">
        <v>129</v>
      </c>
      <c r="M693" s="7" t="s">
        <v>55</v>
      </c>
      <c r="N693" s="7" t="s">
        <v>44</v>
      </c>
      <c r="O693" s="7" t="s">
        <v>45</v>
      </c>
      <c r="P693" s="6">
        <v>6</v>
      </c>
      <c r="Q693" s="11">
        <v>3.7</v>
      </c>
      <c r="R693" s="7" t="b">
        <v>1</v>
      </c>
      <c r="S693" s="7" t="s">
        <v>30</v>
      </c>
      <c r="T693" s="6">
        <v>2130</v>
      </c>
      <c r="U693" s="7" t="s">
        <v>76</v>
      </c>
      <c r="V693" s="12" t="s">
        <v>39</v>
      </c>
      <c r="W693" s="7" t="s">
        <v>40</v>
      </c>
      <c r="X693" s="6">
        <f t="shared" si="43"/>
        <v>201</v>
      </c>
      <c r="Y693" t="str" cm="1">
        <f t="array" ref="Y693">_xlfn.IFS(E693=7.99,"BASIC",E693=11.99,"STANDARD",E693=15.99,"PREMIUM")</f>
        <v>PREMIUM</v>
      </c>
      <c r="Z693" s="4">
        <f t="shared" si="41"/>
        <v>8.532338308457712</v>
      </c>
      <c r="AA693" s="3" t="str" cm="1">
        <f t="array" ref="AA693">_xlfn.IFS(
(F693/(X693/7)) &lt; 5, "Casual",
AND((F693/(X693/7)) &gt;= 5, (F693/(X693/7)) &lt; 15), "Regular",
(F693/(X693/7)) &gt;= 15, "Power"
)</f>
        <v>Regular</v>
      </c>
      <c r="AB693" s="3">
        <f t="shared" si="44"/>
        <v>0.2472250252270434</v>
      </c>
      <c r="AC693" t="str">
        <f t="shared" si="42"/>
        <v>Viewers</v>
      </c>
    </row>
    <row r="694" spans="1:29" x14ac:dyDescent="0.3">
      <c r="A694" s="6">
        <v>9846</v>
      </c>
      <c r="B694" s="7" t="s">
        <v>128</v>
      </c>
      <c r="C694" s="10">
        <v>44970</v>
      </c>
      <c r="D694" s="10">
        <v>45639</v>
      </c>
      <c r="E694" s="13">
        <v>7.99</v>
      </c>
      <c r="F694" s="6">
        <v>366</v>
      </c>
      <c r="G694" s="7" t="s">
        <v>36</v>
      </c>
      <c r="H694" s="6">
        <v>4</v>
      </c>
      <c r="I694" s="6">
        <v>5</v>
      </c>
      <c r="J694" s="7" t="b">
        <v>0</v>
      </c>
      <c r="K694" s="6">
        <v>631</v>
      </c>
      <c r="L694" s="6">
        <v>56</v>
      </c>
      <c r="M694" s="7" t="s">
        <v>92</v>
      </c>
      <c r="N694" s="7" t="s">
        <v>28</v>
      </c>
      <c r="O694" s="7" t="s">
        <v>57</v>
      </c>
      <c r="P694" s="6">
        <v>35</v>
      </c>
      <c r="Q694" s="11">
        <v>4.0999999999999996</v>
      </c>
      <c r="R694" s="7" t="b">
        <v>0</v>
      </c>
      <c r="S694" s="7" t="s">
        <v>30</v>
      </c>
      <c r="T694" s="6">
        <v>4308</v>
      </c>
      <c r="U694" s="7" t="s">
        <v>38</v>
      </c>
      <c r="V694" s="12" t="s">
        <v>32</v>
      </c>
      <c r="W694" s="7" t="s">
        <v>33</v>
      </c>
      <c r="X694" s="6">
        <f t="shared" si="43"/>
        <v>669</v>
      </c>
      <c r="Y694" t="str" cm="1">
        <f t="array" ref="Y694">_xlfn.IFS(E694=7.99,"BASIC",E694=11.99,"STANDARD",E694=15.99,"PREMIUM")</f>
        <v>BASIC</v>
      </c>
      <c r="Z694" s="4">
        <f t="shared" si="41"/>
        <v>3.8295964125560538</v>
      </c>
      <c r="AA694" s="3" t="str" cm="1">
        <f t="array" ref="AA694">_xlfn.IFS(
(F694/(X694/7)) &lt; 5, "Casual",
AND((F694/(X694/7)) &gt;= 5, (F694/(X694/7)) &lt; 15), "Regular",
(F694/(X694/7)) &gt;= 15, "Power"
)</f>
        <v>Casual</v>
      </c>
      <c r="AB694" s="3">
        <f t="shared" si="44"/>
        <v>0.53275109170305679</v>
      </c>
      <c r="AC694" t="str">
        <f t="shared" si="42"/>
        <v>Viewers</v>
      </c>
    </row>
    <row r="695" spans="1:29" x14ac:dyDescent="0.3">
      <c r="A695" s="6">
        <v>2382</v>
      </c>
      <c r="B695" s="7" t="s">
        <v>584</v>
      </c>
      <c r="C695" s="10">
        <v>45453</v>
      </c>
      <c r="D695" s="10">
        <v>45635</v>
      </c>
      <c r="E695" s="13">
        <v>15.99</v>
      </c>
      <c r="F695" s="6">
        <v>170</v>
      </c>
      <c r="G695" s="7" t="s">
        <v>48</v>
      </c>
      <c r="H695" s="6">
        <v>1</v>
      </c>
      <c r="I695" s="6">
        <v>3</v>
      </c>
      <c r="J695" s="7" t="b">
        <v>0</v>
      </c>
      <c r="K695" s="6">
        <v>144</v>
      </c>
      <c r="L695" s="6">
        <v>142</v>
      </c>
      <c r="M695" s="7" t="s">
        <v>55</v>
      </c>
      <c r="N695" s="7" t="s">
        <v>75</v>
      </c>
      <c r="O695" s="7" t="s">
        <v>29</v>
      </c>
      <c r="P695" s="6">
        <v>81</v>
      </c>
      <c r="Q695" s="11">
        <v>4.7</v>
      </c>
      <c r="R695" s="7" t="b">
        <v>1</v>
      </c>
      <c r="S695" s="7" t="s">
        <v>30</v>
      </c>
      <c r="T695" s="6">
        <v>421</v>
      </c>
      <c r="U695" s="7" t="s">
        <v>65</v>
      </c>
      <c r="V695" s="12" t="s">
        <v>39</v>
      </c>
      <c r="W695" s="7" t="s">
        <v>93</v>
      </c>
      <c r="X695" s="6">
        <f t="shared" si="43"/>
        <v>182</v>
      </c>
      <c r="Y695" t="str" cm="1">
        <f t="array" ref="Y695">_xlfn.IFS(E695=7.99,"BASIC",E695=11.99,"STANDARD",E695=15.99,"PREMIUM")</f>
        <v>PREMIUM</v>
      </c>
      <c r="Z695" s="4">
        <f t="shared" si="41"/>
        <v>6.5384615384615383</v>
      </c>
      <c r="AA695" s="3" t="str" cm="1">
        <f t="array" ref="AA695">_xlfn.IFS(
(F695/(X695/7)) &lt; 5, "Casual",
AND((F695/(X695/7)) &gt;= 5, (F695/(X695/7)) &lt; 15), "Regular",
(F695/(X695/7)) &gt;= 15, "Power"
)</f>
        <v>Regular</v>
      </c>
      <c r="AB695" s="3">
        <f t="shared" si="44"/>
        <v>0.59440559440559437</v>
      </c>
      <c r="AC695" t="str">
        <f t="shared" si="42"/>
        <v>Viewers</v>
      </c>
    </row>
    <row r="696" spans="1:29" x14ac:dyDescent="0.3">
      <c r="A696" s="6">
        <v>3593</v>
      </c>
      <c r="B696" s="7" t="s">
        <v>335</v>
      </c>
      <c r="C696" s="10">
        <v>45185</v>
      </c>
      <c r="D696" s="10">
        <v>45620</v>
      </c>
      <c r="E696" s="13">
        <v>7.99</v>
      </c>
      <c r="F696" s="6">
        <v>447</v>
      </c>
      <c r="G696" s="7" t="s">
        <v>51</v>
      </c>
      <c r="H696" s="6">
        <v>3</v>
      </c>
      <c r="I696" s="6">
        <v>1</v>
      </c>
      <c r="J696" s="7" t="b">
        <v>1</v>
      </c>
      <c r="K696" s="6">
        <v>466</v>
      </c>
      <c r="L696" s="6">
        <v>198</v>
      </c>
      <c r="M696" s="7" t="s">
        <v>55</v>
      </c>
      <c r="N696" s="7" t="s">
        <v>75</v>
      </c>
      <c r="O696" s="7" t="s">
        <v>29</v>
      </c>
      <c r="P696" s="6">
        <v>3</v>
      </c>
      <c r="Q696" s="11">
        <v>4.5</v>
      </c>
      <c r="R696" s="7" t="b">
        <v>0</v>
      </c>
      <c r="S696" s="7" t="s">
        <v>30</v>
      </c>
      <c r="T696" s="6">
        <v>2163</v>
      </c>
      <c r="U696" s="7" t="s">
        <v>65</v>
      </c>
      <c r="V696" s="12" t="s">
        <v>32</v>
      </c>
      <c r="W696" s="7" t="s">
        <v>33</v>
      </c>
      <c r="X696" s="6">
        <f t="shared" si="43"/>
        <v>435</v>
      </c>
      <c r="Y696" t="str" cm="1">
        <f t="array" ref="Y696">_xlfn.IFS(E696=7.99,"BASIC",E696=11.99,"STANDARD",E696=15.99,"PREMIUM")</f>
        <v>BASIC</v>
      </c>
      <c r="Z696" s="4">
        <f t="shared" si="41"/>
        <v>7.1931034482758616</v>
      </c>
      <c r="AA696" s="3" t="str" cm="1">
        <f t="array" ref="AA696">_xlfn.IFS(
(F696/(X696/7)) &lt; 5, "Casual",
AND((F696/(X696/7)) &gt;= 5, (F696/(X696/7)) &lt; 15), "Regular",
(F696/(X696/7)) &gt;= 15, "Power"
)</f>
        <v>Regular</v>
      </c>
      <c r="AB696" s="3">
        <f t="shared" si="44"/>
        <v>0.67319277108433739</v>
      </c>
      <c r="AC696" t="str">
        <f t="shared" si="42"/>
        <v>Viewers</v>
      </c>
    </row>
    <row r="697" spans="1:29" x14ac:dyDescent="0.3">
      <c r="A697" s="6">
        <v>4097</v>
      </c>
      <c r="B697" s="7" t="s">
        <v>280</v>
      </c>
      <c r="C697" s="10">
        <v>45033</v>
      </c>
      <c r="D697" s="10">
        <v>45642</v>
      </c>
      <c r="E697" s="13">
        <v>7.99</v>
      </c>
      <c r="F697" s="6">
        <v>369</v>
      </c>
      <c r="G697" s="7" t="s">
        <v>63</v>
      </c>
      <c r="H697" s="6">
        <v>3</v>
      </c>
      <c r="I697" s="6">
        <v>1</v>
      </c>
      <c r="J697" s="7" t="b">
        <v>0</v>
      </c>
      <c r="K697" s="6">
        <v>759</v>
      </c>
      <c r="L697" s="6">
        <v>56</v>
      </c>
      <c r="M697" s="7" t="s">
        <v>68</v>
      </c>
      <c r="N697" s="7" t="s">
        <v>28</v>
      </c>
      <c r="O697" s="7" t="s">
        <v>29</v>
      </c>
      <c r="P697" s="6">
        <v>30</v>
      </c>
      <c r="Q697" s="11">
        <v>4</v>
      </c>
      <c r="R697" s="7" t="b">
        <v>0</v>
      </c>
      <c r="S697" s="7" t="s">
        <v>30</v>
      </c>
      <c r="T697" s="6">
        <v>3354</v>
      </c>
      <c r="U697" s="7" t="s">
        <v>76</v>
      </c>
      <c r="V697" s="12" t="s">
        <v>59</v>
      </c>
      <c r="W697" s="7" t="s">
        <v>33</v>
      </c>
      <c r="X697" s="6">
        <f t="shared" si="43"/>
        <v>609</v>
      </c>
      <c r="Y697" t="str" cm="1">
        <f t="array" ref="Y697">_xlfn.IFS(E697=7.99,"BASIC",E697=11.99,"STANDARD",E697=15.99,"PREMIUM")</f>
        <v>BASIC</v>
      </c>
      <c r="Z697" s="4">
        <f t="shared" si="41"/>
        <v>4.2413793103448274</v>
      </c>
      <c r="AA697" s="3" t="str" cm="1">
        <f t="array" ref="AA697">_xlfn.IFS(
(F697/(X697/7)) &lt; 5, "Casual",
AND((F697/(X697/7)) &gt;= 5, (F697/(X697/7)) &lt; 15), "Regular",
(F697/(X697/7)) &gt;= 15, "Power"
)</f>
        <v>Casual</v>
      </c>
      <c r="AB697" s="3">
        <f t="shared" si="44"/>
        <v>0.45276073619631901</v>
      </c>
      <c r="AC697" t="str">
        <f t="shared" si="42"/>
        <v>Viewers</v>
      </c>
    </row>
    <row r="698" spans="1:29" x14ac:dyDescent="0.3">
      <c r="A698" s="6">
        <v>2886</v>
      </c>
      <c r="B698" s="7" t="s">
        <v>106</v>
      </c>
      <c r="C698" s="10">
        <v>45101</v>
      </c>
      <c r="D698" s="10">
        <v>45622</v>
      </c>
      <c r="E698" s="13">
        <v>15.99</v>
      </c>
      <c r="F698" s="6">
        <v>62</v>
      </c>
      <c r="G698" s="7" t="s">
        <v>73</v>
      </c>
      <c r="H698" s="6">
        <v>5</v>
      </c>
      <c r="I698" s="6">
        <v>1</v>
      </c>
      <c r="J698" s="7" t="b">
        <v>0</v>
      </c>
      <c r="K698" s="6">
        <v>811</v>
      </c>
      <c r="L698" s="6">
        <v>109</v>
      </c>
      <c r="M698" s="7" t="s">
        <v>74</v>
      </c>
      <c r="N698" s="7" t="s">
        <v>75</v>
      </c>
      <c r="O698" s="7" t="s">
        <v>37</v>
      </c>
      <c r="P698" s="6">
        <v>14</v>
      </c>
      <c r="Q698" s="11">
        <v>3.1</v>
      </c>
      <c r="R698" s="7" t="b">
        <v>0</v>
      </c>
      <c r="S698" s="7" t="s">
        <v>30</v>
      </c>
      <c r="T698" s="6">
        <v>3702</v>
      </c>
      <c r="U698" s="7" t="s">
        <v>65</v>
      </c>
      <c r="V698" s="12" t="s">
        <v>79</v>
      </c>
      <c r="W698" s="7" t="s">
        <v>60</v>
      </c>
      <c r="X698" s="6">
        <f t="shared" si="43"/>
        <v>521</v>
      </c>
      <c r="Y698" t="str" cm="1">
        <f t="array" ref="Y698">_xlfn.IFS(E698=7.99,"BASIC",E698=11.99,"STANDARD",E698=15.99,"PREMIUM")</f>
        <v>PREMIUM</v>
      </c>
      <c r="Z698" s="4">
        <f t="shared" si="41"/>
        <v>0.83301343570057584</v>
      </c>
      <c r="AA698" s="3" t="str" cm="1">
        <f t="array" ref="AA698">_xlfn.IFS(
(F698/(X698/7)) &lt; 5, "Casual",
AND((F698/(X698/7)) &gt;= 5, (F698/(X698/7)) &lt; 15), "Regular",
(F698/(X698/7)) &gt;= 15, "Power"
)</f>
        <v>Casual</v>
      </c>
      <c r="AB698" s="3">
        <f t="shared" si="44"/>
        <v>6.7391304347826086E-2</v>
      </c>
      <c r="AC698" t="str">
        <f t="shared" si="42"/>
        <v xml:space="preserve"> Browsers</v>
      </c>
    </row>
    <row r="699" spans="1:29" x14ac:dyDescent="0.3">
      <c r="A699" s="6">
        <v>3255</v>
      </c>
      <c r="B699" s="7" t="s">
        <v>547</v>
      </c>
      <c r="C699" s="10">
        <v>45297</v>
      </c>
      <c r="D699" s="10">
        <v>45623</v>
      </c>
      <c r="E699" s="13">
        <v>7.99</v>
      </c>
      <c r="F699" s="6">
        <v>294</v>
      </c>
      <c r="G699" s="7" t="s">
        <v>63</v>
      </c>
      <c r="H699" s="6">
        <v>1</v>
      </c>
      <c r="I699" s="6">
        <v>3</v>
      </c>
      <c r="J699" s="7" t="b">
        <v>1</v>
      </c>
      <c r="K699" s="6">
        <v>936</v>
      </c>
      <c r="L699" s="6">
        <v>120</v>
      </c>
      <c r="M699" s="7" t="s">
        <v>92</v>
      </c>
      <c r="N699" s="7" t="s">
        <v>44</v>
      </c>
      <c r="O699" s="7" t="s">
        <v>57</v>
      </c>
      <c r="P699" s="6">
        <v>49</v>
      </c>
      <c r="Q699" s="11">
        <v>3.2</v>
      </c>
      <c r="R699" s="7" t="b">
        <v>1</v>
      </c>
      <c r="S699" s="7" t="s">
        <v>30</v>
      </c>
      <c r="T699" s="6">
        <v>3758</v>
      </c>
      <c r="U699" s="7" t="s">
        <v>76</v>
      </c>
      <c r="V699" s="12" t="s">
        <v>32</v>
      </c>
      <c r="W699" s="7" t="s">
        <v>93</v>
      </c>
      <c r="X699" s="6">
        <f t="shared" si="43"/>
        <v>326</v>
      </c>
      <c r="Y699" t="str" cm="1">
        <f t="array" ref="Y699">_xlfn.IFS(E699=7.99,"BASIC",E699=11.99,"STANDARD",E699=15.99,"PREMIUM")</f>
        <v>BASIC</v>
      </c>
      <c r="Z699" s="4">
        <f t="shared" si="41"/>
        <v>6.3128834355828225</v>
      </c>
      <c r="AA699" s="3" t="str" cm="1">
        <f t="array" ref="AA699">_xlfn.IFS(
(F699/(X699/7)) &lt; 5, "Casual",
AND((F699/(X699/7)) &gt;= 5, (F699/(X699/7)) &lt; 15), "Regular",
(F699/(X699/7)) &gt;= 15, "Power"
)</f>
        <v>Regular</v>
      </c>
      <c r="AB699" s="3">
        <f t="shared" si="44"/>
        <v>0.27840909090909088</v>
      </c>
      <c r="AC699" t="str">
        <f t="shared" si="42"/>
        <v>Viewers</v>
      </c>
    </row>
    <row r="700" spans="1:29" x14ac:dyDescent="0.3">
      <c r="A700" s="6">
        <v>6752</v>
      </c>
      <c r="B700" s="7" t="s">
        <v>194</v>
      </c>
      <c r="C700" s="10">
        <v>45406</v>
      </c>
      <c r="D700" s="10">
        <v>45635</v>
      </c>
      <c r="E700" s="13">
        <v>11.99</v>
      </c>
      <c r="F700" s="6">
        <v>10</v>
      </c>
      <c r="G700" s="7" t="s">
        <v>51</v>
      </c>
      <c r="H700" s="6">
        <v>2</v>
      </c>
      <c r="I700" s="6">
        <v>4</v>
      </c>
      <c r="J700" s="7" t="b">
        <v>0</v>
      </c>
      <c r="K700" s="6">
        <v>146</v>
      </c>
      <c r="L700" s="6">
        <v>95</v>
      </c>
      <c r="M700" s="7" t="s">
        <v>68</v>
      </c>
      <c r="N700" s="7" t="s">
        <v>56</v>
      </c>
      <c r="O700" s="7" t="s">
        <v>57</v>
      </c>
      <c r="P700" s="6">
        <v>99</v>
      </c>
      <c r="Q700" s="11">
        <v>3.8</v>
      </c>
      <c r="R700" s="7" t="b">
        <v>1</v>
      </c>
      <c r="S700" s="7" t="s">
        <v>30</v>
      </c>
      <c r="T700" s="6">
        <v>3942</v>
      </c>
      <c r="U700" s="7" t="s">
        <v>76</v>
      </c>
      <c r="V700" s="12" t="s">
        <v>32</v>
      </c>
      <c r="W700" s="7" t="s">
        <v>93</v>
      </c>
      <c r="X700" s="6">
        <f t="shared" si="43"/>
        <v>229</v>
      </c>
      <c r="Y700" t="str" cm="1">
        <f t="array" ref="Y700">_xlfn.IFS(E700=7.99,"BASIC",E700=11.99,"STANDARD",E700=15.99,"PREMIUM")</f>
        <v>STANDARD</v>
      </c>
      <c r="Z700" s="4">
        <f t="shared" si="41"/>
        <v>0.3056768558951965</v>
      </c>
      <c r="AA700" s="3" t="str" cm="1">
        <f t="array" ref="AA700">_xlfn.IFS(
(F700/(X700/7)) &lt; 5, "Casual",
AND((F700/(X700/7)) &gt;= 5, (F700/(X700/7)) &lt; 15), "Regular",
(F700/(X700/7)) &gt;= 15, "Power"
)</f>
        <v>Casual</v>
      </c>
      <c r="AB700" s="3">
        <f t="shared" si="44"/>
        <v>4.1493775933609957E-2</v>
      </c>
      <c r="AC700" t="str">
        <f t="shared" si="42"/>
        <v xml:space="preserve"> Browsers</v>
      </c>
    </row>
    <row r="701" spans="1:29" x14ac:dyDescent="0.3">
      <c r="A701" s="6">
        <v>7945</v>
      </c>
      <c r="B701" s="7" t="s">
        <v>631</v>
      </c>
      <c r="C701" s="10">
        <v>45031</v>
      </c>
      <c r="D701" s="10">
        <v>45625</v>
      </c>
      <c r="E701" s="13">
        <v>11.99</v>
      </c>
      <c r="F701" s="6">
        <v>389</v>
      </c>
      <c r="G701" s="7" t="s">
        <v>63</v>
      </c>
      <c r="H701" s="6">
        <v>2</v>
      </c>
      <c r="I701" s="6">
        <v>2</v>
      </c>
      <c r="J701" s="7" t="b">
        <v>1</v>
      </c>
      <c r="K701" s="6">
        <v>631</v>
      </c>
      <c r="L701" s="6">
        <v>85</v>
      </c>
      <c r="M701" s="7" t="s">
        <v>68</v>
      </c>
      <c r="N701" s="7" t="s">
        <v>44</v>
      </c>
      <c r="O701" s="7" t="s">
        <v>57</v>
      </c>
      <c r="P701" s="6">
        <v>53</v>
      </c>
      <c r="Q701" s="11">
        <v>3.3</v>
      </c>
      <c r="R701" s="7" t="b">
        <v>1</v>
      </c>
      <c r="S701" s="7" t="s">
        <v>30</v>
      </c>
      <c r="T701" s="6">
        <v>2242</v>
      </c>
      <c r="U701" s="7" t="s">
        <v>38</v>
      </c>
      <c r="V701" s="12" t="s">
        <v>79</v>
      </c>
      <c r="W701" s="7" t="s">
        <v>93</v>
      </c>
      <c r="X701" s="6">
        <f t="shared" si="43"/>
        <v>594</v>
      </c>
      <c r="Y701" t="str" cm="1">
        <f t="array" ref="Y701">_xlfn.IFS(E701=7.99,"BASIC",E701=11.99,"STANDARD",E701=15.99,"PREMIUM")</f>
        <v>STANDARD</v>
      </c>
      <c r="Z701" s="4">
        <f t="shared" si="41"/>
        <v>4.5841750841750839</v>
      </c>
      <c r="AA701" s="3" t="str" cm="1">
        <f t="array" ref="AA701">_xlfn.IFS(
(F701/(X701/7)) &lt; 5, "Casual",
AND((F701/(X701/7)) &gt;= 5, (F701/(X701/7)) &lt; 15), "Regular",
(F701/(X701/7)) &gt;= 15, "Power"
)</f>
        <v>Casual</v>
      </c>
      <c r="AB701" s="3">
        <f t="shared" si="44"/>
        <v>0.54329608938547491</v>
      </c>
      <c r="AC701" t="str">
        <f t="shared" si="42"/>
        <v>Viewers</v>
      </c>
    </row>
    <row r="702" spans="1:29" x14ac:dyDescent="0.3">
      <c r="A702" s="6">
        <v>6658</v>
      </c>
      <c r="B702" s="7" t="s">
        <v>157</v>
      </c>
      <c r="C702" s="10">
        <v>45383</v>
      </c>
      <c r="D702" s="10">
        <v>45631</v>
      </c>
      <c r="E702" s="13">
        <v>7.99</v>
      </c>
      <c r="F702" s="6">
        <v>55</v>
      </c>
      <c r="G702" s="7" t="s">
        <v>48</v>
      </c>
      <c r="H702" s="6">
        <v>5</v>
      </c>
      <c r="I702" s="6">
        <v>6</v>
      </c>
      <c r="J702" s="7" t="b">
        <v>0</v>
      </c>
      <c r="K702" s="6">
        <v>682</v>
      </c>
      <c r="L702" s="6">
        <v>141</v>
      </c>
      <c r="M702" s="7" t="s">
        <v>27</v>
      </c>
      <c r="N702" s="7" t="s">
        <v>44</v>
      </c>
      <c r="O702" s="7" t="s">
        <v>29</v>
      </c>
      <c r="P702" s="6">
        <v>42</v>
      </c>
      <c r="Q702" s="11">
        <v>3.6</v>
      </c>
      <c r="R702" s="7" t="b">
        <v>1</v>
      </c>
      <c r="S702" s="7" t="s">
        <v>30</v>
      </c>
      <c r="T702" s="6">
        <v>2561</v>
      </c>
      <c r="U702" s="7" t="s">
        <v>38</v>
      </c>
      <c r="V702" s="12" t="s">
        <v>69</v>
      </c>
      <c r="W702" s="7" t="s">
        <v>33</v>
      </c>
      <c r="X702" s="6">
        <f t="shared" si="43"/>
        <v>248</v>
      </c>
      <c r="Y702" t="str" cm="1">
        <f t="array" ref="Y702">_xlfn.IFS(E702=7.99,"BASIC",E702=11.99,"STANDARD",E702=15.99,"PREMIUM")</f>
        <v>BASIC</v>
      </c>
      <c r="Z702" s="4">
        <f t="shared" si="41"/>
        <v>1.5524193548387095</v>
      </c>
      <c r="AA702" s="3" t="str" cm="1">
        <f t="array" ref="AA702">_xlfn.IFS(
(F702/(X702/7)) &lt; 5, "Casual",
AND((F702/(X702/7)) &gt;= 5, (F702/(X702/7)) &lt; 15), "Regular",
(F702/(X702/7)) &gt;= 15, "Power"
)</f>
        <v>Casual</v>
      </c>
      <c r="AB702" s="3">
        <f t="shared" si="44"/>
        <v>6.6828675577156743E-2</v>
      </c>
      <c r="AC702" t="str">
        <f t="shared" si="42"/>
        <v xml:space="preserve"> Browsers</v>
      </c>
    </row>
    <row r="703" spans="1:29" x14ac:dyDescent="0.3">
      <c r="A703" s="6">
        <v>5468</v>
      </c>
      <c r="B703" s="7" t="s">
        <v>635</v>
      </c>
      <c r="C703" s="10">
        <v>45384</v>
      </c>
      <c r="D703" s="10">
        <v>45616</v>
      </c>
      <c r="E703" s="13">
        <v>11.99</v>
      </c>
      <c r="F703" s="6">
        <v>208</v>
      </c>
      <c r="G703" s="7" t="s">
        <v>100</v>
      </c>
      <c r="H703" s="6">
        <v>4</v>
      </c>
      <c r="I703" s="6">
        <v>6</v>
      </c>
      <c r="J703" s="7" t="b">
        <v>1</v>
      </c>
      <c r="K703" s="6">
        <v>135</v>
      </c>
      <c r="L703" s="6">
        <v>9</v>
      </c>
      <c r="M703" s="7" t="s">
        <v>27</v>
      </c>
      <c r="N703" s="7" t="s">
        <v>28</v>
      </c>
      <c r="O703" s="7" t="s">
        <v>29</v>
      </c>
      <c r="P703" s="6">
        <v>41</v>
      </c>
      <c r="Q703" s="11">
        <v>3</v>
      </c>
      <c r="R703" s="7" t="b">
        <v>1</v>
      </c>
      <c r="S703" s="7" t="s">
        <v>30</v>
      </c>
      <c r="T703" s="6">
        <v>2465</v>
      </c>
      <c r="U703" s="7" t="s">
        <v>76</v>
      </c>
      <c r="V703" s="12" t="s">
        <v>32</v>
      </c>
      <c r="W703" s="7" t="s">
        <v>33</v>
      </c>
      <c r="X703" s="6">
        <f t="shared" si="43"/>
        <v>232</v>
      </c>
      <c r="Y703" t="str" cm="1">
        <f t="array" ref="Y703">_xlfn.IFS(E703=7.99,"BASIC",E703=11.99,"STANDARD",E703=15.99,"PREMIUM")</f>
        <v>STANDARD</v>
      </c>
      <c r="Z703" s="4">
        <f t="shared" si="41"/>
        <v>6.2758620689655169</v>
      </c>
      <c r="AA703" s="3" t="str" cm="1">
        <f t="array" ref="AA703">_xlfn.IFS(
(F703/(X703/7)) &lt; 5, "Casual",
AND((F703/(X703/7)) &gt;= 5, (F703/(X703/7)) &lt; 15), "Regular",
(F703/(X703/7)) &gt;= 15, "Power"
)</f>
        <v>Regular</v>
      </c>
      <c r="AB703" s="3">
        <f t="shared" si="44"/>
        <v>1.4444444444444444</v>
      </c>
      <c r="AC703" t="str">
        <f t="shared" si="42"/>
        <v>Viewers</v>
      </c>
    </row>
    <row r="704" spans="1:29" x14ac:dyDescent="0.3">
      <c r="A704" s="6">
        <v>7451</v>
      </c>
      <c r="B704" s="7" t="s">
        <v>244</v>
      </c>
      <c r="C704" s="10">
        <v>45497</v>
      </c>
      <c r="D704" s="10">
        <v>45635</v>
      </c>
      <c r="E704" s="13">
        <v>15.99</v>
      </c>
      <c r="F704" s="6">
        <v>198</v>
      </c>
      <c r="G704" s="7" t="s">
        <v>48</v>
      </c>
      <c r="H704" s="6">
        <v>5</v>
      </c>
      <c r="I704" s="6">
        <v>5</v>
      </c>
      <c r="J704" s="7" t="b">
        <v>1</v>
      </c>
      <c r="K704" s="6">
        <v>255</v>
      </c>
      <c r="L704" s="6">
        <v>183</v>
      </c>
      <c r="M704" s="7" t="s">
        <v>43</v>
      </c>
      <c r="N704" s="7" t="s">
        <v>44</v>
      </c>
      <c r="O704" s="7" t="s">
        <v>78</v>
      </c>
      <c r="P704" s="6">
        <v>92</v>
      </c>
      <c r="Q704" s="11">
        <v>4.9000000000000004</v>
      </c>
      <c r="R704" s="7" t="b">
        <v>0</v>
      </c>
      <c r="S704" s="7" t="s">
        <v>30</v>
      </c>
      <c r="T704" s="6">
        <v>4435</v>
      </c>
      <c r="U704" s="7" t="s">
        <v>76</v>
      </c>
      <c r="V704" s="12" t="s">
        <v>59</v>
      </c>
      <c r="W704" s="7" t="s">
        <v>60</v>
      </c>
      <c r="X704" s="6">
        <f t="shared" si="43"/>
        <v>138</v>
      </c>
      <c r="Y704" t="str" cm="1">
        <f t="array" ref="Y704">_xlfn.IFS(E704=7.99,"BASIC",E704=11.99,"STANDARD",E704=15.99,"PREMIUM")</f>
        <v>PREMIUM</v>
      </c>
      <c r="Z704" s="4">
        <f t="shared" si="41"/>
        <v>10.043478260869565</v>
      </c>
      <c r="AA704" s="3" t="str" cm="1">
        <f t="array" ref="AA704">_xlfn.IFS(
(F704/(X704/7)) &lt; 5, "Casual",
AND((F704/(X704/7)) &gt;= 5, (F704/(X704/7)) &lt; 15), "Regular",
(F704/(X704/7)) &gt;= 15, "Power"
)</f>
        <v>Regular</v>
      </c>
      <c r="AB704" s="3">
        <f t="shared" si="44"/>
        <v>0.45205479452054792</v>
      </c>
      <c r="AC704" t="str">
        <f t="shared" si="42"/>
        <v>Viewers</v>
      </c>
    </row>
    <row r="705" spans="1:29" x14ac:dyDescent="0.3">
      <c r="A705" s="6">
        <v>1253</v>
      </c>
      <c r="B705" s="7" t="s">
        <v>157</v>
      </c>
      <c r="C705" s="10">
        <v>45482</v>
      </c>
      <c r="D705" s="10">
        <v>45631</v>
      </c>
      <c r="E705" s="13">
        <v>11.99</v>
      </c>
      <c r="F705" s="6">
        <v>280</v>
      </c>
      <c r="G705" s="7" t="s">
        <v>63</v>
      </c>
      <c r="H705" s="6">
        <v>1</v>
      </c>
      <c r="I705" s="6">
        <v>1</v>
      </c>
      <c r="J705" s="7" t="b">
        <v>1</v>
      </c>
      <c r="K705" s="6">
        <v>702</v>
      </c>
      <c r="L705" s="6">
        <v>58</v>
      </c>
      <c r="M705" s="7" t="s">
        <v>92</v>
      </c>
      <c r="N705" s="7" t="s">
        <v>28</v>
      </c>
      <c r="O705" s="7" t="s">
        <v>78</v>
      </c>
      <c r="P705" s="6">
        <v>13</v>
      </c>
      <c r="Q705" s="11">
        <v>3.2</v>
      </c>
      <c r="R705" s="7" t="b">
        <v>0</v>
      </c>
      <c r="S705" s="7" t="s">
        <v>30</v>
      </c>
      <c r="T705" s="6">
        <v>4116</v>
      </c>
      <c r="U705" s="7" t="s">
        <v>31</v>
      </c>
      <c r="V705" s="12" t="s">
        <v>69</v>
      </c>
      <c r="W705" s="7" t="s">
        <v>93</v>
      </c>
      <c r="X705" s="6">
        <f t="shared" si="43"/>
        <v>149</v>
      </c>
      <c r="Y705" t="str" cm="1">
        <f t="array" ref="Y705">_xlfn.IFS(E705=7.99,"BASIC",E705=11.99,"STANDARD",E705=15.99,"PREMIUM")</f>
        <v>STANDARD</v>
      </c>
      <c r="Z705" s="4">
        <f t="shared" si="41"/>
        <v>13.154362416107384</v>
      </c>
      <c r="AA705" s="3" t="str" cm="1">
        <f t="array" ref="AA705">_xlfn.IFS(
(F705/(X705/7)) &lt; 5, "Casual",
AND((F705/(X705/7)) &gt;= 5, (F705/(X705/7)) &lt; 15), "Regular",
(F705/(X705/7)) &gt;= 15, "Power"
)</f>
        <v>Regular</v>
      </c>
      <c r="AB705" s="3">
        <f t="shared" si="44"/>
        <v>0.36842105263157893</v>
      </c>
      <c r="AC705" t="str">
        <f t="shared" si="42"/>
        <v>Viewers</v>
      </c>
    </row>
    <row r="706" spans="1:29" x14ac:dyDescent="0.3">
      <c r="A706" s="6">
        <v>6746</v>
      </c>
      <c r="B706" s="7" t="s">
        <v>558</v>
      </c>
      <c r="C706" s="10">
        <v>45598</v>
      </c>
      <c r="D706" s="10">
        <v>45624</v>
      </c>
      <c r="E706" s="13">
        <v>7.99</v>
      </c>
      <c r="F706" s="6">
        <v>161</v>
      </c>
      <c r="G706" s="7" t="s">
        <v>73</v>
      </c>
      <c r="H706" s="6">
        <v>2</v>
      </c>
      <c r="I706" s="6">
        <v>5</v>
      </c>
      <c r="J706" s="7" t="b">
        <v>0</v>
      </c>
      <c r="K706" s="6">
        <v>151</v>
      </c>
      <c r="L706" s="6">
        <v>109</v>
      </c>
      <c r="M706" s="7" t="s">
        <v>49</v>
      </c>
      <c r="N706" s="7" t="s">
        <v>75</v>
      </c>
      <c r="O706" s="7" t="s">
        <v>64</v>
      </c>
      <c r="P706" s="6">
        <v>27</v>
      </c>
      <c r="Q706" s="11">
        <v>3.3</v>
      </c>
      <c r="R706" s="7" t="b">
        <v>0</v>
      </c>
      <c r="S706" s="7" t="s">
        <v>30</v>
      </c>
      <c r="T706" s="6">
        <v>944</v>
      </c>
      <c r="U706" s="7" t="s">
        <v>58</v>
      </c>
      <c r="V706" s="12" t="s">
        <v>32</v>
      </c>
      <c r="W706" s="7" t="s">
        <v>93</v>
      </c>
      <c r="X706" s="6">
        <f t="shared" si="43"/>
        <v>26</v>
      </c>
      <c r="Y706" t="str" cm="1">
        <f t="array" ref="Y706">_xlfn.IFS(E706=7.99,"BASIC",E706=11.99,"STANDARD",E706=15.99,"PREMIUM")</f>
        <v>BASIC</v>
      </c>
      <c r="Z706" s="4">
        <f t="shared" ref="Z706:Z769" si="45">F706/(X706/7)</f>
        <v>43.346153846153847</v>
      </c>
      <c r="AA706" s="3" t="str" cm="1">
        <f t="array" ref="AA706">_xlfn.IFS(
(F706/(X706/7)) &lt; 5, "Casual",
AND((F706/(X706/7)) &gt;= 5, (F706/(X706/7)) &lt; 15), "Regular",
(F706/(X706/7)) &gt;= 15, "Power"
)</f>
        <v>Power</v>
      </c>
      <c r="AB706" s="3">
        <f t="shared" si="44"/>
        <v>0.61923076923076925</v>
      </c>
      <c r="AC706" t="str">
        <f t="shared" ref="AC706:AC769" si="46">IF(F706/(K706+L706) &lt; 0.15," Browsers","Viewers")</f>
        <v>Viewers</v>
      </c>
    </row>
    <row r="707" spans="1:29" x14ac:dyDescent="0.3">
      <c r="A707" s="6">
        <v>8089</v>
      </c>
      <c r="B707" s="7" t="s">
        <v>232</v>
      </c>
      <c r="C707" s="10">
        <v>45451</v>
      </c>
      <c r="D707" s="10">
        <v>45623</v>
      </c>
      <c r="E707" s="13">
        <v>7.99</v>
      </c>
      <c r="F707" s="6">
        <v>439</v>
      </c>
      <c r="G707" s="7" t="s">
        <v>26</v>
      </c>
      <c r="H707" s="6">
        <v>2</v>
      </c>
      <c r="I707" s="6">
        <v>2</v>
      </c>
      <c r="J707" s="7" t="b">
        <v>1</v>
      </c>
      <c r="K707" s="6">
        <v>421</v>
      </c>
      <c r="L707" s="6">
        <v>138</v>
      </c>
      <c r="M707" s="7" t="s">
        <v>55</v>
      </c>
      <c r="N707" s="7" t="s">
        <v>44</v>
      </c>
      <c r="O707" s="7" t="s">
        <v>57</v>
      </c>
      <c r="P707" s="6">
        <v>14</v>
      </c>
      <c r="Q707" s="11">
        <v>4.0999999999999996</v>
      </c>
      <c r="R707" s="7" t="b">
        <v>0</v>
      </c>
      <c r="S707" s="7" t="s">
        <v>30</v>
      </c>
      <c r="T707" s="6">
        <v>4219</v>
      </c>
      <c r="U707" s="7" t="s">
        <v>58</v>
      </c>
      <c r="V707" s="12" t="s">
        <v>32</v>
      </c>
      <c r="W707" s="7" t="s">
        <v>60</v>
      </c>
      <c r="X707" s="6">
        <f t="shared" ref="X707:X770" si="47">D707-C707</f>
        <v>172</v>
      </c>
      <c r="Y707" t="str" cm="1">
        <f t="array" ref="Y707">_xlfn.IFS(E707=7.99,"BASIC",E707=11.99,"STANDARD",E707=15.99,"PREMIUM")</f>
        <v>BASIC</v>
      </c>
      <c r="Z707" s="4">
        <f t="shared" si="45"/>
        <v>17.86627906976744</v>
      </c>
      <c r="AA707" s="3" t="str" cm="1">
        <f t="array" ref="AA707">_xlfn.IFS(
(F707/(X707/7)) &lt; 5, "Casual",
AND((F707/(X707/7)) &gt;= 5, (F707/(X707/7)) &lt; 15), "Regular",
(F707/(X707/7)) &gt;= 15, "Power"
)</f>
        <v>Power</v>
      </c>
      <c r="AB707" s="3">
        <f t="shared" si="44"/>
        <v>0.78533094812164583</v>
      </c>
      <c r="AC707" t="str">
        <f t="shared" si="46"/>
        <v>Viewers</v>
      </c>
    </row>
    <row r="708" spans="1:29" x14ac:dyDescent="0.3">
      <c r="A708" s="6">
        <v>8045</v>
      </c>
      <c r="B708" s="7" t="s">
        <v>304</v>
      </c>
      <c r="C708" s="10">
        <v>45233</v>
      </c>
      <c r="D708" s="10">
        <v>45628</v>
      </c>
      <c r="E708" s="13">
        <v>7.99</v>
      </c>
      <c r="F708" s="6">
        <v>339</v>
      </c>
      <c r="G708" s="7" t="s">
        <v>100</v>
      </c>
      <c r="H708" s="6">
        <v>5</v>
      </c>
      <c r="I708" s="6">
        <v>5</v>
      </c>
      <c r="J708" s="7" t="b">
        <v>1</v>
      </c>
      <c r="K708" s="6">
        <v>354</v>
      </c>
      <c r="L708" s="6">
        <v>129</v>
      </c>
      <c r="M708" s="7" t="s">
        <v>92</v>
      </c>
      <c r="N708" s="7" t="s">
        <v>75</v>
      </c>
      <c r="O708" s="7" t="s">
        <v>78</v>
      </c>
      <c r="P708" s="6">
        <v>14</v>
      </c>
      <c r="Q708" s="11">
        <v>3.9</v>
      </c>
      <c r="R708" s="7" t="b">
        <v>0</v>
      </c>
      <c r="S708" s="7" t="s">
        <v>30</v>
      </c>
      <c r="T708" s="6">
        <v>4311</v>
      </c>
      <c r="U708" s="7" t="s">
        <v>38</v>
      </c>
      <c r="V708" s="12" t="s">
        <v>69</v>
      </c>
      <c r="W708" s="7" t="s">
        <v>33</v>
      </c>
      <c r="X708" s="6">
        <f t="shared" si="47"/>
        <v>395</v>
      </c>
      <c r="Y708" t="str" cm="1">
        <f t="array" ref="Y708">_xlfn.IFS(E708=7.99,"BASIC",E708=11.99,"STANDARD",E708=15.99,"PREMIUM")</f>
        <v>BASIC</v>
      </c>
      <c r="Z708" s="4">
        <f t="shared" si="45"/>
        <v>6.0075949367088608</v>
      </c>
      <c r="AA708" s="3" t="str" cm="1">
        <f t="array" ref="AA708">_xlfn.IFS(
(F708/(X708/7)) &lt; 5, "Casual",
AND((F708/(X708/7)) &gt;= 5, (F708/(X708/7)) &lt; 15), "Regular",
(F708/(X708/7)) &gt;= 15, "Power"
)</f>
        <v>Regular</v>
      </c>
      <c r="AB708" s="3">
        <f t="shared" si="44"/>
        <v>0.70186335403726707</v>
      </c>
      <c r="AC708" t="str">
        <f t="shared" si="46"/>
        <v>Viewers</v>
      </c>
    </row>
    <row r="709" spans="1:29" x14ac:dyDescent="0.3">
      <c r="A709" s="6">
        <v>9417</v>
      </c>
      <c r="B709" s="7" t="s">
        <v>126</v>
      </c>
      <c r="C709" s="10">
        <v>45580</v>
      </c>
      <c r="D709" s="10">
        <v>45624</v>
      </c>
      <c r="E709" s="13">
        <v>11.99</v>
      </c>
      <c r="F709" s="6">
        <v>52</v>
      </c>
      <c r="G709" s="7" t="s">
        <v>26</v>
      </c>
      <c r="H709" s="6">
        <v>4</v>
      </c>
      <c r="I709" s="6">
        <v>4</v>
      </c>
      <c r="J709" s="7" t="b">
        <v>0</v>
      </c>
      <c r="K709" s="6">
        <v>377</v>
      </c>
      <c r="L709" s="6">
        <v>135</v>
      </c>
      <c r="M709" s="7" t="s">
        <v>49</v>
      </c>
      <c r="N709" s="7" t="s">
        <v>56</v>
      </c>
      <c r="O709" s="7" t="s">
        <v>57</v>
      </c>
      <c r="P709" s="6">
        <v>90</v>
      </c>
      <c r="Q709" s="11">
        <v>4.0999999999999996</v>
      </c>
      <c r="R709" s="7" t="b">
        <v>1</v>
      </c>
      <c r="S709" s="7" t="s">
        <v>30</v>
      </c>
      <c r="T709" s="6">
        <v>1972</v>
      </c>
      <c r="U709" s="7" t="s">
        <v>58</v>
      </c>
      <c r="V709" s="12" t="s">
        <v>39</v>
      </c>
      <c r="W709" s="7" t="s">
        <v>40</v>
      </c>
      <c r="X709" s="6">
        <f t="shared" si="47"/>
        <v>44</v>
      </c>
      <c r="Y709" t="str" cm="1">
        <f t="array" ref="Y709">_xlfn.IFS(E709=7.99,"BASIC",E709=11.99,"STANDARD",E709=15.99,"PREMIUM")</f>
        <v>STANDARD</v>
      </c>
      <c r="Z709" s="4">
        <f t="shared" si="45"/>
        <v>8.2727272727272734</v>
      </c>
      <c r="AA709" s="3" t="str" cm="1">
        <f t="array" ref="AA709">_xlfn.IFS(
(F709/(X709/7)) &lt; 5, "Casual",
AND((F709/(X709/7)) &gt;= 5, (F709/(X709/7)) &lt; 15), "Regular",
(F709/(X709/7)) &gt;= 15, "Power"
)</f>
        <v>Regular</v>
      </c>
      <c r="AB709" s="3">
        <f t="shared" si="44"/>
        <v>0.1015625</v>
      </c>
      <c r="AC709" t="str">
        <f t="shared" si="46"/>
        <v xml:space="preserve"> Browsers</v>
      </c>
    </row>
    <row r="710" spans="1:29" x14ac:dyDescent="0.3">
      <c r="A710" s="6">
        <v>3217</v>
      </c>
      <c r="B710" s="7" t="s">
        <v>140</v>
      </c>
      <c r="C710" s="10">
        <v>45420</v>
      </c>
      <c r="D710" s="10">
        <v>45642</v>
      </c>
      <c r="E710" s="13">
        <v>15.99</v>
      </c>
      <c r="F710" s="6">
        <v>297</v>
      </c>
      <c r="G710" s="7" t="s">
        <v>73</v>
      </c>
      <c r="H710" s="6">
        <v>5</v>
      </c>
      <c r="I710" s="6">
        <v>3</v>
      </c>
      <c r="J710" s="7" t="b">
        <v>0</v>
      </c>
      <c r="K710" s="6">
        <v>796</v>
      </c>
      <c r="L710" s="6">
        <v>200</v>
      </c>
      <c r="M710" s="7" t="s">
        <v>92</v>
      </c>
      <c r="N710" s="7" t="s">
        <v>75</v>
      </c>
      <c r="O710" s="7" t="s">
        <v>78</v>
      </c>
      <c r="P710" s="6">
        <v>36</v>
      </c>
      <c r="Q710" s="11">
        <v>3.1</v>
      </c>
      <c r="R710" s="7" t="b">
        <v>1</v>
      </c>
      <c r="S710" s="7" t="s">
        <v>30</v>
      </c>
      <c r="T710" s="6">
        <v>2132</v>
      </c>
      <c r="U710" s="7" t="s">
        <v>31</v>
      </c>
      <c r="V710" s="12" t="s">
        <v>79</v>
      </c>
      <c r="W710" s="7" t="s">
        <v>40</v>
      </c>
      <c r="X710" s="6">
        <f t="shared" si="47"/>
        <v>222</v>
      </c>
      <c r="Y710" t="str" cm="1">
        <f t="array" ref="Y710">_xlfn.IFS(E710=7.99,"BASIC",E710=11.99,"STANDARD",E710=15.99,"PREMIUM")</f>
        <v>PREMIUM</v>
      </c>
      <c r="Z710" s="4">
        <f t="shared" si="45"/>
        <v>9.3648648648648649</v>
      </c>
      <c r="AA710" s="3" t="str" cm="1">
        <f t="array" ref="AA710">_xlfn.IFS(
(F710/(X710/7)) &lt; 5, "Casual",
AND((F710/(X710/7)) &gt;= 5, (F710/(X710/7)) &lt; 15), "Regular",
(F710/(X710/7)) &gt;= 15, "Power"
)</f>
        <v>Regular</v>
      </c>
      <c r="AB710" s="3">
        <f t="shared" si="44"/>
        <v>0.29819277108433734</v>
      </c>
      <c r="AC710" t="str">
        <f t="shared" si="46"/>
        <v>Viewers</v>
      </c>
    </row>
    <row r="711" spans="1:29" x14ac:dyDescent="0.3">
      <c r="A711" s="6">
        <v>4234</v>
      </c>
      <c r="B711" s="7" t="s">
        <v>157</v>
      </c>
      <c r="C711" s="10">
        <v>44934</v>
      </c>
      <c r="D711" s="10">
        <v>45615</v>
      </c>
      <c r="E711" s="13">
        <v>15.99</v>
      </c>
      <c r="F711" s="6">
        <v>40</v>
      </c>
      <c r="G711" s="7" t="s">
        <v>51</v>
      </c>
      <c r="H711" s="6">
        <v>5</v>
      </c>
      <c r="I711" s="6">
        <v>1</v>
      </c>
      <c r="J711" s="7" t="b">
        <v>1</v>
      </c>
      <c r="K711" s="6">
        <v>841</v>
      </c>
      <c r="L711" s="6">
        <v>179</v>
      </c>
      <c r="M711" s="7" t="s">
        <v>68</v>
      </c>
      <c r="N711" s="7" t="s">
        <v>28</v>
      </c>
      <c r="O711" s="7" t="s">
        <v>37</v>
      </c>
      <c r="P711" s="6">
        <v>59</v>
      </c>
      <c r="Q711" s="11">
        <v>3.5</v>
      </c>
      <c r="R711" s="7" t="b">
        <v>1</v>
      </c>
      <c r="S711" s="7" t="s">
        <v>30</v>
      </c>
      <c r="T711" s="6">
        <v>2370</v>
      </c>
      <c r="U711" s="7" t="s">
        <v>58</v>
      </c>
      <c r="V711" s="12" t="s">
        <v>79</v>
      </c>
      <c r="W711" s="7" t="s">
        <v>93</v>
      </c>
      <c r="X711" s="6">
        <f t="shared" si="47"/>
        <v>681</v>
      </c>
      <c r="Y711" t="str" cm="1">
        <f t="array" ref="Y711">_xlfn.IFS(E711=7.99,"BASIC",E711=11.99,"STANDARD",E711=15.99,"PREMIUM")</f>
        <v>PREMIUM</v>
      </c>
      <c r="Z711" s="4">
        <f t="shared" si="45"/>
        <v>0.41116005873715122</v>
      </c>
      <c r="AA711" s="3" t="str" cm="1">
        <f t="array" ref="AA711">_xlfn.IFS(
(F711/(X711/7)) &lt; 5, "Casual",
AND((F711/(X711/7)) &gt;= 5, (F711/(X711/7)) &lt; 15), "Regular",
(F711/(X711/7)) &gt;= 15, "Power"
)</f>
        <v>Casual</v>
      </c>
      <c r="AB711" s="3">
        <f t="shared" si="44"/>
        <v>3.9215686274509803E-2</v>
      </c>
      <c r="AC711" t="str">
        <f t="shared" si="46"/>
        <v xml:space="preserve"> Browsers</v>
      </c>
    </row>
    <row r="712" spans="1:29" x14ac:dyDescent="0.3">
      <c r="A712" s="6">
        <v>1118</v>
      </c>
      <c r="B712" s="7" t="s">
        <v>240</v>
      </c>
      <c r="C712" s="10">
        <v>45329</v>
      </c>
      <c r="D712" s="10">
        <v>45637</v>
      </c>
      <c r="E712" s="13">
        <v>15.99</v>
      </c>
      <c r="F712" s="6">
        <v>379</v>
      </c>
      <c r="G712" s="7" t="s">
        <v>26</v>
      </c>
      <c r="H712" s="6">
        <v>2</v>
      </c>
      <c r="I712" s="6">
        <v>1</v>
      </c>
      <c r="J712" s="7" t="b">
        <v>1</v>
      </c>
      <c r="K712" s="6">
        <v>885</v>
      </c>
      <c r="L712" s="6">
        <v>110</v>
      </c>
      <c r="M712" s="7" t="s">
        <v>49</v>
      </c>
      <c r="N712" s="7" t="s">
        <v>44</v>
      </c>
      <c r="O712" s="7" t="s">
        <v>57</v>
      </c>
      <c r="P712" s="6">
        <v>43</v>
      </c>
      <c r="Q712" s="11">
        <v>4.2</v>
      </c>
      <c r="R712" s="7" t="b">
        <v>1</v>
      </c>
      <c r="S712" s="7" t="s">
        <v>30</v>
      </c>
      <c r="T712" s="6">
        <v>1312</v>
      </c>
      <c r="U712" s="7" t="s">
        <v>58</v>
      </c>
      <c r="V712" s="12" t="s">
        <v>79</v>
      </c>
      <c r="W712" s="7" t="s">
        <v>40</v>
      </c>
      <c r="X712" s="6">
        <f t="shared" si="47"/>
        <v>308</v>
      </c>
      <c r="Y712" t="str" cm="1">
        <f t="array" ref="Y712">_xlfn.IFS(E712=7.99,"BASIC",E712=11.99,"STANDARD",E712=15.99,"PREMIUM")</f>
        <v>PREMIUM</v>
      </c>
      <c r="Z712" s="4">
        <f t="shared" si="45"/>
        <v>8.6136363636363633</v>
      </c>
      <c r="AA712" s="3" t="str" cm="1">
        <f t="array" ref="AA712">_xlfn.IFS(
(F712/(X712/7)) &lt; 5, "Casual",
AND((F712/(X712/7)) &gt;= 5, (F712/(X712/7)) &lt; 15), "Regular",
(F712/(X712/7)) &gt;= 15, "Power"
)</f>
        <v>Regular</v>
      </c>
      <c r="AB712" s="3">
        <f t="shared" si="44"/>
        <v>0.38090452261306534</v>
      </c>
      <c r="AC712" t="str">
        <f t="shared" si="46"/>
        <v>Viewers</v>
      </c>
    </row>
    <row r="713" spans="1:29" x14ac:dyDescent="0.3">
      <c r="A713" s="6">
        <v>4027</v>
      </c>
      <c r="B713" s="7" t="s">
        <v>631</v>
      </c>
      <c r="C713" s="10">
        <v>45395</v>
      </c>
      <c r="D713" s="10">
        <v>45620</v>
      </c>
      <c r="E713" s="13">
        <v>15.99</v>
      </c>
      <c r="F713" s="6">
        <v>82</v>
      </c>
      <c r="G713" s="7" t="s">
        <v>63</v>
      </c>
      <c r="H713" s="6">
        <v>2</v>
      </c>
      <c r="I713" s="6">
        <v>3</v>
      </c>
      <c r="J713" s="7" t="b">
        <v>0</v>
      </c>
      <c r="K713" s="6">
        <v>999</v>
      </c>
      <c r="L713" s="6">
        <v>190</v>
      </c>
      <c r="M713" s="7" t="s">
        <v>92</v>
      </c>
      <c r="N713" s="7" t="s">
        <v>28</v>
      </c>
      <c r="O713" s="7" t="s">
        <v>57</v>
      </c>
      <c r="P713" s="6">
        <v>57</v>
      </c>
      <c r="Q713" s="11">
        <v>3.1</v>
      </c>
      <c r="R713" s="7" t="b">
        <v>1</v>
      </c>
      <c r="S713" s="7" t="s">
        <v>30</v>
      </c>
      <c r="T713" s="6">
        <v>4920</v>
      </c>
      <c r="U713" s="7" t="s">
        <v>76</v>
      </c>
      <c r="V713" s="12" t="s">
        <v>32</v>
      </c>
      <c r="W713" s="7" t="s">
        <v>93</v>
      </c>
      <c r="X713" s="6">
        <f t="shared" si="47"/>
        <v>225</v>
      </c>
      <c r="Y713" t="str" cm="1">
        <f t="array" ref="Y713">_xlfn.IFS(E713=7.99,"BASIC",E713=11.99,"STANDARD",E713=15.99,"PREMIUM")</f>
        <v>PREMIUM</v>
      </c>
      <c r="Z713" s="4">
        <f t="shared" si="45"/>
        <v>2.5511111111111107</v>
      </c>
      <c r="AA713" s="3" t="str" cm="1">
        <f t="array" ref="AA713">_xlfn.IFS(
(F713/(X713/7)) &lt; 5, "Casual",
AND((F713/(X713/7)) &gt;= 5, (F713/(X713/7)) &lt; 15), "Regular",
(F713/(X713/7)) &gt;= 15, "Power"
)</f>
        <v>Casual</v>
      </c>
      <c r="AB713" s="3">
        <f t="shared" ref="AB713:AB776" si="48">(F713/(K713+L713))</f>
        <v>6.8965517241379309E-2</v>
      </c>
      <c r="AC713" t="str">
        <f t="shared" si="46"/>
        <v xml:space="preserve"> Browsers</v>
      </c>
    </row>
    <row r="714" spans="1:29" x14ac:dyDescent="0.3">
      <c r="A714" s="6">
        <v>8451</v>
      </c>
      <c r="B714" s="7" t="s">
        <v>637</v>
      </c>
      <c r="C714" s="10">
        <v>44987</v>
      </c>
      <c r="D714" s="10">
        <v>45619</v>
      </c>
      <c r="E714" s="13">
        <v>11.99</v>
      </c>
      <c r="F714" s="6">
        <v>192</v>
      </c>
      <c r="G714" s="7" t="s">
        <v>26</v>
      </c>
      <c r="H714" s="6">
        <v>3</v>
      </c>
      <c r="I714" s="6">
        <v>3</v>
      </c>
      <c r="J714" s="7" t="b">
        <v>0</v>
      </c>
      <c r="K714" s="6">
        <v>585</v>
      </c>
      <c r="L714" s="6">
        <v>82</v>
      </c>
      <c r="M714" s="7" t="s">
        <v>74</v>
      </c>
      <c r="N714" s="7" t="s">
        <v>75</v>
      </c>
      <c r="O714" s="7" t="s">
        <v>29</v>
      </c>
      <c r="P714" s="6">
        <v>59</v>
      </c>
      <c r="Q714" s="11">
        <v>4.0999999999999996</v>
      </c>
      <c r="R714" s="7" t="b">
        <v>1</v>
      </c>
      <c r="S714" s="7" t="s">
        <v>30</v>
      </c>
      <c r="T714" s="6">
        <v>2897</v>
      </c>
      <c r="U714" s="7" t="s">
        <v>58</v>
      </c>
      <c r="V714" s="12" t="s">
        <v>69</v>
      </c>
      <c r="W714" s="7" t="s">
        <v>60</v>
      </c>
      <c r="X714" s="6">
        <f t="shared" si="47"/>
        <v>632</v>
      </c>
      <c r="Y714" t="str" cm="1">
        <f t="array" ref="Y714">_xlfn.IFS(E714=7.99,"BASIC",E714=11.99,"STANDARD",E714=15.99,"PREMIUM")</f>
        <v>STANDARD</v>
      </c>
      <c r="Z714" s="4">
        <f t="shared" si="45"/>
        <v>2.1265822784810124</v>
      </c>
      <c r="AA714" s="3" t="str" cm="1">
        <f t="array" ref="AA714">_xlfn.IFS(
(F714/(X714/7)) &lt; 5, "Casual",
AND((F714/(X714/7)) &gt;= 5, (F714/(X714/7)) &lt; 15), "Regular",
(F714/(X714/7)) &gt;= 15, "Power"
)</f>
        <v>Casual</v>
      </c>
      <c r="AB714" s="3">
        <f t="shared" si="48"/>
        <v>0.28785607196401797</v>
      </c>
      <c r="AC714" t="str">
        <f t="shared" si="46"/>
        <v>Viewers</v>
      </c>
    </row>
    <row r="715" spans="1:29" x14ac:dyDescent="0.3">
      <c r="A715" s="6">
        <v>6647</v>
      </c>
      <c r="B715" s="7" t="s">
        <v>88</v>
      </c>
      <c r="C715" s="10">
        <v>45584</v>
      </c>
      <c r="D715" s="10">
        <v>45625</v>
      </c>
      <c r="E715" s="13">
        <v>15.99</v>
      </c>
      <c r="F715" s="6">
        <v>286</v>
      </c>
      <c r="G715" s="7" t="s">
        <v>36</v>
      </c>
      <c r="H715" s="6">
        <v>5</v>
      </c>
      <c r="I715" s="6">
        <v>2</v>
      </c>
      <c r="J715" s="7" t="b">
        <v>0</v>
      </c>
      <c r="K715" s="6">
        <v>617</v>
      </c>
      <c r="L715" s="6">
        <v>89</v>
      </c>
      <c r="M715" s="7" t="s">
        <v>43</v>
      </c>
      <c r="N715" s="7" t="s">
        <v>28</v>
      </c>
      <c r="O715" s="7" t="s">
        <v>37</v>
      </c>
      <c r="P715" s="6">
        <v>64</v>
      </c>
      <c r="Q715" s="11">
        <v>3.2</v>
      </c>
      <c r="R715" s="7" t="b">
        <v>1</v>
      </c>
      <c r="S715" s="7" t="s">
        <v>30</v>
      </c>
      <c r="T715" s="6">
        <v>1275</v>
      </c>
      <c r="U715" s="7" t="s">
        <v>31</v>
      </c>
      <c r="V715" s="12" t="s">
        <v>69</v>
      </c>
      <c r="W715" s="7" t="s">
        <v>93</v>
      </c>
      <c r="X715" s="6">
        <f t="shared" si="47"/>
        <v>41</v>
      </c>
      <c r="Y715" t="str" cm="1">
        <f t="array" ref="Y715">_xlfn.IFS(E715=7.99,"BASIC",E715=11.99,"STANDARD",E715=15.99,"PREMIUM")</f>
        <v>PREMIUM</v>
      </c>
      <c r="Z715" s="4">
        <f t="shared" si="45"/>
        <v>48.829268292682933</v>
      </c>
      <c r="AA715" s="3" t="str" cm="1">
        <f t="array" ref="AA715">_xlfn.IFS(
(F715/(X715/7)) &lt; 5, "Casual",
AND((F715/(X715/7)) &gt;= 5, (F715/(X715/7)) &lt; 15), "Regular",
(F715/(X715/7)) &gt;= 15, "Power"
)</f>
        <v>Power</v>
      </c>
      <c r="AB715" s="3">
        <f t="shared" si="48"/>
        <v>0.40509915014164305</v>
      </c>
      <c r="AC715" t="str">
        <f t="shared" si="46"/>
        <v>Viewers</v>
      </c>
    </row>
    <row r="716" spans="1:29" x14ac:dyDescent="0.3">
      <c r="A716" s="6">
        <v>4002</v>
      </c>
      <c r="B716" s="7" t="s">
        <v>441</v>
      </c>
      <c r="C716" s="10">
        <v>45389</v>
      </c>
      <c r="D716" s="10">
        <v>45637</v>
      </c>
      <c r="E716" s="13">
        <v>11.99</v>
      </c>
      <c r="F716" s="6">
        <v>452</v>
      </c>
      <c r="G716" s="7" t="s">
        <v>63</v>
      </c>
      <c r="H716" s="6">
        <v>2</v>
      </c>
      <c r="I716" s="6">
        <v>6</v>
      </c>
      <c r="J716" s="7" t="b">
        <v>0</v>
      </c>
      <c r="K716" s="6">
        <v>196</v>
      </c>
      <c r="L716" s="6">
        <v>132</v>
      </c>
      <c r="M716" s="7" t="s">
        <v>92</v>
      </c>
      <c r="N716" s="7" t="s">
        <v>75</v>
      </c>
      <c r="O716" s="7" t="s">
        <v>57</v>
      </c>
      <c r="P716" s="6">
        <v>84</v>
      </c>
      <c r="Q716" s="11">
        <v>3.7</v>
      </c>
      <c r="R716" s="7" t="b">
        <v>1</v>
      </c>
      <c r="S716" s="7" t="s">
        <v>30</v>
      </c>
      <c r="T716" s="6">
        <v>340</v>
      </c>
      <c r="U716" s="7" t="s">
        <v>76</v>
      </c>
      <c r="V716" s="12" t="s">
        <v>59</v>
      </c>
      <c r="W716" s="7" t="s">
        <v>40</v>
      </c>
      <c r="X716" s="6">
        <f t="shared" si="47"/>
        <v>248</v>
      </c>
      <c r="Y716" t="str" cm="1">
        <f t="array" ref="Y716">_xlfn.IFS(E716=7.99,"BASIC",E716=11.99,"STANDARD",E716=15.99,"PREMIUM")</f>
        <v>STANDARD</v>
      </c>
      <c r="Z716" s="4">
        <f t="shared" si="45"/>
        <v>12.758064516129032</v>
      </c>
      <c r="AA716" s="3" t="str" cm="1">
        <f t="array" ref="AA716">_xlfn.IFS(
(F716/(X716/7)) &lt; 5, "Casual",
AND((F716/(X716/7)) &gt;= 5, (F716/(X716/7)) &lt; 15), "Regular",
(F716/(X716/7)) &gt;= 15, "Power"
)</f>
        <v>Regular</v>
      </c>
      <c r="AB716" s="3">
        <f t="shared" si="48"/>
        <v>1.3780487804878048</v>
      </c>
      <c r="AC716" t="str">
        <f t="shared" si="46"/>
        <v>Viewers</v>
      </c>
    </row>
    <row r="717" spans="1:29" x14ac:dyDescent="0.3">
      <c r="A717" s="6">
        <v>6910</v>
      </c>
      <c r="B717" s="7" t="s">
        <v>347</v>
      </c>
      <c r="C717" s="10">
        <v>44988</v>
      </c>
      <c r="D717" s="10">
        <v>45623</v>
      </c>
      <c r="E717" s="13">
        <v>7.99</v>
      </c>
      <c r="F717" s="6">
        <v>417</v>
      </c>
      <c r="G717" s="7" t="s">
        <v>63</v>
      </c>
      <c r="H717" s="6">
        <v>4</v>
      </c>
      <c r="I717" s="6">
        <v>5</v>
      </c>
      <c r="J717" s="7" t="b">
        <v>0</v>
      </c>
      <c r="K717" s="6">
        <v>792</v>
      </c>
      <c r="L717" s="6">
        <v>187</v>
      </c>
      <c r="M717" s="7" t="s">
        <v>92</v>
      </c>
      <c r="N717" s="7" t="s">
        <v>75</v>
      </c>
      <c r="O717" s="7" t="s">
        <v>64</v>
      </c>
      <c r="P717" s="6">
        <v>5</v>
      </c>
      <c r="Q717" s="11">
        <v>4.5999999999999996</v>
      </c>
      <c r="R717" s="7" t="b">
        <v>1</v>
      </c>
      <c r="S717" s="7" t="s">
        <v>30</v>
      </c>
      <c r="T717" s="6">
        <v>444</v>
      </c>
      <c r="U717" s="7" t="s">
        <v>58</v>
      </c>
      <c r="V717" s="12" t="s">
        <v>39</v>
      </c>
      <c r="W717" s="7" t="s">
        <v>93</v>
      </c>
      <c r="X717" s="6">
        <f t="shared" si="47"/>
        <v>635</v>
      </c>
      <c r="Y717" t="str" cm="1">
        <f t="array" ref="Y717">_xlfn.IFS(E717=7.99,"BASIC",E717=11.99,"STANDARD",E717=15.99,"PREMIUM")</f>
        <v>BASIC</v>
      </c>
      <c r="Z717" s="4">
        <f t="shared" si="45"/>
        <v>4.5968503937007874</v>
      </c>
      <c r="AA717" s="3" t="str" cm="1">
        <f t="array" ref="AA717">_xlfn.IFS(
(F717/(X717/7)) &lt; 5, "Casual",
AND((F717/(X717/7)) &gt;= 5, (F717/(X717/7)) &lt; 15), "Regular",
(F717/(X717/7)) &gt;= 15, "Power"
)</f>
        <v>Casual</v>
      </c>
      <c r="AB717" s="3">
        <f t="shared" si="48"/>
        <v>0.42594484167517876</v>
      </c>
      <c r="AC717" t="str">
        <f t="shared" si="46"/>
        <v>Viewers</v>
      </c>
    </row>
    <row r="718" spans="1:29" x14ac:dyDescent="0.3">
      <c r="A718" s="6">
        <v>3164</v>
      </c>
      <c r="B718" s="7" t="s">
        <v>325</v>
      </c>
      <c r="C718" s="10">
        <v>45191</v>
      </c>
      <c r="D718" s="10">
        <v>45639</v>
      </c>
      <c r="E718" s="13">
        <v>15.99</v>
      </c>
      <c r="F718" s="6">
        <v>371</v>
      </c>
      <c r="G718" s="7" t="s">
        <v>73</v>
      </c>
      <c r="H718" s="6">
        <v>1</v>
      </c>
      <c r="I718" s="6">
        <v>5</v>
      </c>
      <c r="J718" s="7" t="b">
        <v>1</v>
      </c>
      <c r="K718" s="6">
        <v>466</v>
      </c>
      <c r="L718" s="6">
        <v>176</v>
      </c>
      <c r="M718" s="7" t="s">
        <v>43</v>
      </c>
      <c r="N718" s="7" t="s">
        <v>75</v>
      </c>
      <c r="O718" s="7" t="s">
        <v>29</v>
      </c>
      <c r="P718" s="6">
        <v>73</v>
      </c>
      <c r="Q718" s="11">
        <v>4.9000000000000004</v>
      </c>
      <c r="R718" s="7" t="b">
        <v>0</v>
      </c>
      <c r="S718" s="7" t="s">
        <v>30</v>
      </c>
      <c r="T718" s="6">
        <v>292</v>
      </c>
      <c r="U718" s="7" t="s">
        <v>38</v>
      </c>
      <c r="V718" s="12" t="s">
        <v>39</v>
      </c>
      <c r="W718" s="7" t="s">
        <v>60</v>
      </c>
      <c r="X718" s="6">
        <f t="shared" si="47"/>
        <v>448</v>
      </c>
      <c r="Y718" t="str" cm="1">
        <f t="array" ref="Y718">_xlfn.IFS(E718=7.99,"BASIC",E718=11.99,"STANDARD",E718=15.99,"PREMIUM")</f>
        <v>PREMIUM</v>
      </c>
      <c r="Z718" s="4">
        <f t="shared" si="45"/>
        <v>5.796875</v>
      </c>
      <c r="AA718" s="3" t="str" cm="1">
        <f t="array" ref="AA718">_xlfn.IFS(
(F718/(X718/7)) &lt; 5, "Casual",
AND((F718/(X718/7)) &gt;= 5, (F718/(X718/7)) &lt; 15), "Regular",
(F718/(X718/7)) &gt;= 15, "Power"
)</f>
        <v>Regular</v>
      </c>
      <c r="AB718" s="3">
        <f t="shared" si="48"/>
        <v>0.57788161993769471</v>
      </c>
      <c r="AC718" t="str">
        <f t="shared" si="46"/>
        <v>Viewers</v>
      </c>
    </row>
    <row r="719" spans="1:29" x14ac:dyDescent="0.3">
      <c r="A719" s="6">
        <v>2400</v>
      </c>
      <c r="B719" s="7" t="s">
        <v>138</v>
      </c>
      <c r="C719" s="10">
        <v>45239</v>
      </c>
      <c r="D719" s="10">
        <v>45638</v>
      </c>
      <c r="E719" s="13">
        <v>15.99</v>
      </c>
      <c r="F719" s="6">
        <v>110</v>
      </c>
      <c r="G719" s="7" t="s">
        <v>63</v>
      </c>
      <c r="H719" s="6">
        <v>2</v>
      </c>
      <c r="I719" s="6">
        <v>5</v>
      </c>
      <c r="J719" s="7" t="b">
        <v>1</v>
      </c>
      <c r="K719" s="6">
        <v>684</v>
      </c>
      <c r="L719" s="6">
        <v>32</v>
      </c>
      <c r="M719" s="7" t="s">
        <v>49</v>
      </c>
      <c r="N719" s="7" t="s">
        <v>28</v>
      </c>
      <c r="O719" s="7" t="s">
        <v>78</v>
      </c>
      <c r="P719" s="6">
        <v>68</v>
      </c>
      <c r="Q719" s="11">
        <v>4</v>
      </c>
      <c r="R719" s="7" t="b">
        <v>0</v>
      </c>
      <c r="S719" s="7" t="s">
        <v>30</v>
      </c>
      <c r="T719" s="6">
        <v>53</v>
      </c>
      <c r="U719" s="7" t="s">
        <v>65</v>
      </c>
      <c r="V719" s="12" t="s">
        <v>39</v>
      </c>
      <c r="W719" s="7" t="s">
        <v>33</v>
      </c>
      <c r="X719" s="6">
        <f t="shared" si="47"/>
        <v>399</v>
      </c>
      <c r="Y719" t="str" cm="1">
        <f t="array" ref="Y719">_xlfn.IFS(E719=7.99,"BASIC",E719=11.99,"STANDARD",E719=15.99,"PREMIUM")</f>
        <v>PREMIUM</v>
      </c>
      <c r="Z719" s="4">
        <f t="shared" si="45"/>
        <v>1.9298245614035088</v>
      </c>
      <c r="AA719" s="3" t="str" cm="1">
        <f t="array" ref="AA719">_xlfn.IFS(
(F719/(X719/7)) &lt; 5, "Casual",
AND((F719/(X719/7)) &gt;= 5, (F719/(X719/7)) &lt; 15), "Regular",
(F719/(X719/7)) &gt;= 15, "Power"
)</f>
        <v>Casual</v>
      </c>
      <c r="AB719" s="3">
        <f t="shared" si="48"/>
        <v>0.15363128491620112</v>
      </c>
      <c r="AC719" t="str">
        <f t="shared" si="46"/>
        <v>Viewers</v>
      </c>
    </row>
    <row r="720" spans="1:29" x14ac:dyDescent="0.3">
      <c r="A720" s="6">
        <v>5499</v>
      </c>
      <c r="B720" s="7" t="s">
        <v>404</v>
      </c>
      <c r="C720" s="10">
        <v>45101</v>
      </c>
      <c r="D720" s="10">
        <v>45628</v>
      </c>
      <c r="E720" s="13">
        <v>15.99</v>
      </c>
      <c r="F720" s="6">
        <v>274</v>
      </c>
      <c r="G720" s="7" t="s">
        <v>63</v>
      </c>
      <c r="H720" s="6">
        <v>2</v>
      </c>
      <c r="I720" s="6">
        <v>1</v>
      </c>
      <c r="J720" s="7" t="b">
        <v>1</v>
      </c>
      <c r="K720" s="6">
        <v>155</v>
      </c>
      <c r="L720" s="6">
        <v>94</v>
      </c>
      <c r="M720" s="7" t="s">
        <v>49</v>
      </c>
      <c r="N720" s="7" t="s">
        <v>44</v>
      </c>
      <c r="O720" s="7" t="s">
        <v>37</v>
      </c>
      <c r="P720" s="6">
        <v>96</v>
      </c>
      <c r="Q720" s="11">
        <v>3.5</v>
      </c>
      <c r="R720" s="7" t="b">
        <v>0</v>
      </c>
      <c r="S720" s="7" t="s">
        <v>30</v>
      </c>
      <c r="T720" s="6">
        <v>1638</v>
      </c>
      <c r="U720" s="7" t="s">
        <v>38</v>
      </c>
      <c r="V720" s="12" t="s">
        <v>32</v>
      </c>
      <c r="W720" s="7" t="s">
        <v>40</v>
      </c>
      <c r="X720" s="6">
        <f t="shared" si="47"/>
        <v>527</v>
      </c>
      <c r="Y720" t="str" cm="1">
        <f t="array" ref="Y720">_xlfn.IFS(E720=7.99,"BASIC",E720=11.99,"STANDARD",E720=15.99,"PREMIUM")</f>
        <v>PREMIUM</v>
      </c>
      <c r="Z720" s="4">
        <f t="shared" si="45"/>
        <v>3.639468690702087</v>
      </c>
      <c r="AA720" s="3" t="str" cm="1">
        <f t="array" ref="AA720">_xlfn.IFS(
(F720/(X720/7)) &lt; 5, "Casual",
AND((F720/(X720/7)) &gt;= 5, (F720/(X720/7)) &lt; 15), "Regular",
(F720/(X720/7)) &gt;= 15, "Power"
)</f>
        <v>Casual</v>
      </c>
      <c r="AB720" s="3">
        <f t="shared" si="48"/>
        <v>1.1004016064257027</v>
      </c>
      <c r="AC720" t="str">
        <f t="shared" si="46"/>
        <v>Viewers</v>
      </c>
    </row>
    <row r="721" spans="1:30" x14ac:dyDescent="0.3">
      <c r="A721" s="6">
        <v>7221</v>
      </c>
      <c r="B721" s="7" t="s">
        <v>367</v>
      </c>
      <c r="C721" s="10">
        <v>45366</v>
      </c>
      <c r="D721" s="10">
        <v>45621</v>
      </c>
      <c r="E721" s="13">
        <v>15.99</v>
      </c>
      <c r="F721" s="6">
        <v>412</v>
      </c>
      <c r="G721" s="7" t="s">
        <v>48</v>
      </c>
      <c r="H721" s="6">
        <v>2</v>
      </c>
      <c r="I721" s="6">
        <v>5</v>
      </c>
      <c r="J721" s="7" t="b">
        <v>1</v>
      </c>
      <c r="K721" s="6">
        <v>450</v>
      </c>
      <c r="L721" s="6">
        <v>147</v>
      </c>
      <c r="M721" s="7" t="s">
        <v>68</v>
      </c>
      <c r="N721" s="7" t="s">
        <v>44</v>
      </c>
      <c r="O721" s="7" t="s">
        <v>29</v>
      </c>
      <c r="P721" s="6">
        <v>11</v>
      </c>
      <c r="Q721" s="11">
        <v>4.4000000000000004</v>
      </c>
      <c r="R721" s="7" t="b">
        <v>1</v>
      </c>
      <c r="S721" s="7" t="s">
        <v>30</v>
      </c>
      <c r="T721" s="6">
        <v>3542</v>
      </c>
      <c r="U721" s="7" t="s">
        <v>76</v>
      </c>
      <c r="V721" s="12" t="s">
        <v>39</v>
      </c>
      <c r="W721" s="7" t="s">
        <v>33</v>
      </c>
      <c r="X721" s="6">
        <f t="shared" si="47"/>
        <v>255</v>
      </c>
      <c r="Y721" t="str" cm="1">
        <f t="array" ref="Y721">_xlfn.IFS(E721=7.99,"BASIC",E721=11.99,"STANDARD",E721=15.99,"PREMIUM")</f>
        <v>PREMIUM</v>
      </c>
      <c r="Z721" s="4">
        <f t="shared" si="45"/>
        <v>11.309803921568626</v>
      </c>
      <c r="AA721" s="3" t="str" cm="1">
        <f t="array" ref="AA721">_xlfn.IFS(
(F721/(X721/7)) &lt; 5, "Casual",
AND((F721/(X721/7)) &gt;= 5, (F721/(X721/7)) &lt; 15), "Regular",
(F721/(X721/7)) &gt;= 15, "Power"
)</f>
        <v>Regular</v>
      </c>
      <c r="AB721" s="3">
        <f t="shared" si="48"/>
        <v>0.69011725293132331</v>
      </c>
      <c r="AC721" t="str">
        <f t="shared" si="46"/>
        <v>Viewers</v>
      </c>
    </row>
    <row r="722" spans="1:30" x14ac:dyDescent="0.3">
      <c r="A722" s="6">
        <v>4556</v>
      </c>
      <c r="B722" s="7" t="s">
        <v>120</v>
      </c>
      <c r="C722" s="10">
        <v>44967</v>
      </c>
      <c r="D722" s="10">
        <v>45625</v>
      </c>
      <c r="E722" s="13">
        <v>11.99</v>
      </c>
      <c r="F722" s="6">
        <v>341</v>
      </c>
      <c r="G722" s="7" t="s">
        <v>100</v>
      </c>
      <c r="H722" s="6">
        <v>4</v>
      </c>
      <c r="I722" s="6">
        <v>1</v>
      </c>
      <c r="J722" s="7" t="b">
        <v>1</v>
      </c>
      <c r="K722" s="6">
        <v>744</v>
      </c>
      <c r="L722" s="6">
        <v>146</v>
      </c>
      <c r="M722" s="7" t="s">
        <v>68</v>
      </c>
      <c r="N722" s="7" t="s">
        <v>28</v>
      </c>
      <c r="O722" s="7" t="s">
        <v>64</v>
      </c>
      <c r="P722" s="6">
        <v>75</v>
      </c>
      <c r="Q722" s="11">
        <v>4.4000000000000004</v>
      </c>
      <c r="R722" s="7" t="b">
        <v>0</v>
      </c>
      <c r="S722" s="7" t="s">
        <v>30</v>
      </c>
      <c r="T722" s="6">
        <v>4935</v>
      </c>
      <c r="U722" s="7" t="s">
        <v>58</v>
      </c>
      <c r="V722" s="12" t="s">
        <v>32</v>
      </c>
      <c r="W722" s="7" t="s">
        <v>60</v>
      </c>
      <c r="X722" s="6">
        <f t="shared" si="47"/>
        <v>658</v>
      </c>
      <c r="Y722" t="str" cm="1">
        <f t="array" ref="Y722">_xlfn.IFS(E722=7.99,"BASIC",E722=11.99,"STANDARD",E722=15.99,"PREMIUM")</f>
        <v>STANDARD</v>
      </c>
      <c r="Z722" s="4">
        <f t="shared" si="45"/>
        <v>3.6276595744680851</v>
      </c>
      <c r="AA722" s="3" t="str" cm="1">
        <f t="array" ref="AA722">_xlfn.IFS(
(F722/(X722/7)) &lt; 5, "Casual",
AND((F722/(X722/7)) &gt;= 5, (F722/(X722/7)) &lt; 15), "Regular",
(F722/(X722/7)) &gt;= 15, "Power"
)</f>
        <v>Casual</v>
      </c>
      <c r="AB722" s="3">
        <f t="shared" si="48"/>
        <v>0.38314606741573032</v>
      </c>
      <c r="AC722" t="str">
        <f t="shared" si="46"/>
        <v>Viewers</v>
      </c>
    </row>
    <row r="723" spans="1:30" x14ac:dyDescent="0.3">
      <c r="A723" s="6">
        <v>7175</v>
      </c>
      <c r="B723" s="7" t="s">
        <v>517</v>
      </c>
      <c r="C723" s="10">
        <v>45609</v>
      </c>
      <c r="D723" s="10">
        <v>45641</v>
      </c>
      <c r="E723" s="13">
        <v>11.99</v>
      </c>
      <c r="F723" s="6">
        <v>388</v>
      </c>
      <c r="G723" s="7" t="s">
        <v>100</v>
      </c>
      <c r="H723" s="6">
        <v>3</v>
      </c>
      <c r="I723" s="6">
        <v>6</v>
      </c>
      <c r="J723" s="7" t="b">
        <v>0</v>
      </c>
      <c r="K723" s="6">
        <v>51</v>
      </c>
      <c r="L723" s="6">
        <v>27</v>
      </c>
      <c r="M723" s="7" t="s">
        <v>43</v>
      </c>
      <c r="N723" s="7" t="s">
        <v>44</v>
      </c>
      <c r="O723" s="7" t="s">
        <v>37</v>
      </c>
      <c r="P723" s="6">
        <v>66</v>
      </c>
      <c r="Q723" s="11">
        <v>3.2</v>
      </c>
      <c r="R723" s="7" t="b">
        <v>1</v>
      </c>
      <c r="S723" s="7" t="s">
        <v>30</v>
      </c>
      <c r="T723" s="6">
        <v>1216</v>
      </c>
      <c r="U723" s="7" t="s">
        <v>65</v>
      </c>
      <c r="V723" s="12" t="s">
        <v>79</v>
      </c>
      <c r="W723" s="7" t="s">
        <v>93</v>
      </c>
      <c r="X723" s="6">
        <f t="shared" si="47"/>
        <v>32</v>
      </c>
      <c r="Y723" t="str" cm="1">
        <f t="array" ref="Y723">_xlfn.IFS(E723=7.99,"BASIC",E723=11.99,"STANDARD",E723=15.99,"PREMIUM")</f>
        <v>STANDARD</v>
      </c>
      <c r="Z723" s="4">
        <f t="shared" si="45"/>
        <v>84.875</v>
      </c>
      <c r="AA723" s="3" t="str" cm="1">
        <f t="array" ref="AA723">_xlfn.IFS(
(F723/(X723/7)) &lt; 5, "Casual",
AND((F723/(X723/7)) &gt;= 5, (F723/(X723/7)) &lt; 15), "Regular",
(F723/(X723/7)) &gt;= 15, "Power"
)</f>
        <v>Power</v>
      </c>
      <c r="AB723" s="3">
        <f t="shared" si="48"/>
        <v>4.9743589743589745</v>
      </c>
      <c r="AC723" t="str">
        <f t="shared" si="46"/>
        <v>Viewers</v>
      </c>
    </row>
    <row r="724" spans="1:30" x14ac:dyDescent="0.3">
      <c r="A724" s="6">
        <v>7072</v>
      </c>
      <c r="B724" s="7" t="s">
        <v>592</v>
      </c>
      <c r="C724" s="10">
        <v>44964</v>
      </c>
      <c r="D724" s="10">
        <v>45615</v>
      </c>
      <c r="E724" s="13">
        <v>15.99</v>
      </c>
      <c r="F724" s="6">
        <v>446</v>
      </c>
      <c r="G724" s="7" t="s">
        <v>48</v>
      </c>
      <c r="H724" s="6">
        <v>1</v>
      </c>
      <c r="I724" s="6">
        <v>4</v>
      </c>
      <c r="J724" s="7" t="b">
        <v>1</v>
      </c>
      <c r="K724" s="6">
        <v>897</v>
      </c>
      <c r="L724" s="6">
        <v>19</v>
      </c>
      <c r="M724" s="7" t="s">
        <v>74</v>
      </c>
      <c r="N724" s="7" t="s">
        <v>28</v>
      </c>
      <c r="O724" s="7" t="s">
        <v>64</v>
      </c>
      <c r="P724" s="6">
        <v>14</v>
      </c>
      <c r="Q724" s="11">
        <v>3.5</v>
      </c>
      <c r="R724" s="7" t="b">
        <v>1</v>
      </c>
      <c r="S724" s="7" t="s">
        <v>30</v>
      </c>
      <c r="T724" s="6">
        <v>4409</v>
      </c>
      <c r="U724" s="7" t="s">
        <v>38</v>
      </c>
      <c r="V724" s="12" t="s">
        <v>39</v>
      </c>
      <c r="W724" s="7" t="s">
        <v>33</v>
      </c>
      <c r="X724" s="6">
        <f t="shared" si="47"/>
        <v>651</v>
      </c>
      <c r="Y724" t="str" cm="1">
        <f t="array" ref="Y724">_xlfn.IFS(E724=7.99,"BASIC",E724=11.99,"STANDARD",E724=15.99,"PREMIUM")</f>
        <v>PREMIUM</v>
      </c>
      <c r="Z724" s="4">
        <f t="shared" si="45"/>
        <v>4.795698924731183</v>
      </c>
      <c r="AA724" s="3" t="str" cm="1">
        <f t="array" ref="AA724">_xlfn.IFS(
(F724/(X724/7)) &lt; 5, "Casual",
AND((F724/(X724/7)) &gt;= 5, (F724/(X724/7)) &lt; 15), "Regular",
(F724/(X724/7)) &gt;= 15, "Power"
)</f>
        <v>Casual</v>
      </c>
      <c r="AB724" s="3">
        <f t="shared" si="48"/>
        <v>0.48689956331877732</v>
      </c>
      <c r="AC724" t="str">
        <f t="shared" si="46"/>
        <v>Viewers</v>
      </c>
    </row>
    <row r="725" spans="1:30" x14ac:dyDescent="0.3">
      <c r="A725" s="6">
        <v>4320</v>
      </c>
      <c r="B725" s="7" t="s">
        <v>307</v>
      </c>
      <c r="C725" s="10">
        <v>45292</v>
      </c>
      <c r="D725" s="10">
        <v>45643</v>
      </c>
      <c r="E725" s="13">
        <v>15.99</v>
      </c>
      <c r="F725" s="6">
        <v>223</v>
      </c>
      <c r="G725" s="7" t="s">
        <v>26</v>
      </c>
      <c r="H725" s="6">
        <v>5</v>
      </c>
      <c r="I725" s="6">
        <v>3</v>
      </c>
      <c r="J725" s="7" t="b">
        <v>1</v>
      </c>
      <c r="K725" s="6">
        <v>499</v>
      </c>
      <c r="L725" s="6">
        <v>124</v>
      </c>
      <c r="M725" s="7" t="s">
        <v>43</v>
      </c>
      <c r="N725" s="7" t="s">
        <v>28</v>
      </c>
      <c r="O725" s="7" t="s">
        <v>37</v>
      </c>
      <c r="P725" s="6">
        <v>78</v>
      </c>
      <c r="Q725" s="11">
        <v>4.7</v>
      </c>
      <c r="R725" s="7" t="b">
        <v>1</v>
      </c>
      <c r="S725" s="7" t="s">
        <v>30</v>
      </c>
      <c r="T725" s="6">
        <v>2853</v>
      </c>
      <c r="U725" s="7" t="s">
        <v>65</v>
      </c>
      <c r="V725" s="12" t="s">
        <v>69</v>
      </c>
      <c r="W725" s="7" t="s">
        <v>60</v>
      </c>
      <c r="X725" s="6">
        <f t="shared" si="47"/>
        <v>351</v>
      </c>
      <c r="Y725" t="str" cm="1">
        <f t="array" ref="Y725">_xlfn.IFS(E725=7.99,"BASIC",E725=11.99,"STANDARD",E725=15.99,"PREMIUM")</f>
        <v>PREMIUM</v>
      </c>
      <c r="Z725" s="4">
        <f t="shared" si="45"/>
        <v>4.4472934472934469</v>
      </c>
      <c r="AA725" s="3" t="str" cm="1">
        <f t="array" ref="AA725">_xlfn.IFS(
(F725/(X725/7)) &lt; 5, "Casual",
AND((F725/(X725/7)) &gt;= 5, (F725/(X725/7)) &lt; 15), "Regular",
(F725/(X725/7)) &gt;= 15, "Power"
)</f>
        <v>Casual</v>
      </c>
      <c r="AB725" s="3">
        <f t="shared" si="48"/>
        <v>0.3579454253611557</v>
      </c>
      <c r="AC725" t="str">
        <f t="shared" si="46"/>
        <v>Viewers</v>
      </c>
    </row>
    <row r="726" spans="1:30" x14ac:dyDescent="0.3">
      <c r="A726" s="6">
        <v>3558</v>
      </c>
      <c r="B726" s="7" t="s">
        <v>640</v>
      </c>
      <c r="C726" s="10">
        <v>45292</v>
      </c>
      <c r="D726" s="10">
        <v>45642</v>
      </c>
      <c r="E726" s="13">
        <v>15.99</v>
      </c>
      <c r="F726" s="6">
        <v>417</v>
      </c>
      <c r="G726" s="7" t="s">
        <v>48</v>
      </c>
      <c r="H726" s="6">
        <v>5</v>
      </c>
      <c r="I726" s="6">
        <v>4</v>
      </c>
      <c r="J726" s="7" t="b">
        <v>0</v>
      </c>
      <c r="K726" s="6">
        <v>179</v>
      </c>
      <c r="L726" s="6">
        <v>29</v>
      </c>
      <c r="M726" s="7" t="s">
        <v>43</v>
      </c>
      <c r="N726" s="7" t="s">
        <v>56</v>
      </c>
      <c r="O726" s="7" t="s">
        <v>45</v>
      </c>
      <c r="P726" s="6">
        <v>84</v>
      </c>
      <c r="Q726" s="11">
        <v>4.5</v>
      </c>
      <c r="R726" s="7" t="b">
        <v>0</v>
      </c>
      <c r="S726" s="7" t="s">
        <v>30</v>
      </c>
      <c r="T726" s="6">
        <v>1252</v>
      </c>
      <c r="U726" s="7" t="s">
        <v>58</v>
      </c>
      <c r="V726" s="12" t="s">
        <v>32</v>
      </c>
      <c r="W726" s="7" t="s">
        <v>40</v>
      </c>
      <c r="X726" s="6">
        <f t="shared" si="47"/>
        <v>350</v>
      </c>
      <c r="Y726" t="str" cm="1">
        <f t="array" ref="Y726">_xlfn.IFS(E726=7.99,"BASIC",E726=11.99,"STANDARD",E726=15.99,"PREMIUM")</f>
        <v>PREMIUM</v>
      </c>
      <c r="Z726" s="4">
        <f t="shared" si="45"/>
        <v>8.34</v>
      </c>
      <c r="AA726" s="3" t="str" cm="1">
        <f t="array" ref="AA726">_xlfn.IFS(
(F726/(X726/7)) &lt; 5, "Casual",
AND((F726/(X726/7)) &gt;= 5, (F726/(X726/7)) &lt; 15), "Regular",
(F726/(X726/7)) &gt;= 15, "Power"
)</f>
        <v>Regular</v>
      </c>
      <c r="AB726" s="3">
        <f t="shared" si="48"/>
        <v>2.0048076923076925</v>
      </c>
      <c r="AC726" t="str">
        <f t="shared" si="46"/>
        <v>Viewers</v>
      </c>
    </row>
    <row r="727" spans="1:30" x14ac:dyDescent="0.3">
      <c r="A727" s="6">
        <v>8581</v>
      </c>
      <c r="B727" s="7" t="s">
        <v>196</v>
      </c>
      <c r="C727" s="10">
        <v>45276</v>
      </c>
      <c r="D727" s="10">
        <v>45616</v>
      </c>
      <c r="E727" s="13">
        <v>11.99</v>
      </c>
      <c r="F727" s="6">
        <v>390</v>
      </c>
      <c r="G727" s="7" t="s">
        <v>100</v>
      </c>
      <c r="H727" s="6">
        <v>5</v>
      </c>
      <c r="I727" s="6">
        <v>1</v>
      </c>
      <c r="J727" s="7" t="b">
        <v>1</v>
      </c>
      <c r="K727" s="6">
        <v>889</v>
      </c>
      <c r="L727" s="6">
        <v>145</v>
      </c>
      <c r="M727" s="7" t="s">
        <v>27</v>
      </c>
      <c r="N727" s="7" t="s">
        <v>28</v>
      </c>
      <c r="O727" s="7" t="s">
        <v>29</v>
      </c>
      <c r="P727" s="6">
        <v>60</v>
      </c>
      <c r="Q727" s="11">
        <v>4.5</v>
      </c>
      <c r="R727" s="7" t="b">
        <v>1</v>
      </c>
      <c r="S727" s="7" t="s">
        <v>30</v>
      </c>
      <c r="T727" s="6">
        <v>3027</v>
      </c>
      <c r="U727" s="7" t="s">
        <v>58</v>
      </c>
      <c r="V727" s="12" t="s">
        <v>79</v>
      </c>
      <c r="W727" s="7" t="s">
        <v>33</v>
      </c>
      <c r="X727" s="6">
        <f t="shared" si="47"/>
        <v>340</v>
      </c>
      <c r="Y727" t="str" cm="1">
        <f t="array" ref="Y727">_xlfn.IFS(E727=7.99,"BASIC",E727=11.99,"STANDARD",E727=15.99,"PREMIUM")</f>
        <v>STANDARD</v>
      </c>
      <c r="Z727" s="4">
        <f t="shared" si="45"/>
        <v>8.0294117647058822</v>
      </c>
      <c r="AA727" s="3" t="str" cm="1">
        <f t="array" ref="AA727">_xlfn.IFS(
(F727/(X727/7)) &lt; 5, "Casual",
AND((F727/(X727/7)) &gt;= 5, (F727/(X727/7)) &lt; 15), "Regular",
(F727/(X727/7)) &gt;= 15, "Power"
)</f>
        <v>Regular</v>
      </c>
      <c r="AB727" s="3">
        <f t="shared" si="48"/>
        <v>0.37717601547388779</v>
      </c>
      <c r="AC727" t="str">
        <f t="shared" si="46"/>
        <v>Viewers</v>
      </c>
    </row>
    <row r="728" spans="1:30" x14ac:dyDescent="0.3">
      <c r="A728" s="6">
        <v>5827</v>
      </c>
      <c r="B728" s="7" t="s">
        <v>224</v>
      </c>
      <c r="C728" s="10">
        <v>45007</v>
      </c>
      <c r="D728" s="10">
        <v>45628</v>
      </c>
      <c r="E728" s="13">
        <v>15.99</v>
      </c>
      <c r="F728" s="6">
        <v>33</v>
      </c>
      <c r="G728" s="7" t="s">
        <v>73</v>
      </c>
      <c r="H728" s="6">
        <v>4</v>
      </c>
      <c r="I728" s="6">
        <v>2</v>
      </c>
      <c r="J728" s="7" t="b">
        <v>0</v>
      </c>
      <c r="K728" s="6">
        <v>191</v>
      </c>
      <c r="L728" s="6">
        <v>25</v>
      </c>
      <c r="M728" s="7" t="s">
        <v>49</v>
      </c>
      <c r="N728" s="7" t="s">
        <v>56</v>
      </c>
      <c r="O728" s="7" t="s">
        <v>37</v>
      </c>
      <c r="P728" s="6">
        <v>44</v>
      </c>
      <c r="Q728" s="11">
        <v>4.5</v>
      </c>
      <c r="R728" s="7" t="b">
        <v>1</v>
      </c>
      <c r="S728" s="7" t="s">
        <v>30</v>
      </c>
      <c r="T728" s="6">
        <v>1228</v>
      </c>
      <c r="U728" s="7" t="s">
        <v>65</v>
      </c>
      <c r="V728" s="12" t="s">
        <v>69</v>
      </c>
      <c r="W728" s="7" t="s">
        <v>40</v>
      </c>
      <c r="X728" s="6">
        <f t="shared" si="47"/>
        <v>621</v>
      </c>
      <c r="Y728" t="str" cm="1">
        <f t="array" ref="Y728">_xlfn.IFS(E728=7.99,"BASIC",E728=11.99,"STANDARD",E728=15.99,"PREMIUM")</f>
        <v>PREMIUM</v>
      </c>
      <c r="Z728" s="4">
        <f t="shared" si="45"/>
        <v>0.37198067632850246</v>
      </c>
      <c r="AA728" s="3" t="str" cm="1">
        <f t="array" ref="AA728">_xlfn.IFS(
(F728/(X728/7)) &lt; 5, "Casual",
AND((F728/(X728/7)) &gt;= 5, (F728/(X728/7)) &lt; 15), "Regular",
(F728/(X728/7)) &gt;= 15, "Power"
)</f>
        <v>Casual</v>
      </c>
      <c r="AB728" s="3">
        <f t="shared" si="48"/>
        <v>0.15277777777777779</v>
      </c>
      <c r="AC728" t="str">
        <f t="shared" si="46"/>
        <v>Viewers</v>
      </c>
    </row>
    <row r="729" spans="1:30" x14ac:dyDescent="0.3">
      <c r="A729" s="6">
        <v>6929</v>
      </c>
      <c r="B729" s="7" t="s">
        <v>114</v>
      </c>
      <c r="C729" s="10">
        <v>45594</v>
      </c>
      <c r="D729" s="10">
        <v>45631</v>
      </c>
      <c r="E729" s="13">
        <v>11.99</v>
      </c>
      <c r="F729" s="6">
        <v>302</v>
      </c>
      <c r="G729" s="7" t="s">
        <v>26</v>
      </c>
      <c r="H729" s="6">
        <v>5</v>
      </c>
      <c r="I729" s="6">
        <v>5</v>
      </c>
      <c r="J729" s="7" t="b">
        <v>1</v>
      </c>
      <c r="K729" s="6">
        <v>42</v>
      </c>
      <c r="L729" s="6">
        <v>196</v>
      </c>
      <c r="M729" s="7" t="s">
        <v>55</v>
      </c>
      <c r="N729" s="7" t="s">
        <v>56</v>
      </c>
      <c r="O729" s="7" t="s">
        <v>29</v>
      </c>
      <c r="P729" s="6">
        <v>74</v>
      </c>
      <c r="Q729" s="11">
        <v>4.5999999999999996</v>
      </c>
      <c r="R729" s="7" t="b">
        <v>0</v>
      </c>
      <c r="S729" s="7" t="s">
        <v>30</v>
      </c>
      <c r="T729" s="6">
        <v>3616</v>
      </c>
      <c r="U729" s="7" t="s">
        <v>38</v>
      </c>
      <c r="V729" s="12" t="s">
        <v>59</v>
      </c>
      <c r="W729" s="7" t="s">
        <v>40</v>
      </c>
      <c r="X729" s="6">
        <f t="shared" si="47"/>
        <v>37</v>
      </c>
      <c r="Y729" t="str" cm="1">
        <f t="array" ref="Y729">_xlfn.IFS(E729=7.99,"BASIC",E729=11.99,"STANDARD",E729=15.99,"PREMIUM")</f>
        <v>STANDARD</v>
      </c>
      <c r="Z729" s="4">
        <f t="shared" si="45"/>
        <v>57.135135135135137</v>
      </c>
      <c r="AA729" s="3" t="str" cm="1">
        <f t="array" ref="AA729">_xlfn.IFS(
(F729/(X729/7)) &lt; 5, "Casual",
AND((F729/(X729/7)) &gt;= 5, (F729/(X729/7)) &lt; 15), "Regular",
(F729/(X729/7)) &gt;= 15, "Power"
)</f>
        <v>Power</v>
      </c>
      <c r="AB729" s="3">
        <f t="shared" si="48"/>
        <v>1.26890756302521</v>
      </c>
      <c r="AC729" t="str">
        <f t="shared" si="46"/>
        <v>Viewers</v>
      </c>
    </row>
    <row r="730" spans="1:30" x14ac:dyDescent="0.3">
      <c r="A730" s="6">
        <v>9179</v>
      </c>
      <c r="B730" s="7" t="s">
        <v>643</v>
      </c>
      <c r="C730" s="10">
        <f>_xlfn.XLOOKUP(A730,'Data Anomalies -Pls Read It'!A:A,'Data Anomalies -Pls Read It'!D:D,1,0)</f>
        <v>45623</v>
      </c>
      <c r="D730" s="10">
        <f>_xlfn.XLOOKUP(A730,'Data Anomalies -Pls Read It'!A:A,'Data Anomalies -Pls Read It'!C:C,1,0)</f>
        <v>45637</v>
      </c>
      <c r="E730" s="13">
        <v>15.99</v>
      </c>
      <c r="F730" s="6">
        <v>121</v>
      </c>
      <c r="G730" s="7" t="s">
        <v>63</v>
      </c>
      <c r="H730" s="6">
        <v>4</v>
      </c>
      <c r="I730" s="6">
        <v>5</v>
      </c>
      <c r="J730" s="7" t="b">
        <v>1</v>
      </c>
      <c r="K730" s="6">
        <v>53</v>
      </c>
      <c r="L730" s="6">
        <v>77</v>
      </c>
      <c r="M730" s="7" t="s">
        <v>68</v>
      </c>
      <c r="N730" s="7" t="s">
        <v>28</v>
      </c>
      <c r="O730" s="7" t="s">
        <v>29</v>
      </c>
      <c r="P730" s="6">
        <v>54</v>
      </c>
      <c r="Q730" s="11">
        <v>3.1</v>
      </c>
      <c r="R730" s="7" t="b">
        <v>1</v>
      </c>
      <c r="S730" s="7" t="s">
        <v>30</v>
      </c>
      <c r="T730" s="6">
        <v>3913</v>
      </c>
      <c r="U730" s="7" t="s">
        <v>65</v>
      </c>
      <c r="V730" s="12" t="s">
        <v>32</v>
      </c>
      <c r="W730" s="7" t="s">
        <v>60</v>
      </c>
      <c r="X730" s="6">
        <f t="shared" si="47"/>
        <v>14</v>
      </c>
      <c r="Y730" t="str" cm="1">
        <f t="array" ref="Y730">_xlfn.IFS(E730=7.99,"BASIC",E730=11.99,"STANDARD",E730=15.99,"PREMIUM")</f>
        <v>PREMIUM</v>
      </c>
      <c r="Z730" s="4">
        <f t="shared" si="45"/>
        <v>60.5</v>
      </c>
      <c r="AA730" s="3" t="str" cm="1">
        <f t="array" ref="AA730">_xlfn.IFS(
(F730/(X730/7)) &lt; 5, "Casual",
AND((F730/(X730/7)) &gt;= 5, (F730/(X730/7)) &lt; 15), "Regular",
(F730/(X730/7)) &gt;= 15, "Power"
)</f>
        <v>Power</v>
      </c>
      <c r="AB730" s="3">
        <f t="shared" si="48"/>
        <v>0.93076923076923079</v>
      </c>
      <c r="AC730" t="str">
        <f t="shared" si="46"/>
        <v>Viewers</v>
      </c>
      <c r="AD730" t="s">
        <v>779</v>
      </c>
    </row>
    <row r="731" spans="1:30" x14ac:dyDescent="0.3">
      <c r="A731" s="6">
        <v>7580</v>
      </c>
      <c r="B731" s="7" t="s">
        <v>52</v>
      </c>
      <c r="C731" s="10">
        <v>44965</v>
      </c>
      <c r="D731" s="10">
        <v>45617</v>
      </c>
      <c r="E731" s="13">
        <v>7.99</v>
      </c>
      <c r="F731" s="6">
        <v>112</v>
      </c>
      <c r="G731" s="7" t="s">
        <v>63</v>
      </c>
      <c r="H731" s="6">
        <v>5</v>
      </c>
      <c r="I731" s="6">
        <v>6</v>
      </c>
      <c r="J731" s="7" t="b">
        <v>0</v>
      </c>
      <c r="K731" s="6">
        <v>535</v>
      </c>
      <c r="L731" s="6">
        <v>43</v>
      </c>
      <c r="M731" s="7" t="s">
        <v>49</v>
      </c>
      <c r="N731" s="7" t="s">
        <v>75</v>
      </c>
      <c r="O731" s="7" t="s">
        <v>64</v>
      </c>
      <c r="P731" s="6">
        <v>89</v>
      </c>
      <c r="Q731" s="11">
        <v>3.1</v>
      </c>
      <c r="R731" s="7" t="b">
        <v>1</v>
      </c>
      <c r="S731" s="7" t="s">
        <v>30</v>
      </c>
      <c r="T731" s="6">
        <v>775</v>
      </c>
      <c r="U731" s="7" t="s">
        <v>38</v>
      </c>
      <c r="V731" s="12" t="s">
        <v>59</v>
      </c>
      <c r="W731" s="7" t="s">
        <v>40</v>
      </c>
      <c r="X731" s="6">
        <f t="shared" si="47"/>
        <v>652</v>
      </c>
      <c r="Y731" t="str" cm="1">
        <f t="array" ref="Y731">_xlfn.IFS(E731=7.99,"BASIC",E731=11.99,"STANDARD",E731=15.99,"PREMIUM")</f>
        <v>BASIC</v>
      </c>
      <c r="Z731" s="4">
        <f t="shared" si="45"/>
        <v>1.2024539877300615</v>
      </c>
      <c r="AA731" s="3" t="str" cm="1">
        <f t="array" ref="AA731">_xlfn.IFS(
(F731/(X731/7)) &lt; 5, "Casual",
AND((F731/(X731/7)) &gt;= 5, (F731/(X731/7)) &lt; 15), "Regular",
(F731/(X731/7)) &gt;= 15, "Power"
)</f>
        <v>Casual</v>
      </c>
      <c r="AB731" s="3">
        <f t="shared" si="48"/>
        <v>0.19377162629757785</v>
      </c>
      <c r="AC731" t="str">
        <f t="shared" si="46"/>
        <v>Viewers</v>
      </c>
    </row>
    <row r="732" spans="1:30" x14ac:dyDescent="0.3">
      <c r="A732" s="6">
        <v>3858</v>
      </c>
      <c r="B732" s="7" t="s">
        <v>179</v>
      </c>
      <c r="C732" s="10">
        <v>45107</v>
      </c>
      <c r="D732" s="10">
        <v>45631</v>
      </c>
      <c r="E732" s="13">
        <v>15.99</v>
      </c>
      <c r="F732" s="6">
        <v>375</v>
      </c>
      <c r="G732" s="7" t="s">
        <v>100</v>
      </c>
      <c r="H732" s="6">
        <v>3</v>
      </c>
      <c r="I732" s="6">
        <v>6</v>
      </c>
      <c r="J732" s="7" t="b">
        <v>0</v>
      </c>
      <c r="K732" s="6">
        <v>416</v>
      </c>
      <c r="L732" s="6">
        <v>79</v>
      </c>
      <c r="M732" s="7" t="s">
        <v>92</v>
      </c>
      <c r="N732" s="7" t="s">
        <v>28</v>
      </c>
      <c r="O732" s="7" t="s">
        <v>29</v>
      </c>
      <c r="P732" s="6">
        <v>33</v>
      </c>
      <c r="Q732" s="11">
        <v>3.2</v>
      </c>
      <c r="R732" s="7" t="b">
        <v>1</v>
      </c>
      <c r="S732" s="7" t="s">
        <v>30</v>
      </c>
      <c r="T732" s="6">
        <v>2536</v>
      </c>
      <c r="U732" s="7" t="s">
        <v>38</v>
      </c>
      <c r="V732" s="12" t="s">
        <v>79</v>
      </c>
      <c r="W732" s="7" t="s">
        <v>40</v>
      </c>
      <c r="X732" s="6">
        <f t="shared" si="47"/>
        <v>524</v>
      </c>
      <c r="Y732" t="str" cm="1">
        <f t="array" ref="Y732">_xlfn.IFS(E732=7.99,"BASIC",E732=11.99,"STANDARD",E732=15.99,"PREMIUM")</f>
        <v>PREMIUM</v>
      </c>
      <c r="Z732" s="4">
        <f t="shared" si="45"/>
        <v>5.0095419847328237</v>
      </c>
      <c r="AA732" s="3" t="str" cm="1">
        <f t="array" ref="AA732">_xlfn.IFS(
(F732/(X732/7)) &lt; 5, "Casual",
AND((F732/(X732/7)) &gt;= 5, (F732/(X732/7)) &lt; 15), "Regular",
(F732/(X732/7)) &gt;= 15, "Power"
)</f>
        <v>Regular</v>
      </c>
      <c r="AB732" s="3">
        <f t="shared" si="48"/>
        <v>0.75757575757575757</v>
      </c>
      <c r="AC732" t="str">
        <f t="shared" si="46"/>
        <v>Viewers</v>
      </c>
    </row>
    <row r="733" spans="1:30" x14ac:dyDescent="0.3">
      <c r="A733" s="6">
        <v>8627</v>
      </c>
      <c r="B733" s="7" t="s">
        <v>238</v>
      </c>
      <c r="C733" s="10">
        <v>45552</v>
      </c>
      <c r="D733" s="10">
        <v>45627</v>
      </c>
      <c r="E733" s="13">
        <v>11.99</v>
      </c>
      <c r="F733" s="6">
        <v>97</v>
      </c>
      <c r="G733" s="7" t="s">
        <v>73</v>
      </c>
      <c r="H733" s="6">
        <v>3</v>
      </c>
      <c r="I733" s="6">
        <v>2</v>
      </c>
      <c r="J733" s="7" t="b">
        <v>0</v>
      </c>
      <c r="K733" s="6">
        <v>287</v>
      </c>
      <c r="L733" s="6">
        <v>39</v>
      </c>
      <c r="M733" s="7" t="s">
        <v>92</v>
      </c>
      <c r="N733" s="7" t="s">
        <v>28</v>
      </c>
      <c r="O733" s="7" t="s">
        <v>64</v>
      </c>
      <c r="P733" s="6">
        <v>9</v>
      </c>
      <c r="Q733" s="11">
        <v>4.9000000000000004</v>
      </c>
      <c r="R733" s="7" t="b">
        <v>0</v>
      </c>
      <c r="S733" s="7" t="s">
        <v>30</v>
      </c>
      <c r="T733" s="6">
        <v>2331</v>
      </c>
      <c r="U733" s="7" t="s">
        <v>65</v>
      </c>
      <c r="V733" s="12" t="s">
        <v>39</v>
      </c>
      <c r="W733" s="7" t="s">
        <v>40</v>
      </c>
      <c r="X733" s="6">
        <f t="shared" si="47"/>
        <v>75</v>
      </c>
      <c r="Y733" t="str" cm="1">
        <f t="array" ref="Y733">_xlfn.IFS(E733=7.99,"BASIC",E733=11.99,"STANDARD",E733=15.99,"PREMIUM")</f>
        <v>STANDARD</v>
      </c>
      <c r="Z733" s="4">
        <f t="shared" si="45"/>
        <v>9.0533333333333346</v>
      </c>
      <c r="AA733" s="3" t="str" cm="1">
        <f t="array" ref="AA733">_xlfn.IFS(
(F733/(X733/7)) &lt; 5, "Casual",
AND((F733/(X733/7)) &gt;= 5, (F733/(X733/7)) &lt; 15), "Regular",
(F733/(X733/7)) &gt;= 15, "Power"
)</f>
        <v>Regular</v>
      </c>
      <c r="AB733" s="3">
        <f t="shared" si="48"/>
        <v>0.29754601226993865</v>
      </c>
      <c r="AC733" t="str">
        <f t="shared" si="46"/>
        <v>Viewers</v>
      </c>
    </row>
    <row r="734" spans="1:30" x14ac:dyDescent="0.3">
      <c r="A734" s="6">
        <v>7552</v>
      </c>
      <c r="B734" s="7" t="s">
        <v>645</v>
      </c>
      <c r="C734" s="10">
        <v>45451</v>
      </c>
      <c r="D734" s="10">
        <v>45630</v>
      </c>
      <c r="E734" s="13">
        <v>15.99</v>
      </c>
      <c r="F734" s="6">
        <v>306</v>
      </c>
      <c r="G734" s="7" t="s">
        <v>51</v>
      </c>
      <c r="H734" s="6">
        <v>4</v>
      </c>
      <c r="I734" s="6">
        <v>5</v>
      </c>
      <c r="J734" s="7" t="b">
        <v>0</v>
      </c>
      <c r="K734" s="6">
        <v>651</v>
      </c>
      <c r="L734" s="6">
        <v>60</v>
      </c>
      <c r="M734" s="7" t="s">
        <v>74</v>
      </c>
      <c r="N734" s="7" t="s">
        <v>75</v>
      </c>
      <c r="O734" s="7" t="s">
        <v>45</v>
      </c>
      <c r="P734" s="6">
        <v>86</v>
      </c>
      <c r="Q734" s="11">
        <v>3.1</v>
      </c>
      <c r="R734" s="7" t="b">
        <v>0</v>
      </c>
      <c r="S734" s="7" t="s">
        <v>30</v>
      </c>
      <c r="T734" s="6">
        <v>2953</v>
      </c>
      <c r="U734" s="7" t="s">
        <v>38</v>
      </c>
      <c r="V734" s="12" t="s">
        <v>79</v>
      </c>
      <c r="W734" s="7" t="s">
        <v>93</v>
      </c>
      <c r="X734" s="6">
        <f t="shared" si="47"/>
        <v>179</v>
      </c>
      <c r="Y734" t="str" cm="1">
        <f t="array" ref="Y734">_xlfn.IFS(E734=7.99,"BASIC",E734=11.99,"STANDARD",E734=15.99,"PREMIUM")</f>
        <v>PREMIUM</v>
      </c>
      <c r="Z734" s="4">
        <f t="shared" si="45"/>
        <v>11.966480446927374</v>
      </c>
      <c r="AA734" s="3" t="str" cm="1">
        <f t="array" ref="AA734">_xlfn.IFS(
(F734/(X734/7)) &lt; 5, "Casual",
AND((F734/(X734/7)) &gt;= 5, (F734/(X734/7)) &lt; 15), "Regular",
(F734/(X734/7)) &gt;= 15, "Power"
)</f>
        <v>Regular</v>
      </c>
      <c r="AB734" s="3">
        <f t="shared" si="48"/>
        <v>0.43037974683544306</v>
      </c>
      <c r="AC734" t="str">
        <f t="shared" si="46"/>
        <v>Viewers</v>
      </c>
    </row>
    <row r="735" spans="1:30" x14ac:dyDescent="0.3">
      <c r="A735" s="6">
        <v>6020</v>
      </c>
      <c r="B735" s="7" t="s">
        <v>640</v>
      </c>
      <c r="C735" s="10">
        <v>45498</v>
      </c>
      <c r="D735" s="10">
        <v>45617</v>
      </c>
      <c r="E735" s="13">
        <v>11.99</v>
      </c>
      <c r="F735" s="6">
        <v>136</v>
      </c>
      <c r="G735" s="7" t="s">
        <v>63</v>
      </c>
      <c r="H735" s="6">
        <v>5</v>
      </c>
      <c r="I735" s="6">
        <v>2</v>
      </c>
      <c r="J735" s="7" t="b">
        <v>1</v>
      </c>
      <c r="K735" s="6">
        <v>821</v>
      </c>
      <c r="L735" s="6">
        <v>174</v>
      </c>
      <c r="M735" s="7" t="s">
        <v>92</v>
      </c>
      <c r="N735" s="7" t="s">
        <v>56</v>
      </c>
      <c r="O735" s="7" t="s">
        <v>37</v>
      </c>
      <c r="P735" s="6">
        <v>92</v>
      </c>
      <c r="Q735" s="11">
        <v>3.6</v>
      </c>
      <c r="R735" s="7" t="b">
        <v>1</v>
      </c>
      <c r="S735" s="7" t="s">
        <v>30</v>
      </c>
      <c r="T735" s="6">
        <v>868</v>
      </c>
      <c r="U735" s="7" t="s">
        <v>38</v>
      </c>
      <c r="V735" s="12" t="s">
        <v>69</v>
      </c>
      <c r="W735" s="7" t="s">
        <v>93</v>
      </c>
      <c r="X735" s="6">
        <f t="shared" si="47"/>
        <v>119</v>
      </c>
      <c r="Y735" t="str" cm="1">
        <f t="array" ref="Y735">_xlfn.IFS(E735=7.99,"BASIC",E735=11.99,"STANDARD",E735=15.99,"PREMIUM")</f>
        <v>STANDARD</v>
      </c>
      <c r="Z735" s="4">
        <f t="shared" si="45"/>
        <v>8</v>
      </c>
      <c r="AA735" s="3" t="str" cm="1">
        <f t="array" ref="AA735">_xlfn.IFS(
(F735/(X735/7)) &lt; 5, "Casual",
AND((F735/(X735/7)) &gt;= 5, (F735/(X735/7)) &lt; 15), "Regular",
(F735/(X735/7)) &gt;= 15, "Power"
)</f>
        <v>Regular</v>
      </c>
      <c r="AB735" s="3">
        <f t="shared" si="48"/>
        <v>0.13668341708542714</v>
      </c>
      <c r="AC735" t="str">
        <f t="shared" si="46"/>
        <v xml:space="preserve"> Browsers</v>
      </c>
    </row>
    <row r="736" spans="1:30" x14ac:dyDescent="0.3">
      <c r="A736" s="6">
        <v>9408</v>
      </c>
      <c r="B736" s="7" t="s">
        <v>291</v>
      </c>
      <c r="C736" s="10">
        <v>45058</v>
      </c>
      <c r="D736" s="10">
        <v>45622</v>
      </c>
      <c r="E736" s="13">
        <v>7.99</v>
      </c>
      <c r="F736" s="6">
        <v>12</v>
      </c>
      <c r="G736" s="7" t="s">
        <v>73</v>
      </c>
      <c r="H736" s="6">
        <v>2</v>
      </c>
      <c r="I736" s="6">
        <v>3</v>
      </c>
      <c r="J736" s="7" t="b">
        <v>1</v>
      </c>
      <c r="K736" s="6">
        <v>396</v>
      </c>
      <c r="L736" s="6">
        <v>22</v>
      </c>
      <c r="M736" s="7" t="s">
        <v>68</v>
      </c>
      <c r="N736" s="7" t="s">
        <v>75</v>
      </c>
      <c r="O736" s="7" t="s">
        <v>29</v>
      </c>
      <c r="P736" s="6">
        <v>70</v>
      </c>
      <c r="Q736" s="11">
        <v>3.5</v>
      </c>
      <c r="R736" s="7" t="b">
        <v>1</v>
      </c>
      <c r="S736" s="7" t="s">
        <v>30</v>
      </c>
      <c r="T736" s="6">
        <v>4808</v>
      </c>
      <c r="U736" s="7" t="s">
        <v>76</v>
      </c>
      <c r="V736" s="12" t="s">
        <v>69</v>
      </c>
      <c r="W736" s="7" t="s">
        <v>33</v>
      </c>
      <c r="X736" s="6">
        <f t="shared" si="47"/>
        <v>564</v>
      </c>
      <c r="Y736" t="str" cm="1">
        <f t="array" ref="Y736">_xlfn.IFS(E736=7.99,"BASIC",E736=11.99,"STANDARD",E736=15.99,"PREMIUM")</f>
        <v>BASIC</v>
      </c>
      <c r="Z736" s="4">
        <f t="shared" si="45"/>
        <v>0.14893617021276595</v>
      </c>
      <c r="AA736" s="3" t="str" cm="1">
        <f t="array" ref="AA736">_xlfn.IFS(
(F736/(X736/7)) &lt; 5, "Casual",
AND((F736/(X736/7)) &gt;= 5, (F736/(X736/7)) &lt; 15), "Regular",
(F736/(X736/7)) &gt;= 15, "Power"
)</f>
        <v>Casual</v>
      </c>
      <c r="AB736" s="3">
        <f t="shared" si="48"/>
        <v>2.8708133971291867E-2</v>
      </c>
      <c r="AC736" t="str">
        <f t="shared" si="46"/>
        <v xml:space="preserve"> Browsers</v>
      </c>
    </row>
    <row r="737" spans="1:29" x14ac:dyDescent="0.3">
      <c r="A737" s="6">
        <v>9990</v>
      </c>
      <c r="B737" s="7" t="s">
        <v>647</v>
      </c>
      <c r="C737" s="10">
        <v>45316</v>
      </c>
      <c r="D737" s="10">
        <v>45631</v>
      </c>
      <c r="E737" s="13">
        <v>15.99</v>
      </c>
      <c r="F737" s="6">
        <v>379</v>
      </c>
      <c r="G737" s="7" t="s">
        <v>51</v>
      </c>
      <c r="H737" s="6">
        <v>4</v>
      </c>
      <c r="I737" s="6">
        <v>5</v>
      </c>
      <c r="J737" s="7" t="b">
        <v>1</v>
      </c>
      <c r="K737" s="6">
        <v>726</v>
      </c>
      <c r="L737" s="6">
        <v>103</v>
      </c>
      <c r="M737" s="7" t="s">
        <v>74</v>
      </c>
      <c r="N737" s="7" t="s">
        <v>28</v>
      </c>
      <c r="O737" s="7" t="s">
        <v>45</v>
      </c>
      <c r="P737" s="6">
        <v>39</v>
      </c>
      <c r="Q737" s="11">
        <v>3.5</v>
      </c>
      <c r="R737" s="7" t="b">
        <v>1</v>
      </c>
      <c r="S737" s="7" t="s">
        <v>30</v>
      </c>
      <c r="T737" s="6">
        <v>4177</v>
      </c>
      <c r="U737" s="7" t="s">
        <v>38</v>
      </c>
      <c r="V737" s="12" t="s">
        <v>59</v>
      </c>
      <c r="W737" s="7" t="s">
        <v>33</v>
      </c>
      <c r="X737" s="6">
        <f t="shared" si="47"/>
        <v>315</v>
      </c>
      <c r="Y737" t="str" cm="1">
        <f t="array" ref="Y737">_xlfn.IFS(E737=7.99,"BASIC",E737=11.99,"STANDARD",E737=15.99,"PREMIUM")</f>
        <v>PREMIUM</v>
      </c>
      <c r="Z737" s="4">
        <f t="shared" si="45"/>
        <v>8.4222222222222225</v>
      </c>
      <c r="AA737" s="3" t="str" cm="1">
        <f t="array" ref="AA737">_xlfn.IFS(
(F737/(X737/7)) &lt; 5, "Casual",
AND((F737/(X737/7)) &gt;= 5, (F737/(X737/7)) &lt; 15), "Regular",
(F737/(X737/7)) &gt;= 15, "Power"
)</f>
        <v>Regular</v>
      </c>
      <c r="AB737" s="3">
        <f t="shared" si="48"/>
        <v>0.45717732207478889</v>
      </c>
      <c r="AC737" t="str">
        <f t="shared" si="46"/>
        <v>Viewers</v>
      </c>
    </row>
    <row r="738" spans="1:29" x14ac:dyDescent="0.3">
      <c r="A738" s="6">
        <v>3687</v>
      </c>
      <c r="B738" s="7" t="s">
        <v>307</v>
      </c>
      <c r="C738" s="10">
        <v>45234</v>
      </c>
      <c r="D738" s="10">
        <v>45644</v>
      </c>
      <c r="E738" s="13">
        <v>15.99</v>
      </c>
      <c r="F738" s="6">
        <v>205</v>
      </c>
      <c r="G738" s="7" t="s">
        <v>63</v>
      </c>
      <c r="H738" s="6">
        <v>3</v>
      </c>
      <c r="I738" s="6">
        <v>2</v>
      </c>
      <c r="J738" s="7" t="b">
        <v>1</v>
      </c>
      <c r="K738" s="6">
        <v>420</v>
      </c>
      <c r="L738" s="6">
        <v>24</v>
      </c>
      <c r="M738" s="7" t="s">
        <v>92</v>
      </c>
      <c r="N738" s="7" t="s">
        <v>44</v>
      </c>
      <c r="O738" s="7" t="s">
        <v>57</v>
      </c>
      <c r="P738" s="6">
        <v>61</v>
      </c>
      <c r="Q738" s="11">
        <v>4.8</v>
      </c>
      <c r="R738" s="7" t="b">
        <v>0</v>
      </c>
      <c r="S738" s="7" t="s">
        <v>30</v>
      </c>
      <c r="T738" s="6">
        <v>564</v>
      </c>
      <c r="U738" s="7" t="s">
        <v>38</v>
      </c>
      <c r="V738" s="12" t="s">
        <v>69</v>
      </c>
      <c r="W738" s="7" t="s">
        <v>93</v>
      </c>
      <c r="X738" s="6">
        <f t="shared" si="47"/>
        <v>410</v>
      </c>
      <c r="Y738" t="str" cm="1">
        <f t="array" ref="Y738">_xlfn.IFS(E738=7.99,"BASIC",E738=11.99,"STANDARD",E738=15.99,"PREMIUM")</f>
        <v>PREMIUM</v>
      </c>
      <c r="Z738" s="4">
        <f t="shared" si="45"/>
        <v>3.5</v>
      </c>
      <c r="AA738" s="3" t="str" cm="1">
        <f t="array" ref="AA738">_xlfn.IFS(
(F738/(X738/7)) &lt; 5, "Casual",
AND((F738/(X738/7)) &gt;= 5, (F738/(X738/7)) &lt; 15), "Regular",
(F738/(X738/7)) &gt;= 15, "Power"
)</f>
        <v>Casual</v>
      </c>
      <c r="AB738" s="3">
        <f t="shared" si="48"/>
        <v>0.46171171171171171</v>
      </c>
      <c r="AC738" t="str">
        <f t="shared" si="46"/>
        <v>Viewers</v>
      </c>
    </row>
    <row r="739" spans="1:29" x14ac:dyDescent="0.3">
      <c r="A739" s="6">
        <v>4540</v>
      </c>
      <c r="B739" s="7" t="s">
        <v>648</v>
      </c>
      <c r="C739" s="10">
        <v>45176</v>
      </c>
      <c r="D739" s="10">
        <v>45621</v>
      </c>
      <c r="E739" s="13">
        <v>15.99</v>
      </c>
      <c r="F739" s="6">
        <v>335</v>
      </c>
      <c r="G739" s="7" t="s">
        <v>26</v>
      </c>
      <c r="H739" s="6">
        <v>3</v>
      </c>
      <c r="I739" s="6">
        <v>6</v>
      </c>
      <c r="J739" s="7" t="b">
        <v>1</v>
      </c>
      <c r="K739" s="6">
        <v>75</v>
      </c>
      <c r="L739" s="6">
        <v>177</v>
      </c>
      <c r="M739" s="7" t="s">
        <v>49</v>
      </c>
      <c r="N739" s="7" t="s">
        <v>28</v>
      </c>
      <c r="O739" s="7" t="s">
        <v>29</v>
      </c>
      <c r="P739" s="6">
        <v>73</v>
      </c>
      <c r="Q739" s="11">
        <v>3.9</v>
      </c>
      <c r="R739" s="7" t="b">
        <v>1</v>
      </c>
      <c r="S739" s="7" t="s">
        <v>30</v>
      </c>
      <c r="T739" s="6">
        <v>1702</v>
      </c>
      <c r="U739" s="7" t="s">
        <v>38</v>
      </c>
      <c r="V739" s="12" t="s">
        <v>59</v>
      </c>
      <c r="W739" s="7" t="s">
        <v>40</v>
      </c>
      <c r="X739" s="6">
        <f t="shared" si="47"/>
        <v>445</v>
      </c>
      <c r="Y739" t="str" cm="1">
        <f t="array" ref="Y739">_xlfn.IFS(E739=7.99,"BASIC",E739=11.99,"STANDARD",E739=15.99,"PREMIUM")</f>
        <v>PREMIUM</v>
      </c>
      <c r="Z739" s="4">
        <f t="shared" si="45"/>
        <v>5.2696629213483144</v>
      </c>
      <c r="AA739" s="3" t="str" cm="1">
        <f t="array" ref="AA739">_xlfn.IFS(
(F739/(X739/7)) &lt; 5, "Casual",
AND((F739/(X739/7)) &gt;= 5, (F739/(X739/7)) &lt; 15), "Regular",
(F739/(X739/7)) &gt;= 15, "Power"
)</f>
        <v>Regular</v>
      </c>
      <c r="AB739" s="3">
        <f t="shared" si="48"/>
        <v>1.3293650793650793</v>
      </c>
      <c r="AC739" t="str">
        <f t="shared" si="46"/>
        <v>Viewers</v>
      </c>
    </row>
    <row r="740" spans="1:29" x14ac:dyDescent="0.3">
      <c r="A740" s="6">
        <v>8264</v>
      </c>
      <c r="B740" s="7" t="s">
        <v>349</v>
      </c>
      <c r="C740" s="10">
        <v>45437</v>
      </c>
      <c r="D740" s="10">
        <v>45618</v>
      </c>
      <c r="E740" s="13">
        <v>15.99</v>
      </c>
      <c r="F740" s="6">
        <v>449</v>
      </c>
      <c r="G740" s="7" t="s">
        <v>63</v>
      </c>
      <c r="H740" s="6">
        <v>5</v>
      </c>
      <c r="I740" s="6">
        <v>6</v>
      </c>
      <c r="J740" s="7" t="b">
        <v>0</v>
      </c>
      <c r="K740" s="6">
        <v>683</v>
      </c>
      <c r="L740" s="6">
        <v>85</v>
      </c>
      <c r="M740" s="7" t="s">
        <v>74</v>
      </c>
      <c r="N740" s="7" t="s">
        <v>44</v>
      </c>
      <c r="O740" s="7" t="s">
        <v>45</v>
      </c>
      <c r="P740" s="6">
        <v>25</v>
      </c>
      <c r="Q740" s="11">
        <v>4.2</v>
      </c>
      <c r="R740" s="7" t="b">
        <v>1</v>
      </c>
      <c r="S740" s="7" t="s">
        <v>30</v>
      </c>
      <c r="T740" s="6">
        <v>249</v>
      </c>
      <c r="U740" s="7" t="s">
        <v>65</v>
      </c>
      <c r="V740" s="12" t="s">
        <v>39</v>
      </c>
      <c r="W740" s="7" t="s">
        <v>93</v>
      </c>
      <c r="X740" s="6">
        <f t="shared" si="47"/>
        <v>181</v>
      </c>
      <c r="Y740" t="str" cm="1">
        <f t="array" ref="Y740">_xlfn.IFS(E740=7.99,"BASIC",E740=11.99,"STANDARD",E740=15.99,"PREMIUM")</f>
        <v>PREMIUM</v>
      </c>
      <c r="Z740" s="4">
        <f t="shared" si="45"/>
        <v>17.364640883977899</v>
      </c>
      <c r="AA740" s="3" t="str" cm="1">
        <f t="array" ref="AA740">_xlfn.IFS(
(F740/(X740/7)) &lt; 5, "Casual",
AND((F740/(X740/7)) &gt;= 5, (F740/(X740/7)) &lt; 15), "Regular",
(F740/(X740/7)) &gt;= 15, "Power"
)</f>
        <v>Power</v>
      </c>
      <c r="AB740" s="3">
        <f t="shared" si="48"/>
        <v>0.58463541666666663</v>
      </c>
      <c r="AC740" t="str">
        <f t="shared" si="46"/>
        <v>Viewers</v>
      </c>
    </row>
    <row r="741" spans="1:29" x14ac:dyDescent="0.3">
      <c r="A741" s="6">
        <v>7448</v>
      </c>
      <c r="B741" s="7" t="s">
        <v>88</v>
      </c>
      <c r="C741" s="10">
        <v>45026</v>
      </c>
      <c r="D741" s="10">
        <v>45633</v>
      </c>
      <c r="E741" s="13">
        <v>7.99</v>
      </c>
      <c r="F741" s="6">
        <v>453</v>
      </c>
      <c r="G741" s="7" t="s">
        <v>51</v>
      </c>
      <c r="H741" s="6">
        <v>1</v>
      </c>
      <c r="I741" s="6">
        <v>5</v>
      </c>
      <c r="J741" s="7" t="b">
        <v>1</v>
      </c>
      <c r="K741" s="6">
        <v>487</v>
      </c>
      <c r="L741" s="6">
        <v>128</v>
      </c>
      <c r="M741" s="7" t="s">
        <v>55</v>
      </c>
      <c r="N741" s="7" t="s">
        <v>75</v>
      </c>
      <c r="O741" s="7" t="s">
        <v>45</v>
      </c>
      <c r="P741" s="6">
        <v>41</v>
      </c>
      <c r="Q741" s="11">
        <v>4.5</v>
      </c>
      <c r="R741" s="7" t="b">
        <v>1</v>
      </c>
      <c r="S741" s="7" t="s">
        <v>30</v>
      </c>
      <c r="T741" s="6">
        <v>30</v>
      </c>
      <c r="U741" s="7" t="s">
        <v>31</v>
      </c>
      <c r="V741" s="12" t="s">
        <v>59</v>
      </c>
      <c r="W741" s="7" t="s">
        <v>40</v>
      </c>
      <c r="X741" s="6">
        <f t="shared" si="47"/>
        <v>607</v>
      </c>
      <c r="Y741" t="str" cm="1">
        <f t="array" ref="Y741">_xlfn.IFS(E741=7.99,"BASIC",E741=11.99,"STANDARD",E741=15.99,"PREMIUM")</f>
        <v>BASIC</v>
      </c>
      <c r="Z741" s="4">
        <f t="shared" si="45"/>
        <v>5.2240527182866563</v>
      </c>
      <c r="AA741" s="3" t="str" cm="1">
        <f t="array" ref="AA741">_xlfn.IFS(
(F741/(X741/7)) &lt; 5, "Casual",
AND((F741/(X741/7)) &gt;= 5, (F741/(X741/7)) &lt; 15), "Regular",
(F741/(X741/7)) &gt;= 15, "Power"
)</f>
        <v>Regular</v>
      </c>
      <c r="AB741" s="3">
        <f t="shared" si="48"/>
        <v>0.73658536585365852</v>
      </c>
      <c r="AC741" t="str">
        <f t="shared" si="46"/>
        <v>Viewers</v>
      </c>
    </row>
    <row r="742" spans="1:29" x14ac:dyDescent="0.3">
      <c r="A742" s="6">
        <v>1123</v>
      </c>
      <c r="B742" s="7" t="s">
        <v>650</v>
      </c>
      <c r="C742" s="10">
        <v>45590</v>
      </c>
      <c r="D742" s="10">
        <v>45617</v>
      </c>
      <c r="E742" s="13">
        <v>7.99</v>
      </c>
      <c r="F742" s="6">
        <v>252</v>
      </c>
      <c r="G742" s="7" t="s">
        <v>26</v>
      </c>
      <c r="H742" s="6">
        <v>1</v>
      </c>
      <c r="I742" s="6">
        <v>1</v>
      </c>
      <c r="J742" s="7" t="b">
        <v>1</v>
      </c>
      <c r="K742" s="6">
        <v>968</v>
      </c>
      <c r="L742" s="6">
        <v>197</v>
      </c>
      <c r="M742" s="7" t="s">
        <v>55</v>
      </c>
      <c r="N742" s="7" t="s">
        <v>44</v>
      </c>
      <c r="O742" s="7" t="s">
        <v>29</v>
      </c>
      <c r="P742" s="6">
        <v>46</v>
      </c>
      <c r="Q742" s="11">
        <v>4</v>
      </c>
      <c r="R742" s="7" t="b">
        <v>0</v>
      </c>
      <c r="S742" s="7" t="s">
        <v>30</v>
      </c>
      <c r="T742" s="6">
        <v>3842</v>
      </c>
      <c r="U742" s="7" t="s">
        <v>76</v>
      </c>
      <c r="V742" s="12" t="s">
        <v>59</v>
      </c>
      <c r="W742" s="7" t="s">
        <v>93</v>
      </c>
      <c r="X742" s="6">
        <f t="shared" si="47"/>
        <v>27</v>
      </c>
      <c r="Y742" t="str" cm="1">
        <f t="array" ref="Y742">_xlfn.IFS(E742=7.99,"BASIC",E742=11.99,"STANDARD",E742=15.99,"PREMIUM")</f>
        <v>BASIC</v>
      </c>
      <c r="Z742" s="4">
        <f t="shared" si="45"/>
        <v>65.333333333333329</v>
      </c>
      <c r="AA742" s="3" t="str" cm="1">
        <f t="array" ref="AA742">_xlfn.IFS(
(F742/(X742/7)) &lt; 5, "Casual",
AND((F742/(X742/7)) &gt;= 5, (F742/(X742/7)) &lt; 15), "Regular",
(F742/(X742/7)) &gt;= 15, "Power"
)</f>
        <v>Power</v>
      </c>
      <c r="AB742" s="3">
        <f t="shared" si="48"/>
        <v>0.21630901287553647</v>
      </c>
      <c r="AC742" t="str">
        <f t="shared" si="46"/>
        <v>Viewers</v>
      </c>
    </row>
    <row r="743" spans="1:29" x14ac:dyDescent="0.3">
      <c r="A743" s="6">
        <v>4103</v>
      </c>
      <c r="B743" s="7" t="s">
        <v>257</v>
      </c>
      <c r="C743" s="10">
        <v>45595</v>
      </c>
      <c r="D743" s="10">
        <v>45621</v>
      </c>
      <c r="E743" s="13">
        <v>11.99</v>
      </c>
      <c r="F743" s="6">
        <v>379</v>
      </c>
      <c r="G743" s="7" t="s">
        <v>63</v>
      </c>
      <c r="H743" s="6">
        <v>2</v>
      </c>
      <c r="I743" s="6">
        <v>1</v>
      </c>
      <c r="J743" s="7" t="b">
        <v>1</v>
      </c>
      <c r="K743" s="6">
        <v>632</v>
      </c>
      <c r="L743" s="6">
        <v>82</v>
      </c>
      <c r="M743" s="7" t="s">
        <v>27</v>
      </c>
      <c r="N743" s="7" t="s">
        <v>56</v>
      </c>
      <c r="O743" s="7" t="s">
        <v>57</v>
      </c>
      <c r="P743" s="6">
        <v>29</v>
      </c>
      <c r="Q743" s="11">
        <v>3.2</v>
      </c>
      <c r="R743" s="7" t="b">
        <v>1</v>
      </c>
      <c r="S743" s="7" t="s">
        <v>30</v>
      </c>
      <c r="T743" s="6">
        <v>1299</v>
      </c>
      <c r="U743" s="7" t="s">
        <v>38</v>
      </c>
      <c r="V743" s="12" t="s">
        <v>39</v>
      </c>
      <c r="W743" s="7" t="s">
        <v>93</v>
      </c>
      <c r="X743" s="6">
        <f t="shared" si="47"/>
        <v>26</v>
      </c>
      <c r="Y743" t="str" cm="1">
        <f t="array" ref="Y743">_xlfn.IFS(E743=7.99,"BASIC",E743=11.99,"STANDARD",E743=15.99,"PREMIUM")</f>
        <v>STANDARD</v>
      </c>
      <c r="Z743" s="4">
        <f t="shared" si="45"/>
        <v>102.03846153846153</v>
      </c>
      <c r="AA743" s="3" t="str" cm="1">
        <f t="array" ref="AA743">_xlfn.IFS(
(F743/(X743/7)) &lt; 5, "Casual",
AND((F743/(X743/7)) &gt;= 5, (F743/(X743/7)) &lt; 15), "Regular",
(F743/(X743/7)) &gt;= 15, "Power"
)</f>
        <v>Power</v>
      </c>
      <c r="AB743" s="3">
        <f t="shared" si="48"/>
        <v>0.53081232492997199</v>
      </c>
      <c r="AC743" t="str">
        <f t="shared" si="46"/>
        <v>Viewers</v>
      </c>
    </row>
    <row r="744" spans="1:29" x14ac:dyDescent="0.3">
      <c r="A744" s="6">
        <v>2904</v>
      </c>
      <c r="B744" s="7" t="s">
        <v>458</v>
      </c>
      <c r="C744" s="10">
        <v>45339</v>
      </c>
      <c r="D744" s="10">
        <v>45627</v>
      </c>
      <c r="E744" s="13">
        <v>7.99</v>
      </c>
      <c r="F744" s="6">
        <v>280</v>
      </c>
      <c r="G744" s="7" t="s">
        <v>100</v>
      </c>
      <c r="H744" s="6">
        <v>3</v>
      </c>
      <c r="I744" s="6">
        <v>1</v>
      </c>
      <c r="J744" s="7" t="b">
        <v>0</v>
      </c>
      <c r="K744" s="6">
        <v>188</v>
      </c>
      <c r="L744" s="6">
        <v>103</v>
      </c>
      <c r="M744" s="7" t="s">
        <v>74</v>
      </c>
      <c r="N744" s="7" t="s">
        <v>75</v>
      </c>
      <c r="O744" s="7" t="s">
        <v>64</v>
      </c>
      <c r="P744" s="6">
        <v>80</v>
      </c>
      <c r="Q744" s="11">
        <v>4.8</v>
      </c>
      <c r="R744" s="7" t="b">
        <v>0</v>
      </c>
      <c r="S744" s="7" t="s">
        <v>30</v>
      </c>
      <c r="T744" s="6">
        <v>2346</v>
      </c>
      <c r="U744" s="7" t="s">
        <v>58</v>
      </c>
      <c r="V744" s="12" t="s">
        <v>79</v>
      </c>
      <c r="W744" s="7" t="s">
        <v>60</v>
      </c>
      <c r="X744" s="6">
        <f t="shared" si="47"/>
        <v>288</v>
      </c>
      <c r="Y744" t="str" cm="1">
        <f t="array" ref="Y744">_xlfn.IFS(E744=7.99,"BASIC",E744=11.99,"STANDARD",E744=15.99,"PREMIUM")</f>
        <v>BASIC</v>
      </c>
      <c r="Z744" s="4">
        <f t="shared" si="45"/>
        <v>6.8055555555555554</v>
      </c>
      <c r="AA744" s="3" t="str" cm="1">
        <f t="array" ref="AA744">_xlfn.IFS(
(F744/(X744/7)) &lt; 5, "Casual",
AND((F744/(X744/7)) &gt;= 5, (F744/(X744/7)) &lt; 15), "Regular",
(F744/(X744/7)) &gt;= 15, "Power"
)</f>
        <v>Regular</v>
      </c>
      <c r="AB744" s="3">
        <f t="shared" si="48"/>
        <v>0.96219931271477666</v>
      </c>
      <c r="AC744" t="str">
        <f t="shared" si="46"/>
        <v>Viewers</v>
      </c>
    </row>
    <row r="745" spans="1:29" x14ac:dyDescent="0.3">
      <c r="A745" s="6">
        <v>5634</v>
      </c>
      <c r="B745" s="7" t="s">
        <v>176</v>
      </c>
      <c r="C745" s="10">
        <v>45388</v>
      </c>
      <c r="D745" s="10">
        <v>45620</v>
      </c>
      <c r="E745" s="13">
        <v>7.99</v>
      </c>
      <c r="F745" s="6">
        <v>187</v>
      </c>
      <c r="G745" s="7" t="s">
        <v>63</v>
      </c>
      <c r="H745" s="6">
        <v>3</v>
      </c>
      <c r="I745" s="6">
        <v>3</v>
      </c>
      <c r="J745" s="7" t="b">
        <v>0</v>
      </c>
      <c r="K745" s="6">
        <v>987</v>
      </c>
      <c r="L745" s="6">
        <v>166</v>
      </c>
      <c r="M745" s="7" t="s">
        <v>68</v>
      </c>
      <c r="N745" s="7" t="s">
        <v>28</v>
      </c>
      <c r="O745" s="7" t="s">
        <v>57</v>
      </c>
      <c r="P745" s="6">
        <v>24</v>
      </c>
      <c r="Q745" s="11">
        <v>4.7</v>
      </c>
      <c r="R745" s="7" t="b">
        <v>0</v>
      </c>
      <c r="S745" s="7" t="s">
        <v>30</v>
      </c>
      <c r="T745" s="6">
        <v>215</v>
      </c>
      <c r="U745" s="7" t="s">
        <v>38</v>
      </c>
      <c r="V745" s="12" t="s">
        <v>79</v>
      </c>
      <c r="W745" s="7" t="s">
        <v>40</v>
      </c>
      <c r="X745" s="6">
        <f t="shared" si="47"/>
        <v>232</v>
      </c>
      <c r="Y745" t="str" cm="1">
        <f t="array" ref="Y745">_xlfn.IFS(E745=7.99,"BASIC",E745=11.99,"STANDARD",E745=15.99,"PREMIUM")</f>
        <v>BASIC</v>
      </c>
      <c r="Z745" s="4">
        <f t="shared" si="45"/>
        <v>5.6422413793103443</v>
      </c>
      <c r="AA745" s="3" t="str" cm="1">
        <f t="array" ref="AA745">_xlfn.IFS(
(F745/(X745/7)) &lt; 5, "Casual",
AND((F745/(X745/7)) &gt;= 5, (F745/(X745/7)) &lt; 15), "Regular",
(F745/(X745/7)) &gt;= 15, "Power"
)</f>
        <v>Regular</v>
      </c>
      <c r="AB745" s="3">
        <f t="shared" si="48"/>
        <v>0.16218560277536861</v>
      </c>
      <c r="AC745" t="str">
        <f t="shared" si="46"/>
        <v>Viewers</v>
      </c>
    </row>
    <row r="746" spans="1:29" x14ac:dyDescent="0.3">
      <c r="A746" s="6">
        <v>5360</v>
      </c>
      <c r="B746" s="7" t="s">
        <v>147</v>
      </c>
      <c r="C746" s="10">
        <v>45192</v>
      </c>
      <c r="D746" s="10">
        <v>45628</v>
      </c>
      <c r="E746" s="13">
        <v>7.99</v>
      </c>
      <c r="F746" s="6">
        <v>373</v>
      </c>
      <c r="G746" s="7" t="s">
        <v>26</v>
      </c>
      <c r="H746" s="6">
        <v>2</v>
      </c>
      <c r="I746" s="6">
        <v>1</v>
      </c>
      <c r="J746" s="7" t="b">
        <v>1</v>
      </c>
      <c r="K746" s="6">
        <v>925</v>
      </c>
      <c r="L746" s="6">
        <v>12</v>
      </c>
      <c r="M746" s="7" t="s">
        <v>49</v>
      </c>
      <c r="N746" s="7" t="s">
        <v>28</v>
      </c>
      <c r="O746" s="7" t="s">
        <v>29</v>
      </c>
      <c r="P746" s="6">
        <v>22</v>
      </c>
      <c r="Q746" s="11">
        <v>4.2</v>
      </c>
      <c r="R746" s="7" t="b">
        <v>1</v>
      </c>
      <c r="S746" s="7" t="s">
        <v>30</v>
      </c>
      <c r="T746" s="6">
        <v>3062</v>
      </c>
      <c r="U746" s="7" t="s">
        <v>65</v>
      </c>
      <c r="V746" s="12" t="s">
        <v>32</v>
      </c>
      <c r="W746" s="7" t="s">
        <v>60</v>
      </c>
      <c r="X746" s="6">
        <f t="shared" si="47"/>
        <v>436</v>
      </c>
      <c r="Y746" t="str" cm="1">
        <f t="array" ref="Y746">_xlfn.IFS(E746=7.99,"BASIC",E746=11.99,"STANDARD",E746=15.99,"PREMIUM")</f>
        <v>BASIC</v>
      </c>
      <c r="Z746" s="4">
        <f t="shared" si="45"/>
        <v>5.988532110091743</v>
      </c>
      <c r="AA746" s="3" t="str" cm="1">
        <f t="array" ref="AA746">_xlfn.IFS(
(F746/(X746/7)) &lt; 5, "Casual",
AND((F746/(X746/7)) &gt;= 5, (F746/(X746/7)) &lt; 15), "Regular",
(F746/(X746/7)) &gt;= 15, "Power"
)</f>
        <v>Regular</v>
      </c>
      <c r="AB746" s="3">
        <f t="shared" si="48"/>
        <v>0.39807897545357523</v>
      </c>
      <c r="AC746" t="str">
        <f t="shared" si="46"/>
        <v>Viewers</v>
      </c>
    </row>
    <row r="747" spans="1:29" x14ac:dyDescent="0.3">
      <c r="A747" s="6">
        <v>8571</v>
      </c>
      <c r="B747" s="7" t="s">
        <v>345</v>
      </c>
      <c r="C747" s="10">
        <v>45074</v>
      </c>
      <c r="D747" s="10">
        <v>45641</v>
      </c>
      <c r="E747" s="13">
        <v>15.99</v>
      </c>
      <c r="F747" s="6">
        <v>482</v>
      </c>
      <c r="G747" s="7" t="s">
        <v>26</v>
      </c>
      <c r="H747" s="6">
        <v>2</v>
      </c>
      <c r="I747" s="6">
        <v>5</v>
      </c>
      <c r="J747" s="7" t="b">
        <v>1</v>
      </c>
      <c r="K747" s="6">
        <v>838</v>
      </c>
      <c r="L747" s="6">
        <v>159</v>
      </c>
      <c r="M747" s="7" t="s">
        <v>43</v>
      </c>
      <c r="N747" s="7" t="s">
        <v>44</v>
      </c>
      <c r="O747" s="7" t="s">
        <v>78</v>
      </c>
      <c r="P747" s="6">
        <v>39</v>
      </c>
      <c r="Q747" s="11">
        <v>4.8</v>
      </c>
      <c r="R747" s="7" t="b">
        <v>0</v>
      </c>
      <c r="S747" s="7" t="s">
        <v>30</v>
      </c>
      <c r="T747" s="6">
        <v>2978</v>
      </c>
      <c r="U747" s="7" t="s">
        <v>76</v>
      </c>
      <c r="V747" s="12" t="s">
        <v>69</v>
      </c>
      <c r="W747" s="7" t="s">
        <v>60</v>
      </c>
      <c r="X747" s="6">
        <f t="shared" si="47"/>
        <v>567</v>
      </c>
      <c r="Y747" t="str" cm="1">
        <f t="array" ref="Y747">_xlfn.IFS(E747=7.99,"BASIC",E747=11.99,"STANDARD",E747=15.99,"PREMIUM")</f>
        <v>PREMIUM</v>
      </c>
      <c r="Z747" s="4">
        <f t="shared" si="45"/>
        <v>5.9506172839506171</v>
      </c>
      <c r="AA747" s="3" t="str" cm="1">
        <f t="array" ref="AA747">_xlfn.IFS(
(F747/(X747/7)) &lt; 5, "Casual",
AND((F747/(X747/7)) &gt;= 5, (F747/(X747/7)) &lt; 15), "Regular",
(F747/(X747/7)) &gt;= 15, "Power"
)</f>
        <v>Regular</v>
      </c>
      <c r="AB747" s="3">
        <f t="shared" si="48"/>
        <v>0.48345035105315948</v>
      </c>
      <c r="AC747" t="str">
        <f t="shared" si="46"/>
        <v>Viewers</v>
      </c>
    </row>
    <row r="748" spans="1:29" x14ac:dyDescent="0.3">
      <c r="A748" s="6">
        <v>9439</v>
      </c>
      <c r="B748" s="7" t="s">
        <v>653</v>
      </c>
      <c r="C748" s="10">
        <v>45245</v>
      </c>
      <c r="D748" s="10">
        <v>45637</v>
      </c>
      <c r="E748" s="13">
        <v>11.99</v>
      </c>
      <c r="F748" s="6">
        <v>360</v>
      </c>
      <c r="G748" s="7" t="s">
        <v>48</v>
      </c>
      <c r="H748" s="6">
        <v>3</v>
      </c>
      <c r="I748" s="6">
        <v>4</v>
      </c>
      <c r="J748" s="7" t="b">
        <v>0</v>
      </c>
      <c r="K748" s="6">
        <v>295</v>
      </c>
      <c r="L748" s="6">
        <v>55</v>
      </c>
      <c r="M748" s="7" t="s">
        <v>43</v>
      </c>
      <c r="N748" s="7" t="s">
        <v>56</v>
      </c>
      <c r="O748" s="7" t="s">
        <v>45</v>
      </c>
      <c r="P748" s="6">
        <v>31</v>
      </c>
      <c r="Q748" s="11">
        <v>3.7</v>
      </c>
      <c r="R748" s="7" t="b">
        <v>0</v>
      </c>
      <c r="S748" s="7" t="s">
        <v>30</v>
      </c>
      <c r="T748" s="6">
        <v>1984</v>
      </c>
      <c r="U748" s="7" t="s">
        <v>76</v>
      </c>
      <c r="V748" s="12" t="s">
        <v>39</v>
      </c>
      <c r="W748" s="7" t="s">
        <v>40</v>
      </c>
      <c r="X748" s="6">
        <f t="shared" si="47"/>
        <v>392</v>
      </c>
      <c r="Y748" t="str" cm="1">
        <f t="array" ref="Y748">_xlfn.IFS(E748=7.99,"BASIC",E748=11.99,"STANDARD",E748=15.99,"PREMIUM")</f>
        <v>STANDARD</v>
      </c>
      <c r="Z748" s="4">
        <f t="shared" si="45"/>
        <v>6.4285714285714288</v>
      </c>
      <c r="AA748" s="3" t="str" cm="1">
        <f t="array" ref="AA748">_xlfn.IFS(
(F748/(X748/7)) &lt; 5, "Casual",
AND((F748/(X748/7)) &gt;= 5, (F748/(X748/7)) &lt; 15), "Regular",
(F748/(X748/7)) &gt;= 15, "Power"
)</f>
        <v>Regular</v>
      </c>
      <c r="AB748" s="3">
        <f t="shared" si="48"/>
        <v>1.0285714285714285</v>
      </c>
      <c r="AC748" t="str">
        <f t="shared" si="46"/>
        <v>Viewers</v>
      </c>
    </row>
    <row r="749" spans="1:29" x14ac:dyDescent="0.3">
      <c r="A749" s="6">
        <v>8356</v>
      </c>
      <c r="B749" s="7" t="s">
        <v>546</v>
      </c>
      <c r="C749" s="10">
        <v>44942</v>
      </c>
      <c r="D749" s="10">
        <v>45640</v>
      </c>
      <c r="E749" s="13">
        <v>15.99</v>
      </c>
      <c r="F749" s="6">
        <v>463</v>
      </c>
      <c r="G749" s="7" t="s">
        <v>73</v>
      </c>
      <c r="H749" s="6">
        <v>2</v>
      </c>
      <c r="I749" s="6">
        <v>1</v>
      </c>
      <c r="J749" s="7" t="b">
        <v>0</v>
      </c>
      <c r="K749" s="6">
        <v>844</v>
      </c>
      <c r="L749" s="6">
        <v>98</v>
      </c>
      <c r="M749" s="7" t="s">
        <v>49</v>
      </c>
      <c r="N749" s="7" t="s">
        <v>75</v>
      </c>
      <c r="O749" s="7" t="s">
        <v>64</v>
      </c>
      <c r="P749" s="6">
        <v>15</v>
      </c>
      <c r="Q749" s="11">
        <v>3.6</v>
      </c>
      <c r="R749" s="7" t="b">
        <v>1</v>
      </c>
      <c r="S749" s="7" t="s">
        <v>30</v>
      </c>
      <c r="T749" s="6">
        <v>945</v>
      </c>
      <c r="U749" s="7" t="s">
        <v>31</v>
      </c>
      <c r="V749" s="12" t="s">
        <v>79</v>
      </c>
      <c r="W749" s="7" t="s">
        <v>93</v>
      </c>
      <c r="X749" s="6">
        <f t="shared" si="47"/>
        <v>698</v>
      </c>
      <c r="Y749" t="str" cm="1">
        <f t="array" ref="Y749">_xlfn.IFS(E749=7.99,"BASIC",E749=11.99,"STANDARD",E749=15.99,"PREMIUM")</f>
        <v>PREMIUM</v>
      </c>
      <c r="Z749" s="4">
        <f t="shared" si="45"/>
        <v>4.6432664756446993</v>
      </c>
      <c r="AA749" s="3" t="str" cm="1">
        <f t="array" ref="AA749">_xlfn.IFS(
(F749/(X749/7)) &lt; 5, "Casual",
AND((F749/(X749/7)) &gt;= 5, (F749/(X749/7)) &lt; 15), "Regular",
(F749/(X749/7)) &gt;= 15, "Power"
)</f>
        <v>Casual</v>
      </c>
      <c r="AB749" s="3">
        <f t="shared" si="48"/>
        <v>0.49150743099787686</v>
      </c>
      <c r="AC749" t="str">
        <f t="shared" si="46"/>
        <v>Viewers</v>
      </c>
    </row>
    <row r="750" spans="1:29" x14ac:dyDescent="0.3">
      <c r="A750" s="6">
        <v>2039</v>
      </c>
      <c r="B750" s="7" t="s">
        <v>656</v>
      </c>
      <c r="C750" s="10">
        <v>44928</v>
      </c>
      <c r="D750" s="10">
        <v>45628</v>
      </c>
      <c r="E750" s="13">
        <v>15.99</v>
      </c>
      <c r="F750" s="6">
        <v>13</v>
      </c>
      <c r="G750" s="7" t="s">
        <v>100</v>
      </c>
      <c r="H750" s="6">
        <v>3</v>
      </c>
      <c r="I750" s="6">
        <v>5</v>
      </c>
      <c r="J750" s="7" t="b">
        <v>0</v>
      </c>
      <c r="K750" s="6">
        <v>378</v>
      </c>
      <c r="L750" s="6">
        <v>123</v>
      </c>
      <c r="M750" s="7" t="s">
        <v>55</v>
      </c>
      <c r="N750" s="7" t="s">
        <v>56</v>
      </c>
      <c r="O750" s="7" t="s">
        <v>37</v>
      </c>
      <c r="P750" s="6">
        <v>3</v>
      </c>
      <c r="Q750" s="11">
        <v>4.2</v>
      </c>
      <c r="R750" s="7" t="b">
        <v>0</v>
      </c>
      <c r="S750" s="7" t="s">
        <v>30</v>
      </c>
      <c r="T750" s="6">
        <v>4134</v>
      </c>
      <c r="U750" s="7" t="s">
        <v>38</v>
      </c>
      <c r="V750" s="12" t="s">
        <v>39</v>
      </c>
      <c r="W750" s="7" t="s">
        <v>33</v>
      </c>
      <c r="X750" s="6">
        <f t="shared" si="47"/>
        <v>700</v>
      </c>
      <c r="Y750" t="str" cm="1">
        <f t="array" ref="Y750">_xlfn.IFS(E750=7.99,"BASIC",E750=11.99,"STANDARD",E750=15.99,"PREMIUM")</f>
        <v>PREMIUM</v>
      </c>
      <c r="Z750" s="4">
        <f t="shared" si="45"/>
        <v>0.13</v>
      </c>
      <c r="AA750" s="3" t="str" cm="1">
        <f t="array" ref="AA750">_xlfn.IFS(
(F750/(X750/7)) &lt; 5, "Casual",
AND((F750/(X750/7)) &gt;= 5, (F750/(X750/7)) &lt; 15), "Regular",
(F750/(X750/7)) &gt;= 15, "Power"
)</f>
        <v>Casual</v>
      </c>
      <c r="AB750" s="3">
        <f t="shared" si="48"/>
        <v>2.5948103792415168E-2</v>
      </c>
      <c r="AC750" t="str">
        <f t="shared" si="46"/>
        <v xml:space="preserve"> Browsers</v>
      </c>
    </row>
    <row r="751" spans="1:29" x14ac:dyDescent="0.3">
      <c r="A751" s="6">
        <v>2613</v>
      </c>
      <c r="B751" s="7" t="s">
        <v>657</v>
      </c>
      <c r="C751" s="10">
        <v>44964</v>
      </c>
      <c r="D751" s="10">
        <v>45642</v>
      </c>
      <c r="E751" s="13">
        <v>7.99</v>
      </c>
      <c r="F751" s="6">
        <v>129</v>
      </c>
      <c r="G751" s="7" t="s">
        <v>51</v>
      </c>
      <c r="H751" s="6">
        <v>4</v>
      </c>
      <c r="I751" s="6">
        <v>5</v>
      </c>
      <c r="J751" s="7" t="b">
        <v>0</v>
      </c>
      <c r="K751" s="6">
        <v>439</v>
      </c>
      <c r="L751" s="6">
        <v>10</v>
      </c>
      <c r="M751" s="7" t="s">
        <v>49</v>
      </c>
      <c r="N751" s="7" t="s">
        <v>56</v>
      </c>
      <c r="O751" s="7" t="s">
        <v>78</v>
      </c>
      <c r="P751" s="6">
        <v>11</v>
      </c>
      <c r="Q751" s="11">
        <v>3.7</v>
      </c>
      <c r="R751" s="7" t="b">
        <v>0</v>
      </c>
      <c r="S751" s="7" t="s">
        <v>30</v>
      </c>
      <c r="T751" s="6">
        <v>3741</v>
      </c>
      <c r="U751" s="7" t="s">
        <v>76</v>
      </c>
      <c r="V751" s="12" t="s">
        <v>32</v>
      </c>
      <c r="W751" s="7" t="s">
        <v>60</v>
      </c>
      <c r="X751" s="6">
        <f t="shared" si="47"/>
        <v>678</v>
      </c>
      <c r="Y751" t="str" cm="1">
        <f t="array" ref="Y751">_xlfn.IFS(E751=7.99,"BASIC",E751=11.99,"STANDARD",E751=15.99,"PREMIUM")</f>
        <v>BASIC</v>
      </c>
      <c r="Z751" s="4">
        <f t="shared" si="45"/>
        <v>1.331858407079646</v>
      </c>
      <c r="AA751" s="3" t="str" cm="1">
        <f t="array" ref="AA751">_xlfn.IFS(
(F751/(X751/7)) &lt; 5, "Casual",
AND((F751/(X751/7)) &gt;= 5, (F751/(X751/7)) &lt; 15), "Regular",
(F751/(X751/7)) &gt;= 15, "Power"
)</f>
        <v>Casual</v>
      </c>
      <c r="AB751" s="3">
        <f t="shared" si="48"/>
        <v>0.28730512249443207</v>
      </c>
      <c r="AC751" t="str">
        <f t="shared" si="46"/>
        <v>Viewers</v>
      </c>
    </row>
    <row r="752" spans="1:29" x14ac:dyDescent="0.3">
      <c r="A752" s="6">
        <v>8226</v>
      </c>
      <c r="B752" s="7" t="s">
        <v>138</v>
      </c>
      <c r="C752" s="10">
        <v>45414</v>
      </c>
      <c r="D752" s="10">
        <v>45619</v>
      </c>
      <c r="E752" s="13">
        <v>7.99</v>
      </c>
      <c r="F752" s="6">
        <v>290</v>
      </c>
      <c r="G752" s="7" t="s">
        <v>36</v>
      </c>
      <c r="H752" s="6">
        <v>5</v>
      </c>
      <c r="I752" s="6">
        <v>5</v>
      </c>
      <c r="J752" s="7" t="b">
        <v>0</v>
      </c>
      <c r="K752" s="6">
        <v>84</v>
      </c>
      <c r="L752" s="6">
        <v>52</v>
      </c>
      <c r="M752" s="7" t="s">
        <v>43</v>
      </c>
      <c r="N752" s="7" t="s">
        <v>44</v>
      </c>
      <c r="O752" s="7" t="s">
        <v>29</v>
      </c>
      <c r="P752" s="6">
        <v>91</v>
      </c>
      <c r="Q752" s="11">
        <v>3.1</v>
      </c>
      <c r="R752" s="7" t="b">
        <v>1</v>
      </c>
      <c r="S752" s="7" t="s">
        <v>30</v>
      </c>
      <c r="T752" s="6">
        <v>1408</v>
      </c>
      <c r="U752" s="7" t="s">
        <v>38</v>
      </c>
      <c r="V752" s="12" t="s">
        <v>69</v>
      </c>
      <c r="W752" s="7" t="s">
        <v>93</v>
      </c>
      <c r="X752" s="6">
        <f t="shared" si="47"/>
        <v>205</v>
      </c>
      <c r="Y752" t="str" cm="1">
        <f t="array" ref="Y752">_xlfn.IFS(E752=7.99,"BASIC",E752=11.99,"STANDARD",E752=15.99,"PREMIUM")</f>
        <v>BASIC</v>
      </c>
      <c r="Z752" s="4">
        <f t="shared" si="45"/>
        <v>9.9024390243902438</v>
      </c>
      <c r="AA752" s="3" t="str" cm="1">
        <f t="array" ref="AA752">_xlfn.IFS(
(F752/(X752/7)) &lt; 5, "Casual",
AND((F752/(X752/7)) &gt;= 5, (F752/(X752/7)) &lt; 15), "Regular",
(F752/(X752/7)) &gt;= 15, "Power"
)</f>
        <v>Regular</v>
      </c>
      <c r="AB752" s="3">
        <f t="shared" si="48"/>
        <v>2.1323529411764706</v>
      </c>
      <c r="AC752" t="str">
        <f t="shared" si="46"/>
        <v>Viewers</v>
      </c>
    </row>
    <row r="753" spans="1:29" x14ac:dyDescent="0.3">
      <c r="A753" s="6">
        <v>1425</v>
      </c>
      <c r="B753" s="7" t="s">
        <v>658</v>
      </c>
      <c r="C753" s="10">
        <v>45537</v>
      </c>
      <c r="D753" s="10">
        <v>45621</v>
      </c>
      <c r="E753" s="13">
        <v>7.99</v>
      </c>
      <c r="F753" s="6">
        <v>50</v>
      </c>
      <c r="G753" s="7" t="s">
        <v>26</v>
      </c>
      <c r="H753" s="6">
        <v>2</v>
      </c>
      <c r="I753" s="6">
        <v>3</v>
      </c>
      <c r="J753" s="7" t="b">
        <v>1</v>
      </c>
      <c r="K753" s="6">
        <v>502</v>
      </c>
      <c r="L753" s="6">
        <v>5</v>
      </c>
      <c r="M753" s="7" t="s">
        <v>55</v>
      </c>
      <c r="N753" s="7" t="s">
        <v>44</v>
      </c>
      <c r="O753" s="7" t="s">
        <v>29</v>
      </c>
      <c r="P753" s="6">
        <v>96</v>
      </c>
      <c r="Q753" s="11">
        <v>4.4000000000000004</v>
      </c>
      <c r="R753" s="7" t="b">
        <v>1</v>
      </c>
      <c r="S753" s="7" t="s">
        <v>30</v>
      </c>
      <c r="T753" s="6">
        <v>1917</v>
      </c>
      <c r="U753" s="7" t="s">
        <v>76</v>
      </c>
      <c r="V753" s="12" t="s">
        <v>79</v>
      </c>
      <c r="W753" s="7" t="s">
        <v>93</v>
      </c>
      <c r="X753" s="6">
        <f t="shared" si="47"/>
        <v>84</v>
      </c>
      <c r="Y753" t="str" cm="1">
        <f t="array" ref="Y753">_xlfn.IFS(E753=7.99,"BASIC",E753=11.99,"STANDARD",E753=15.99,"PREMIUM")</f>
        <v>BASIC</v>
      </c>
      <c r="Z753" s="4">
        <f t="shared" si="45"/>
        <v>4.166666666666667</v>
      </c>
      <c r="AA753" s="3" t="str" cm="1">
        <f t="array" ref="AA753">_xlfn.IFS(
(F753/(X753/7)) &lt; 5, "Casual",
AND((F753/(X753/7)) &gt;= 5, (F753/(X753/7)) &lt; 15), "Regular",
(F753/(X753/7)) &gt;= 15, "Power"
)</f>
        <v>Casual</v>
      </c>
      <c r="AB753" s="3">
        <f t="shared" si="48"/>
        <v>9.8619329388560162E-2</v>
      </c>
      <c r="AC753" t="str">
        <f t="shared" si="46"/>
        <v xml:space="preserve"> Browsers</v>
      </c>
    </row>
    <row r="754" spans="1:29" x14ac:dyDescent="0.3">
      <c r="A754" s="6">
        <v>4479</v>
      </c>
      <c r="B754" s="7" t="s">
        <v>23</v>
      </c>
      <c r="C754" s="10">
        <v>45602</v>
      </c>
      <c r="D754" s="10">
        <v>45632</v>
      </c>
      <c r="E754" s="13">
        <v>15.99</v>
      </c>
      <c r="F754" s="6">
        <v>241</v>
      </c>
      <c r="G754" s="7" t="s">
        <v>100</v>
      </c>
      <c r="H754" s="6">
        <v>3</v>
      </c>
      <c r="I754" s="6">
        <v>2</v>
      </c>
      <c r="J754" s="7" t="b">
        <v>1</v>
      </c>
      <c r="K754" s="6">
        <v>549</v>
      </c>
      <c r="L754" s="6">
        <v>158</v>
      </c>
      <c r="M754" s="7" t="s">
        <v>55</v>
      </c>
      <c r="N754" s="7" t="s">
        <v>44</v>
      </c>
      <c r="O754" s="7" t="s">
        <v>45</v>
      </c>
      <c r="P754" s="6">
        <v>96</v>
      </c>
      <c r="Q754" s="11">
        <v>3.1</v>
      </c>
      <c r="R754" s="7" t="b">
        <v>1</v>
      </c>
      <c r="S754" s="7" t="s">
        <v>30</v>
      </c>
      <c r="T754" s="6">
        <v>1986</v>
      </c>
      <c r="U754" s="7" t="s">
        <v>31</v>
      </c>
      <c r="V754" s="12" t="s">
        <v>39</v>
      </c>
      <c r="W754" s="7" t="s">
        <v>60</v>
      </c>
      <c r="X754" s="6">
        <f t="shared" si="47"/>
        <v>30</v>
      </c>
      <c r="Y754" t="str" cm="1">
        <f t="array" ref="Y754">_xlfn.IFS(E754=7.99,"BASIC",E754=11.99,"STANDARD",E754=15.99,"PREMIUM")</f>
        <v>PREMIUM</v>
      </c>
      <c r="Z754" s="4">
        <f t="shared" si="45"/>
        <v>56.233333333333334</v>
      </c>
      <c r="AA754" s="3" t="str" cm="1">
        <f t="array" ref="AA754">_xlfn.IFS(
(F754/(X754/7)) &lt; 5, "Casual",
AND((F754/(X754/7)) &gt;= 5, (F754/(X754/7)) &lt; 15), "Regular",
(F754/(X754/7)) &gt;= 15, "Power"
)</f>
        <v>Power</v>
      </c>
      <c r="AB754" s="3">
        <f t="shared" si="48"/>
        <v>0.34087694483734088</v>
      </c>
      <c r="AC754" t="str">
        <f t="shared" si="46"/>
        <v>Viewers</v>
      </c>
    </row>
    <row r="755" spans="1:29" x14ac:dyDescent="0.3">
      <c r="A755" s="6">
        <v>3393</v>
      </c>
      <c r="B755" s="7" t="s">
        <v>101</v>
      </c>
      <c r="C755" s="10">
        <v>45317</v>
      </c>
      <c r="D755" s="10">
        <v>45624</v>
      </c>
      <c r="E755" s="13">
        <v>7.99</v>
      </c>
      <c r="F755" s="6">
        <v>383</v>
      </c>
      <c r="G755" s="7" t="s">
        <v>63</v>
      </c>
      <c r="H755" s="6">
        <v>3</v>
      </c>
      <c r="I755" s="6">
        <v>2</v>
      </c>
      <c r="J755" s="7" t="b">
        <v>1</v>
      </c>
      <c r="K755" s="6">
        <v>699</v>
      </c>
      <c r="L755" s="6">
        <v>174</v>
      </c>
      <c r="M755" s="7" t="s">
        <v>92</v>
      </c>
      <c r="N755" s="7" t="s">
        <v>56</v>
      </c>
      <c r="O755" s="7" t="s">
        <v>78</v>
      </c>
      <c r="P755" s="6">
        <v>13</v>
      </c>
      <c r="Q755" s="11">
        <v>3.8</v>
      </c>
      <c r="R755" s="7" t="b">
        <v>1</v>
      </c>
      <c r="S755" s="7" t="s">
        <v>30</v>
      </c>
      <c r="T755" s="6">
        <v>3254</v>
      </c>
      <c r="U755" s="7" t="s">
        <v>31</v>
      </c>
      <c r="V755" s="12" t="s">
        <v>59</v>
      </c>
      <c r="W755" s="7" t="s">
        <v>93</v>
      </c>
      <c r="X755" s="6">
        <f t="shared" si="47"/>
        <v>307</v>
      </c>
      <c r="Y755" t="str" cm="1">
        <f t="array" ref="Y755">_xlfn.IFS(E755=7.99,"BASIC",E755=11.99,"STANDARD",E755=15.99,"PREMIUM")</f>
        <v>BASIC</v>
      </c>
      <c r="Z755" s="4">
        <f t="shared" si="45"/>
        <v>8.7328990228013037</v>
      </c>
      <c r="AA755" s="3" t="str" cm="1">
        <f t="array" ref="AA755">_xlfn.IFS(
(F755/(X755/7)) &lt; 5, "Casual",
AND((F755/(X755/7)) &gt;= 5, (F755/(X755/7)) &lt; 15), "Regular",
(F755/(X755/7)) &gt;= 15, "Power"
)</f>
        <v>Regular</v>
      </c>
      <c r="AB755" s="3">
        <f t="shared" si="48"/>
        <v>0.43871706758304696</v>
      </c>
      <c r="AC755" t="str">
        <f t="shared" si="46"/>
        <v>Viewers</v>
      </c>
    </row>
    <row r="756" spans="1:29" x14ac:dyDescent="0.3">
      <c r="A756" s="6">
        <v>8528</v>
      </c>
      <c r="B756" s="7" t="s">
        <v>283</v>
      </c>
      <c r="C756" s="10">
        <v>45612</v>
      </c>
      <c r="D756" s="10">
        <v>45625</v>
      </c>
      <c r="E756" s="13">
        <v>7.99</v>
      </c>
      <c r="F756" s="6">
        <v>384</v>
      </c>
      <c r="G756" s="7" t="s">
        <v>48</v>
      </c>
      <c r="H756" s="6">
        <v>5</v>
      </c>
      <c r="I756" s="6">
        <v>1</v>
      </c>
      <c r="J756" s="7" t="b">
        <v>0</v>
      </c>
      <c r="K756" s="6">
        <v>423</v>
      </c>
      <c r="L756" s="6">
        <v>110</v>
      </c>
      <c r="M756" s="7" t="s">
        <v>92</v>
      </c>
      <c r="N756" s="7" t="s">
        <v>56</v>
      </c>
      <c r="O756" s="7" t="s">
        <v>45</v>
      </c>
      <c r="P756" s="6">
        <v>61</v>
      </c>
      <c r="Q756" s="11">
        <v>4.7</v>
      </c>
      <c r="R756" s="7" t="b">
        <v>1</v>
      </c>
      <c r="S756" s="7" t="s">
        <v>30</v>
      </c>
      <c r="T756" s="6">
        <v>3648</v>
      </c>
      <c r="U756" s="7" t="s">
        <v>31</v>
      </c>
      <c r="V756" s="12" t="s">
        <v>69</v>
      </c>
      <c r="W756" s="7" t="s">
        <v>60</v>
      </c>
      <c r="X756" s="6">
        <f t="shared" si="47"/>
        <v>13</v>
      </c>
      <c r="Y756" t="str" cm="1">
        <f t="array" ref="Y756">_xlfn.IFS(E756=7.99,"BASIC",E756=11.99,"STANDARD",E756=15.99,"PREMIUM")</f>
        <v>BASIC</v>
      </c>
      <c r="Z756" s="4">
        <f t="shared" si="45"/>
        <v>206.76923076923077</v>
      </c>
      <c r="AA756" s="3" t="str" cm="1">
        <f t="array" ref="AA756">_xlfn.IFS(
(F756/(X756/7)) &lt; 5, "Casual",
AND((F756/(X756/7)) &gt;= 5, (F756/(X756/7)) &lt; 15), "Regular",
(F756/(X756/7)) &gt;= 15, "Power"
)</f>
        <v>Power</v>
      </c>
      <c r="AB756" s="3">
        <f t="shared" si="48"/>
        <v>0.72045028142589118</v>
      </c>
      <c r="AC756" t="str">
        <f t="shared" si="46"/>
        <v>Viewers</v>
      </c>
    </row>
    <row r="757" spans="1:29" x14ac:dyDescent="0.3">
      <c r="A757" s="6">
        <v>9372</v>
      </c>
      <c r="B757" s="7" t="s">
        <v>138</v>
      </c>
      <c r="C757" s="10">
        <v>44974</v>
      </c>
      <c r="D757" s="10">
        <v>45630</v>
      </c>
      <c r="E757" s="13">
        <v>7.99</v>
      </c>
      <c r="F757" s="6">
        <v>302</v>
      </c>
      <c r="G757" s="7" t="s">
        <v>63</v>
      </c>
      <c r="H757" s="6">
        <v>1</v>
      </c>
      <c r="I757" s="6">
        <v>1</v>
      </c>
      <c r="J757" s="7" t="b">
        <v>1</v>
      </c>
      <c r="K757" s="6">
        <v>964</v>
      </c>
      <c r="L757" s="6">
        <v>165</v>
      </c>
      <c r="M757" s="7" t="s">
        <v>92</v>
      </c>
      <c r="N757" s="7" t="s">
        <v>75</v>
      </c>
      <c r="O757" s="7" t="s">
        <v>64</v>
      </c>
      <c r="P757" s="6">
        <v>47</v>
      </c>
      <c r="Q757" s="11">
        <v>4.4000000000000004</v>
      </c>
      <c r="R757" s="7" t="b">
        <v>0</v>
      </c>
      <c r="S757" s="7" t="s">
        <v>30</v>
      </c>
      <c r="T757" s="6">
        <v>3552</v>
      </c>
      <c r="U757" s="7" t="s">
        <v>58</v>
      </c>
      <c r="V757" s="12" t="s">
        <v>79</v>
      </c>
      <c r="W757" s="7" t="s">
        <v>40</v>
      </c>
      <c r="X757" s="6">
        <f t="shared" si="47"/>
        <v>656</v>
      </c>
      <c r="Y757" t="str" cm="1">
        <f t="array" ref="Y757">_xlfn.IFS(E757=7.99,"BASIC",E757=11.99,"STANDARD",E757=15.99,"PREMIUM")</f>
        <v>BASIC</v>
      </c>
      <c r="Z757" s="4">
        <f t="shared" si="45"/>
        <v>3.2225609756097562</v>
      </c>
      <c r="AA757" s="3" t="str" cm="1">
        <f t="array" ref="AA757">_xlfn.IFS(
(F757/(X757/7)) &lt; 5, "Casual",
AND((F757/(X757/7)) &gt;= 5, (F757/(X757/7)) &lt; 15), "Regular",
(F757/(X757/7)) &gt;= 15, "Power"
)</f>
        <v>Casual</v>
      </c>
      <c r="AB757" s="3">
        <f t="shared" si="48"/>
        <v>0.26749335695305582</v>
      </c>
      <c r="AC757" t="str">
        <f t="shared" si="46"/>
        <v>Viewers</v>
      </c>
    </row>
    <row r="758" spans="1:29" x14ac:dyDescent="0.3">
      <c r="A758" s="6">
        <v>5469</v>
      </c>
      <c r="B758" s="7" t="s">
        <v>196</v>
      </c>
      <c r="C758" s="10">
        <v>45341</v>
      </c>
      <c r="D758" s="10">
        <v>45631</v>
      </c>
      <c r="E758" s="13">
        <v>15.99</v>
      </c>
      <c r="F758" s="6">
        <v>24</v>
      </c>
      <c r="G758" s="7" t="s">
        <v>48</v>
      </c>
      <c r="H758" s="6">
        <v>2</v>
      </c>
      <c r="I758" s="6">
        <v>1</v>
      </c>
      <c r="J758" s="7" t="b">
        <v>0</v>
      </c>
      <c r="K758" s="6">
        <v>742</v>
      </c>
      <c r="L758" s="6">
        <v>150</v>
      </c>
      <c r="M758" s="7" t="s">
        <v>27</v>
      </c>
      <c r="N758" s="7" t="s">
        <v>56</v>
      </c>
      <c r="O758" s="7" t="s">
        <v>78</v>
      </c>
      <c r="P758" s="6">
        <v>57</v>
      </c>
      <c r="Q758" s="11">
        <v>3</v>
      </c>
      <c r="R758" s="7" t="b">
        <v>0</v>
      </c>
      <c r="S758" s="7" t="s">
        <v>30</v>
      </c>
      <c r="T758" s="6">
        <v>150</v>
      </c>
      <c r="U758" s="7" t="s">
        <v>58</v>
      </c>
      <c r="V758" s="12" t="s">
        <v>59</v>
      </c>
      <c r="W758" s="7" t="s">
        <v>60</v>
      </c>
      <c r="X758" s="6">
        <f t="shared" si="47"/>
        <v>290</v>
      </c>
      <c r="Y758" t="str" cm="1">
        <f t="array" ref="Y758">_xlfn.IFS(E758=7.99,"BASIC",E758=11.99,"STANDARD",E758=15.99,"PREMIUM")</f>
        <v>PREMIUM</v>
      </c>
      <c r="Z758" s="4">
        <f t="shared" si="45"/>
        <v>0.57931034482758614</v>
      </c>
      <c r="AA758" s="3" t="str" cm="1">
        <f t="array" ref="AA758">_xlfn.IFS(
(F758/(X758/7)) &lt; 5, "Casual",
AND((F758/(X758/7)) &gt;= 5, (F758/(X758/7)) &lt; 15), "Regular",
(F758/(X758/7)) &gt;= 15, "Power"
)</f>
        <v>Casual</v>
      </c>
      <c r="AB758" s="3">
        <f t="shared" si="48"/>
        <v>2.6905829596412557E-2</v>
      </c>
      <c r="AC758" t="str">
        <f t="shared" si="46"/>
        <v xml:space="preserve"> Browsers</v>
      </c>
    </row>
    <row r="759" spans="1:29" x14ac:dyDescent="0.3">
      <c r="A759" s="6">
        <v>2603</v>
      </c>
      <c r="B759" s="7" t="s">
        <v>659</v>
      </c>
      <c r="C759" s="10">
        <v>45430</v>
      </c>
      <c r="D759" s="10">
        <v>45616</v>
      </c>
      <c r="E759" s="13">
        <v>11.99</v>
      </c>
      <c r="F759" s="6">
        <v>416</v>
      </c>
      <c r="G759" s="7" t="s">
        <v>100</v>
      </c>
      <c r="H759" s="6">
        <v>3</v>
      </c>
      <c r="I759" s="6">
        <v>5</v>
      </c>
      <c r="J759" s="7" t="b">
        <v>0</v>
      </c>
      <c r="K759" s="6">
        <v>97</v>
      </c>
      <c r="L759" s="6">
        <v>172</v>
      </c>
      <c r="M759" s="7" t="s">
        <v>27</v>
      </c>
      <c r="N759" s="7" t="s">
        <v>56</v>
      </c>
      <c r="O759" s="7" t="s">
        <v>57</v>
      </c>
      <c r="P759" s="6">
        <v>89</v>
      </c>
      <c r="Q759" s="11">
        <v>4.3</v>
      </c>
      <c r="R759" s="7" t="b">
        <v>1</v>
      </c>
      <c r="S759" s="7" t="s">
        <v>30</v>
      </c>
      <c r="T759" s="6">
        <v>786</v>
      </c>
      <c r="U759" s="7" t="s">
        <v>58</v>
      </c>
      <c r="V759" s="12" t="s">
        <v>59</v>
      </c>
      <c r="W759" s="7" t="s">
        <v>93</v>
      </c>
      <c r="X759" s="6">
        <f t="shared" si="47"/>
        <v>186</v>
      </c>
      <c r="Y759" t="str" cm="1">
        <f t="array" ref="Y759">_xlfn.IFS(E759=7.99,"BASIC",E759=11.99,"STANDARD",E759=15.99,"PREMIUM")</f>
        <v>STANDARD</v>
      </c>
      <c r="Z759" s="4">
        <f t="shared" si="45"/>
        <v>15.655913978494622</v>
      </c>
      <c r="AA759" s="3" t="str" cm="1">
        <f t="array" ref="AA759">_xlfn.IFS(
(F759/(X759/7)) &lt; 5, "Casual",
AND((F759/(X759/7)) &gt;= 5, (F759/(X759/7)) &lt; 15), "Regular",
(F759/(X759/7)) &gt;= 15, "Power"
)</f>
        <v>Power</v>
      </c>
      <c r="AB759" s="3">
        <f t="shared" si="48"/>
        <v>1.5464684014869889</v>
      </c>
      <c r="AC759" t="str">
        <f t="shared" si="46"/>
        <v>Viewers</v>
      </c>
    </row>
    <row r="760" spans="1:29" x14ac:dyDescent="0.3">
      <c r="A760" s="6">
        <v>5306</v>
      </c>
      <c r="B760" s="7" t="s">
        <v>369</v>
      </c>
      <c r="C760" s="10">
        <v>45179</v>
      </c>
      <c r="D760" s="10">
        <v>45635</v>
      </c>
      <c r="E760" s="13">
        <v>15.99</v>
      </c>
      <c r="F760" s="6">
        <v>272</v>
      </c>
      <c r="G760" s="7" t="s">
        <v>73</v>
      </c>
      <c r="H760" s="6">
        <v>5</v>
      </c>
      <c r="I760" s="6">
        <v>1</v>
      </c>
      <c r="J760" s="7" t="b">
        <v>1</v>
      </c>
      <c r="K760" s="6">
        <v>735</v>
      </c>
      <c r="L760" s="6">
        <v>74</v>
      </c>
      <c r="M760" s="7" t="s">
        <v>74</v>
      </c>
      <c r="N760" s="7" t="s">
        <v>56</v>
      </c>
      <c r="O760" s="7" t="s">
        <v>64</v>
      </c>
      <c r="P760" s="6">
        <v>90</v>
      </c>
      <c r="Q760" s="11">
        <v>3.8</v>
      </c>
      <c r="R760" s="7" t="b">
        <v>1</v>
      </c>
      <c r="S760" s="7" t="s">
        <v>30</v>
      </c>
      <c r="T760" s="6">
        <v>1808</v>
      </c>
      <c r="U760" s="7" t="s">
        <v>76</v>
      </c>
      <c r="V760" s="12" t="s">
        <v>39</v>
      </c>
      <c r="W760" s="7" t="s">
        <v>33</v>
      </c>
      <c r="X760" s="6">
        <f t="shared" si="47"/>
        <v>456</v>
      </c>
      <c r="Y760" t="str" cm="1">
        <f t="array" ref="Y760">_xlfn.IFS(E760=7.99,"BASIC",E760=11.99,"STANDARD",E760=15.99,"PREMIUM")</f>
        <v>PREMIUM</v>
      </c>
      <c r="Z760" s="4">
        <f t="shared" si="45"/>
        <v>4.1754385964912286</v>
      </c>
      <c r="AA760" s="3" t="str" cm="1">
        <f t="array" ref="AA760">_xlfn.IFS(
(F760/(X760/7)) &lt; 5, "Casual",
AND((F760/(X760/7)) &gt;= 5, (F760/(X760/7)) &lt; 15), "Regular",
(F760/(X760/7)) &gt;= 15, "Power"
)</f>
        <v>Casual</v>
      </c>
      <c r="AB760" s="3">
        <f t="shared" si="48"/>
        <v>0.3362175525339926</v>
      </c>
      <c r="AC760" t="str">
        <f t="shared" si="46"/>
        <v>Viewers</v>
      </c>
    </row>
    <row r="761" spans="1:29" x14ac:dyDescent="0.3">
      <c r="A761" s="6">
        <v>7869</v>
      </c>
      <c r="B761" s="7" t="s">
        <v>283</v>
      </c>
      <c r="C761" s="10">
        <v>45435</v>
      </c>
      <c r="D761" s="10">
        <v>45627</v>
      </c>
      <c r="E761" s="13">
        <v>15.99</v>
      </c>
      <c r="F761" s="6">
        <v>294</v>
      </c>
      <c r="G761" s="7" t="s">
        <v>36</v>
      </c>
      <c r="H761" s="6">
        <v>3</v>
      </c>
      <c r="I761" s="6">
        <v>6</v>
      </c>
      <c r="J761" s="7" t="b">
        <v>0</v>
      </c>
      <c r="K761" s="6">
        <v>709</v>
      </c>
      <c r="L761" s="6">
        <v>181</v>
      </c>
      <c r="M761" s="7" t="s">
        <v>74</v>
      </c>
      <c r="N761" s="7" t="s">
        <v>75</v>
      </c>
      <c r="O761" s="7" t="s">
        <v>57</v>
      </c>
      <c r="P761" s="6">
        <v>39</v>
      </c>
      <c r="Q761" s="11">
        <v>3.2</v>
      </c>
      <c r="R761" s="7" t="b">
        <v>1</v>
      </c>
      <c r="S761" s="7" t="s">
        <v>30</v>
      </c>
      <c r="T761" s="6">
        <v>3091</v>
      </c>
      <c r="U761" s="7" t="s">
        <v>65</v>
      </c>
      <c r="V761" s="12" t="s">
        <v>69</v>
      </c>
      <c r="W761" s="7" t="s">
        <v>40</v>
      </c>
      <c r="X761" s="6">
        <f t="shared" si="47"/>
        <v>192</v>
      </c>
      <c r="Y761" t="str" cm="1">
        <f t="array" ref="Y761">_xlfn.IFS(E761=7.99,"BASIC",E761=11.99,"STANDARD",E761=15.99,"PREMIUM")</f>
        <v>PREMIUM</v>
      </c>
      <c r="Z761" s="4">
        <f t="shared" si="45"/>
        <v>10.71875</v>
      </c>
      <c r="AA761" s="3" t="str" cm="1">
        <f t="array" ref="AA761">_xlfn.IFS(
(F761/(X761/7)) &lt; 5, "Casual",
AND((F761/(X761/7)) &gt;= 5, (F761/(X761/7)) &lt; 15), "Regular",
(F761/(X761/7)) &gt;= 15, "Power"
)</f>
        <v>Regular</v>
      </c>
      <c r="AB761" s="3">
        <f t="shared" si="48"/>
        <v>0.33033707865168538</v>
      </c>
      <c r="AC761" t="str">
        <f t="shared" si="46"/>
        <v>Viewers</v>
      </c>
    </row>
    <row r="762" spans="1:29" x14ac:dyDescent="0.3">
      <c r="A762" s="6">
        <v>1699</v>
      </c>
      <c r="B762" s="7" t="s">
        <v>224</v>
      </c>
      <c r="C762" s="10">
        <v>45182</v>
      </c>
      <c r="D762" s="10">
        <v>45637</v>
      </c>
      <c r="E762" s="13">
        <v>15.99</v>
      </c>
      <c r="F762" s="6">
        <v>18</v>
      </c>
      <c r="G762" s="7" t="s">
        <v>51</v>
      </c>
      <c r="H762" s="6">
        <v>4</v>
      </c>
      <c r="I762" s="6">
        <v>2</v>
      </c>
      <c r="J762" s="7" t="b">
        <v>0</v>
      </c>
      <c r="K762" s="6">
        <v>882</v>
      </c>
      <c r="L762" s="6">
        <v>1</v>
      </c>
      <c r="M762" s="7" t="s">
        <v>92</v>
      </c>
      <c r="N762" s="7" t="s">
        <v>56</v>
      </c>
      <c r="O762" s="7" t="s">
        <v>57</v>
      </c>
      <c r="P762" s="6">
        <v>100</v>
      </c>
      <c r="Q762" s="11">
        <v>4.7</v>
      </c>
      <c r="R762" s="7" t="b">
        <v>1</v>
      </c>
      <c r="S762" s="7" t="s">
        <v>30</v>
      </c>
      <c r="T762" s="6">
        <v>3697</v>
      </c>
      <c r="U762" s="7" t="s">
        <v>38</v>
      </c>
      <c r="V762" s="12" t="s">
        <v>39</v>
      </c>
      <c r="W762" s="7" t="s">
        <v>40</v>
      </c>
      <c r="X762" s="6">
        <f t="shared" si="47"/>
        <v>455</v>
      </c>
      <c r="Y762" t="str" cm="1">
        <f t="array" ref="Y762">_xlfn.IFS(E762=7.99,"BASIC",E762=11.99,"STANDARD",E762=15.99,"PREMIUM")</f>
        <v>PREMIUM</v>
      </c>
      <c r="Z762" s="4">
        <f t="shared" si="45"/>
        <v>0.27692307692307694</v>
      </c>
      <c r="AA762" s="3" t="str" cm="1">
        <f t="array" ref="AA762">_xlfn.IFS(
(F762/(X762/7)) &lt; 5, "Casual",
AND((F762/(X762/7)) &gt;= 5, (F762/(X762/7)) &lt; 15), "Regular",
(F762/(X762/7)) &gt;= 15, "Power"
)</f>
        <v>Casual</v>
      </c>
      <c r="AB762" s="3">
        <f t="shared" si="48"/>
        <v>2.0385050962627407E-2</v>
      </c>
      <c r="AC762" t="str">
        <f t="shared" si="46"/>
        <v xml:space="preserve"> Browsers</v>
      </c>
    </row>
    <row r="763" spans="1:29" x14ac:dyDescent="0.3">
      <c r="A763" s="6">
        <v>3214</v>
      </c>
      <c r="B763" s="7" t="s">
        <v>114</v>
      </c>
      <c r="C763" s="10">
        <v>45487</v>
      </c>
      <c r="D763" s="10">
        <v>45638</v>
      </c>
      <c r="E763" s="13">
        <v>15.99</v>
      </c>
      <c r="F763" s="6">
        <v>409</v>
      </c>
      <c r="G763" s="7" t="s">
        <v>26</v>
      </c>
      <c r="H763" s="6">
        <v>1</v>
      </c>
      <c r="I763" s="6">
        <v>2</v>
      </c>
      <c r="J763" s="7" t="b">
        <v>1</v>
      </c>
      <c r="K763" s="6">
        <v>131</v>
      </c>
      <c r="L763" s="6">
        <v>85</v>
      </c>
      <c r="M763" s="7" t="s">
        <v>74</v>
      </c>
      <c r="N763" s="7" t="s">
        <v>75</v>
      </c>
      <c r="O763" s="7" t="s">
        <v>78</v>
      </c>
      <c r="P763" s="6">
        <v>95</v>
      </c>
      <c r="Q763" s="11">
        <v>4.3</v>
      </c>
      <c r="R763" s="7" t="b">
        <v>1</v>
      </c>
      <c r="S763" s="7" t="s">
        <v>30</v>
      </c>
      <c r="T763" s="6">
        <v>4835</v>
      </c>
      <c r="U763" s="7" t="s">
        <v>65</v>
      </c>
      <c r="V763" s="12" t="s">
        <v>59</v>
      </c>
      <c r="W763" s="7" t="s">
        <v>93</v>
      </c>
      <c r="X763" s="6">
        <f t="shared" si="47"/>
        <v>151</v>
      </c>
      <c r="Y763" t="str" cm="1">
        <f t="array" ref="Y763">_xlfn.IFS(E763=7.99,"BASIC",E763=11.99,"STANDARD",E763=15.99,"PREMIUM")</f>
        <v>PREMIUM</v>
      </c>
      <c r="Z763" s="4">
        <f t="shared" si="45"/>
        <v>18.960264900662249</v>
      </c>
      <c r="AA763" s="3" t="str" cm="1">
        <f t="array" ref="AA763">_xlfn.IFS(
(F763/(X763/7)) &lt; 5, "Casual",
AND((F763/(X763/7)) &gt;= 5, (F763/(X763/7)) &lt; 15), "Regular",
(F763/(X763/7)) &gt;= 15, "Power"
)</f>
        <v>Power</v>
      </c>
      <c r="AB763" s="3">
        <f t="shared" si="48"/>
        <v>1.8935185185185186</v>
      </c>
      <c r="AC763" t="str">
        <f t="shared" si="46"/>
        <v>Viewers</v>
      </c>
    </row>
    <row r="764" spans="1:29" x14ac:dyDescent="0.3">
      <c r="A764" s="6">
        <v>1050</v>
      </c>
      <c r="B764" s="7" t="s">
        <v>52</v>
      </c>
      <c r="C764" s="10">
        <v>45395</v>
      </c>
      <c r="D764" s="10">
        <v>45625</v>
      </c>
      <c r="E764" s="13">
        <v>11.99</v>
      </c>
      <c r="F764" s="6">
        <v>290</v>
      </c>
      <c r="G764" s="7" t="s">
        <v>100</v>
      </c>
      <c r="H764" s="6">
        <v>4</v>
      </c>
      <c r="I764" s="6">
        <v>4</v>
      </c>
      <c r="J764" s="7" t="b">
        <v>0</v>
      </c>
      <c r="K764" s="6">
        <v>305</v>
      </c>
      <c r="L764" s="6">
        <v>112</v>
      </c>
      <c r="M764" s="7" t="s">
        <v>27</v>
      </c>
      <c r="N764" s="7" t="s">
        <v>28</v>
      </c>
      <c r="O764" s="7" t="s">
        <v>57</v>
      </c>
      <c r="P764" s="6">
        <v>57</v>
      </c>
      <c r="Q764" s="11">
        <v>4.5</v>
      </c>
      <c r="R764" s="7" t="b">
        <v>0</v>
      </c>
      <c r="S764" s="7" t="s">
        <v>30</v>
      </c>
      <c r="T764" s="6">
        <v>2023</v>
      </c>
      <c r="U764" s="7" t="s">
        <v>38</v>
      </c>
      <c r="V764" s="12" t="s">
        <v>69</v>
      </c>
      <c r="W764" s="7" t="s">
        <v>60</v>
      </c>
      <c r="X764" s="6">
        <f t="shared" si="47"/>
        <v>230</v>
      </c>
      <c r="Y764" t="str" cm="1">
        <f t="array" ref="Y764">_xlfn.IFS(E764=7.99,"BASIC",E764=11.99,"STANDARD",E764=15.99,"PREMIUM")</f>
        <v>STANDARD</v>
      </c>
      <c r="Z764" s="4">
        <f t="shared" si="45"/>
        <v>8.8260869565217401</v>
      </c>
      <c r="AA764" s="3" t="str" cm="1">
        <f t="array" ref="AA764">_xlfn.IFS(
(F764/(X764/7)) &lt; 5, "Casual",
AND((F764/(X764/7)) &gt;= 5, (F764/(X764/7)) &lt; 15), "Regular",
(F764/(X764/7)) &gt;= 15, "Power"
)</f>
        <v>Regular</v>
      </c>
      <c r="AB764" s="3">
        <f t="shared" si="48"/>
        <v>0.69544364508393286</v>
      </c>
      <c r="AC764" t="str">
        <f t="shared" si="46"/>
        <v>Viewers</v>
      </c>
    </row>
    <row r="765" spans="1:29" x14ac:dyDescent="0.3">
      <c r="A765" s="6">
        <v>3325</v>
      </c>
      <c r="B765" s="7" t="s">
        <v>104</v>
      </c>
      <c r="C765" s="10">
        <v>45575</v>
      </c>
      <c r="D765" s="10">
        <v>45626</v>
      </c>
      <c r="E765" s="13">
        <v>15.99</v>
      </c>
      <c r="F765" s="6">
        <v>102</v>
      </c>
      <c r="G765" s="7" t="s">
        <v>36</v>
      </c>
      <c r="H765" s="6">
        <v>5</v>
      </c>
      <c r="I765" s="6">
        <v>3</v>
      </c>
      <c r="J765" s="7" t="b">
        <v>0</v>
      </c>
      <c r="K765" s="6">
        <v>456</v>
      </c>
      <c r="L765" s="6">
        <v>52</v>
      </c>
      <c r="M765" s="7" t="s">
        <v>74</v>
      </c>
      <c r="N765" s="7" t="s">
        <v>44</v>
      </c>
      <c r="O765" s="7" t="s">
        <v>78</v>
      </c>
      <c r="P765" s="6">
        <v>32</v>
      </c>
      <c r="Q765" s="11">
        <v>4.9000000000000004</v>
      </c>
      <c r="R765" s="7" t="b">
        <v>1</v>
      </c>
      <c r="S765" s="7" t="s">
        <v>30</v>
      </c>
      <c r="T765" s="6">
        <v>1005</v>
      </c>
      <c r="U765" s="7" t="s">
        <v>76</v>
      </c>
      <c r="V765" s="12" t="s">
        <v>39</v>
      </c>
      <c r="W765" s="7" t="s">
        <v>40</v>
      </c>
      <c r="X765" s="6">
        <f t="shared" si="47"/>
        <v>51</v>
      </c>
      <c r="Y765" t="str" cm="1">
        <f t="array" ref="Y765">_xlfn.IFS(E765=7.99,"BASIC",E765=11.99,"STANDARD",E765=15.99,"PREMIUM")</f>
        <v>PREMIUM</v>
      </c>
      <c r="Z765" s="4">
        <f t="shared" si="45"/>
        <v>14</v>
      </c>
      <c r="AA765" s="3" t="str" cm="1">
        <f t="array" ref="AA765">_xlfn.IFS(
(F765/(X765/7)) &lt; 5, "Casual",
AND((F765/(X765/7)) &gt;= 5, (F765/(X765/7)) &lt; 15), "Regular",
(F765/(X765/7)) &gt;= 15, "Power"
)</f>
        <v>Regular</v>
      </c>
      <c r="AB765" s="3">
        <f t="shared" si="48"/>
        <v>0.20078740157480315</v>
      </c>
      <c r="AC765" t="str">
        <f t="shared" si="46"/>
        <v>Viewers</v>
      </c>
    </row>
    <row r="766" spans="1:29" x14ac:dyDescent="0.3">
      <c r="A766" s="6">
        <v>1970</v>
      </c>
      <c r="B766" s="7" t="s">
        <v>157</v>
      </c>
      <c r="C766" s="10">
        <v>45190</v>
      </c>
      <c r="D766" s="10">
        <v>45628</v>
      </c>
      <c r="E766" s="13">
        <v>15.99</v>
      </c>
      <c r="F766" s="6">
        <v>119</v>
      </c>
      <c r="G766" s="7" t="s">
        <v>48</v>
      </c>
      <c r="H766" s="6">
        <v>2</v>
      </c>
      <c r="I766" s="6">
        <v>1</v>
      </c>
      <c r="J766" s="7" t="b">
        <v>1</v>
      </c>
      <c r="K766" s="6">
        <v>385</v>
      </c>
      <c r="L766" s="6">
        <v>82</v>
      </c>
      <c r="M766" s="7" t="s">
        <v>68</v>
      </c>
      <c r="N766" s="7" t="s">
        <v>75</v>
      </c>
      <c r="O766" s="7" t="s">
        <v>64</v>
      </c>
      <c r="P766" s="6">
        <v>87</v>
      </c>
      <c r="Q766" s="11">
        <v>3.3</v>
      </c>
      <c r="R766" s="7" t="b">
        <v>0</v>
      </c>
      <c r="S766" s="7" t="s">
        <v>30</v>
      </c>
      <c r="T766" s="6">
        <v>876</v>
      </c>
      <c r="U766" s="7" t="s">
        <v>76</v>
      </c>
      <c r="V766" s="12" t="s">
        <v>32</v>
      </c>
      <c r="W766" s="7" t="s">
        <v>93</v>
      </c>
      <c r="X766" s="6">
        <f t="shared" si="47"/>
        <v>438</v>
      </c>
      <c r="Y766" t="str" cm="1">
        <f t="array" ref="Y766">_xlfn.IFS(E766=7.99,"BASIC",E766=11.99,"STANDARD",E766=15.99,"PREMIUM")</f>
        <v>PREMIUM</v>
      </c>
      <c r="Z766" s="4">
        <f t="shared" si="45"/>
        <v>1.9018264840182648</v>
      </c>
      <c r="AA766" s="3" t="str" cm="1">
        <f t="array" ref="AA766">_xlfn.IFS(
(F766/(X766/7)) &lt; 5, "Casual",
AND((F766/(X766/7)) &gt;= 5, (F766/(X766/7)) &lt; 15), "Regular",
(F766/(X766/7)) &gt;= 15, "Power"
)</f>
        <v>Casual</v>
      </c>
      <c r="AB766" s="3">
        <f t="shared" si="48"/>
        <v>0.25481798715203424</v>
      </c>
      <c r="AC766" t="str">
        <f t="shared" si="46"/>
        <v>Viewers</v>
      </c>
    </row>
    <row r="767" spans="1:29" x14ac:dyDescent="0.3">
      <c r="A767" s="6">
        <v>6272</v>
      </c>
      <c r="B767" s="7" t="s">
        <v>558</v>
      </c>
      <c r="C767" s="10">
        <v>45132</v>
      </c>
      <c r="D767" s="10">
        <v>45644</v>
      </c>
      <c r="E767" s="13">
        <v>11.99</v>
      </c>
      <c r="F767" s="6">
        <v>87</v>
      </c>
      <c r="G767" s="7" t="s">
        <v>26</v>
      </c>
      <c r="H767" s="6">
        <v>3</v>
      </c>
      <c r="I767" s="6">
        <v>6</v>
      </c>
      <c r="J767" s="7" t="b">
        <v>1</v>
      </c>
      <c r="K767" s="6">
        <v>213</v>
      </c>
      <c r="L767" s="6">
        <v>98</v>
      </c>
      <c r="M767" s="7" t="s">
        <v>43</v>
      </c>
      <c r="N767" s="7" t="s">
        <v>44</v>
      </c>
      <c r="O767" s="7" t="s">
        <v>45</v>
      </c>
      <c r="P767" s="6">
        <v>84</v>
      </c>
      <c r="Q767" s="11">
        <v>4.7</v>
      </c>
      <c r="R767" s="7" t="b">
        <v>0</v>
      </c>
      <c r="S767" s="7" t="s">
        <v>30</v>
      </c>
      <c r="T767" s="6">
        <v>2089</v>
      </c>
      <c r="U767" s="7" t="s">
        <v>76</v>
      </c>
      <c r="V767" s="12" t="s">
        <v>39</v>
      </c>
      <c r="W767" s="7" t="s">
        <v>93</v>
      </c>
      <c r="X767" s="6">
        <f t="shared" si="47"/>
        <v>512</v>
      </c>
      <c r="Y767" t="str" cm="1">
        <f t="array" ref="Y767">_xlfn.IFS(E767=7.99,"BASIC",E767=11.99,"STANDARD",E767=15.99,"PREMIUM")</f>
        <v>STANDARD</v>
      </c>
      <c r="Z767" s="4">
        <f t="shared" si="45"/>
        <v>1.189453125</v>
      </c>
      <c r="AA767" s="3" t="str" cm="1">
        <f t="array" ref="AA767">_xlfn.IFS(
(F767/(X767/7)) &lt; 5, "Casual",
AND((F767/(X767/7)) &gt;= 5, (F767/(X767/7)) &lt; 15), "Regular",
(F767/(X767/7)) &gt;= 15, "Power"
)</f>
        <v>Casual</v>
      </c>
      <c r="AB767" s="3">
        <f t="shared" si="48"/>
        <v>0.27974276527331188</v>
      </c>
      <c r="AC767" t="str">
        <f t="shared" si="46"/>
        <v>Viewers</v>
      </c>
    </row>
    <row r="768" spans="1:29" x14ac:dyDescent="0.3">
      <c r="A768" s="6">
        <v>4745</v>
      </c>
      <c r="B768" s="7" t="s">
        <v>98</v>
      </c>
      <c r="C768" s="10">
        <v>45110</v>
      </c>
      <c r="D768" s="10">
        <v>45626</v>
      </c>
      <c r="E768" s="13">
        <v>7.99</v>
      </c>
      <c r="F768" s="6">
        <v>273</v>
      </c>
      <c r="G768" s="7" t="s">
        <v>36</v>
      </c>
      <c r="H768" s="6">
        <v>5</v>
      </c>
      <c r="I768" s="6">
        <v>1</v>
      </c>
      <c r="J768" s="7" t="b">
        <v>1</v>
      </c>
      <c r="K768" s="6">
        <v>830</v>
      </c>
      <c r="L768" s="6">
        <v>178</v>
      </c>
      <c r="M768" s="7" t="s">
        <v>27</v>
      </c>
      <c r="N768" s="7" t="s">
        <v>75</v>
      </c>
      <c r="O768" s="7" t="s">
        <v>78</v>
      </c>
      <c r="P768" s="6">
        <v>37</v>
      </c>
      <c r="Q768" s="11">
        <v>3.7</v>
      </c>
      <c r="R768" s="7" t="b">
        <v>1</v>
      </c>
      <c r="S768" s="7" t="s">
        <v>30</v>
      </c>
      <c r="T768" s="6">
        <v>772</v>
      </c>
      <c r="U768" s="7" t="s">
        <v>31</v>
      </c>
      <c r="V768" s="12" t="s">
        <v>79</v>
      </c>
      <c r="W768" s="7" t="s">
        <v>40</v>
      </c>
      <c r="X768" s="6">
        <f t="shared" si="47"/>
        <v>516</v>
      </c>
      <c r="Y768" t="str" cm="1">
        <f t="array" ref="Y768">_xlfn.IFS(E768=7.99,"BASIC",E768=11.99,"STANDARD",E768=15.99,"PREMIUM")</f>
        <v>BASIC</v>
      </c>
      <c r="Z768" s="4">
        <f t="shared" si="45"/>
        <v>3.7034883720930236</v>
      </c>
      <c r="AA768" s="3" t="str" cm="1">
        <f t="array" ref="AA768">_xlfn.IFS(
(F768/(X768/7)) &lt; 5, "Casual",
AND((F768/(X768/7)) &gt;= 5, (F768/(X768/7)) &lt; 15), "Regular",
(F768/(X768/7)) &gt;= 15, "Power"
)</f>
        <v>Casual</v>
      </c>
      <c r="AB768" s="3">
        <f t="shared" si="48"/>
        <v>0.27083333333333331</v>
      </c>
      <c r="AC768" t="str">
        <f t="shared" si="46"/>
        <v>Viewers</v>
      </c>
    </row>
    <row r="769" spans="1:29" x14ac:dyDescent="0.3">
      <c r="A769" s="6">
        <v>8867</v>
      </c>
      <c r="B769" s="7" t="s">
        <v>223</v>
      </c>
      <c r="C769" s="10">
        <v>45080</v>
      </c>
      <c r="D769" s="10">
        <v>45617</v>
      </c>
      <c r="E769" s="13">
        <v>15.99</v>
      </c>
      <c r="F769" s="6">
        <v>281</v>
      </c>
      <c r="G769" s="7" t="s">
        <v>73</v>
      </c>
      <c r="H769" s="6">
        <v>1</v>
      </c>
      <c r="I769" s="6">
        <v>2</v>
      </c>
      <c r="J769" s="7" t="b">
        <v>1</v>
      </c>
      <c r="K769" s="6">
        <v>601</v>
      </c>
      <c r="L769" s="6">
        <v>75</v>
      </c>
      <c r="M769" s="7" t="s">
        <v>92</v>
      </c>
      <c r="N769" s="7" t="s">
        <v>56</v>
      </c>
      <c r="O769" s="7" t="s">
        <v>37</v>
      </c>
      <c r="P769" s="6">
        <v>92</v>
      </c>
      <c r="Q769" s="11">
        <v>4.5</v>
      </c>
      <c r="R769" s="7" t="b">
        <v>0</v>
      </c>
      <c r="S769" s="7" t="s">
        <v>30</v>
      </c>
      <c r="T769" s="6">
        <v>373</v>
      </c>
      <c r="U769" s="7" t="s">
        <v>58</v>
      </c>
      <c r="V769" s="12" t="s">
        <v>69</v>
      </c>
      <c r="W769" s="7" t="s">
        <v>60</v>
      </c>
      <c r="X769" s="6">
        <f t="shared" si="47"/>
        <v>537</v>
      </c>
      <c r="Y769" t="str" cm="1">
        <f t="array" ref="Y769">_xlfn.IFS(E769=7.99,"BASIC",E769=11.99,"STANDARD",E769=15.99,"PREMIUM")</f>
        <v>PREMIUM</v>
      </c>
      <c r="Z769" s="4">
        <f t="shared" si="45"/>
        <v>3.6629422718808198</v>
      </c>
      <c r="AA769" s="3" t="str" cm="1">
        <f t="array" ref="AA769">_xlfn.IFS(
(F769/(X769/7)) &lt; 5, "Casual",
AND((F769/(X769/7)) &gt;= 5, (F769/(X769/7)) &lt; 15), "Regular",
(F769/(X769/7)) &gt;= 15, "Power"
)</f>
        <v>Casual</v>
      </c>
      <c r="AB769" s="3">
        <f t="shared" si="48"/>
        <v>0.41568047337278108</v>
      </c>
      <c r="AC769" t="str">
        <f t="shared" si="46"/>
        <v>Viewers</v>
      </c>
    </row>
    <row r="770" spans="1:29" x14ac:dyDescent="0.3">
      <c r="A770" s="6">
        <v>4901</v>
      </c>
      <c r="B770" s="7" t="s">
        <v>226</v>
      </c>
      <c r="C770" s="10">
        <v>44938</v>
      </c>
      <c r="D770" s="10">
        <v>45644</v>
      </c>
      <c r="E770" s="13">
        <v>7.99</v>
      </c>
      <c r="F770" s="6">
        <v>115</v>
      </c>
      <c r="G770" s="7" t="s">
        <v>51</v>
      </c>
      <c r="H770" s="6">
        <v>2</v>
      </c>
      <c r="I770" s="6">
        <v>3</v>
      </c>
      <c r="J770" s="7" t="b">
        <v>0</v>
      </c>
      <c r="K770" s="6">
        <v>843</v>
      </c>
      <c r="L770" s="6">
        <v>153</v>
      </c>
      <c r="M770" s="7" t="s">
        <v>92</v>
      </c>
      <c r="N770" s="7" t="s">
        <v>28</v>
      </c>
      <c r="O770" s="7" t="s">
        <v>45</v>
      </c>
      <c r="P770" s="6">
        <v>6</v>
      </c>
      <c r="Q770" s="11">
        <v>3.3</v>
      </c>
      <c r="R770" s="7" t="b">
        <v>1</v>
      </c>
      <c r="S770" s="7" t="s">
        <v>30</v>
      </c>
      <c r="T770" s="6">
        <v>3425</v>
      </c>
      <c r="U770" s="7" t="s">
        <v>76</v>
      </c>
      <c r="V770" s="12" t="s">
        <v>39</v>
      </c>
      <c r="W770" s="7" t="s">
        <v>60</v>
      </c>
      <c r="X770" s="6">
        <f t="shared" si="47"/>
        <v>706</v>
      </c>
      <c r="Y770" t="str" cm="1">
        <f t="array" ref="Y770">_xlfn.IFS(E770=7.99,"BASIC",E770=11.99,"STANDARD",E770=15.99,"PREMIUM")</f>
        <v>BASIC</v>
      </c>
      <c r="Z770" s="4">
        <f t="shared" ref="Z770:Z833" si="49">F770/(X770/7)</f>
        <v>1.1402266288951841</v>
      </c>
      <c r="AA770" s="3" t="str" cm="1">
        <f t="array" ref="AA770">_xlfn.IFS(
(F770/(X770/7)) &lt; 5, "Casual",
AND((F770/(X770/7)) &gt;= 5, (F770/(X770/7)) &lt; 15), "Regular",
(F770/(X770/7)) &gt;= 15, "Power"
)</f>
        <v>Casual</v>
      </c>
      <c r="AB770" s="3">
        <f t="shared" si="48"/>
        <v>0.11546184738955824</v>
      </c>
      <c r="AC770" t="str">
        <f t="shared" ref="AC770:AC833" si="50">IF(F770/(K770+L770) &lt; 0.15," Browsers","Viewers")</f>
        <v xml:space="preserve"> Browsers</v>
      </c>
    </row>
    <row r="771" spans="1:29" x14ac:dyDescent="0.3">
      <c r="A771" s="6">
        <v>9575</v>
      </c>
      <c r="B771" s="7" t="s">
        <v>224</v>
      </c>
      <c r="C771" s="10">
        <v>44982</v>
      </c>
      <c r="D771" s="10">
        <v>45639</v>
      </c>
      <c r="E771" s="13">
        <v>11.99</v>
      </c>
      <c r="F771" s="6">
        <v>483</v>
      </c>
      <c r="G771" s="7" t="s">
        <v>63</v>
      </c>
      <c r="H771" s="6">
        <v>2</v>
      </c>
      <c r="I771" s="6">
        <v>6</v>
      </c>
      <c r="J771" s="7" t="b">
        <v>0</v>
      </c>
      <c r="K771" s="6">
        <v>386</v>
      </c>
      <c r="L771" s="6">
        <v>192</v>
      </c>
      <c r="M771" s="7" t="s">
        <v>68</v>
      </c>
      <c r="N771" s="7" t="s">
        <v>28</v>
      </c>
      <c r="O771" s="7" t="s">
        <v>78</v>
      </c>
      <c r="P771" s="6">
        <v>95</v>
      </c>
      <c r="Q771" s="11">
        <v>4.5999999999999996</v>
      </c>
      <c r="R771" s="7" t="b">
        <v>1</v>
      </c>
      <c r="S771" s="7" t="s">
        <v>30</v>
      </c>
      <c r="T771" s="6">
        <v>4422</v>
      </c>
      <c r="U771" s="7" t="s">
        <v>38</v>
      </c>
      <c r="V771" s="12" t="s">
        <v>79</v>
      </c>
      <c r="W771" s="7" t="s">
        <v>33</v>
      </c>
      <c r="X771" s="6">
        <f t="shared" ref="X771:X834" si="51">D771-C771</f>
        <v>657</v>
      </c>
      <c r="Y771" t="str" cm="1">
        <f t="array" ref="Y771">_xlfn.IFS(E771=7.99,"BASIC",E771=11.99,"STANDARD",E771=15.99,"PREMIUM")</f>
        <v>STANDARD</v>
      </c>
      <c r="Z771" s="4">
        <f t="shared" si="49"/>
        <v>5.1461187214611872</v>
      </c>
      <c r="AA771" s="3" t="str" cm="1">
        <f t="array" ref="AA771">_xlfn.IFS(
(F771/(X771/7)) &lt; 5, "Casual",
AND((F771/(X771/7)) &gt;= 5, (F771/(X771/7)) &lt; 15), "Regular",
(F771/(X771/7)) &gt;= 15, "Power"
)</f>
        <v>Regular</v>
      </c>
      <c r="AB771" s="3">
        <f t="shared" si="48"/>
        <v>0.83564013840830453</v>
      </c>
      <c r="AC771" t="str">
        <f t="shared" si="50"/>
        <v>Viewers</v>
      </c>
    </row>
    <row r="772" spans="1:29" x14ac:dyDescent="0.3">
      <c r="A772" s="6">
        <v>4471</v>
      </c>
      <c r="B772" s="7" t="s">
        <v>399</v>
      </c>
      <c r="C772" s="10">
        <v>45382</v>
      </c>
      <c r="D772" s="10">
        <v>45637</v>
      </c>
      <c r="E772" s="13">
        <v>11.99</v>
      </c>
      <c r="F772" s="6">
        <v>129</v>
      </c>
      <c r="G772" s="7" t="s">
        <v>36</v>
      </c>
      <c r="H772" s="6">
        <v>5</v>
      </c>
      <c r="I772" s="6">
        <v>3</v>
      </c>
      <c r="J772" s="7" t="b">
        <v>0</v>
      </c>
      <c r="K772" s="6">
        <v>291</v>
      </c>
      <c r="L772" s="6">
        <v>37</v>
      </c>
      <c r="M772" s="7" t="s">
        <v>55</v>
      </c>
      <c r="N772" s="7" t="s">
        <v>56</v>
      </c>
      <c r="O772" s="7" t="s">
        <v>45</v>
      </c>
      <c r="P772" s="6">
        <v>51</v>
      </c>
      <c r="Q772" s="11">
        <v>3.8</v>
      </c>
      <c r="R772" s="7" t="b">
        <v>0</v>
      </c>
      <c r="S772" s="7" t="s">
        <v>30</v>
      </c>
      <c r="T772" s="6">
        <v>4980</v>
      </c>
      <c r="U772" s="7" t="s">
        <v>76</v>
      </c>
      <c r="V772" s="12" t="s">
        <v>39</v>
      </c>
      <c r="W772" s="7" t="s">
        <v>60</v>
      </c>
      <c r="X772" s="6">
        <f t="shared" si="51"/>
        <v>255</v>
      </c>
      <c r="Y772" t="str" cm="1">
        <f t="array" ref="Y772">_xlfn.IFS(E772=7.99,"BASIC",E772=11.99,"STANDARD",E772=15.99,"PREMIUM")</f>
        <v>STANDARD</v>
      </c>
      <c r="Z772" s="4">
        <f t="shared" si="49"/>
        <v>3.5411764705882351</v>
      </c>
      <c r="AA772" s="3" t="str" cm="1">
        <f t="array" ref="AA772">_xlfn.IFS(
(F772/(X772/7)) &lt; 5, "Casual",
AND((F772/(X772/7)) &gt;= 5, (F772/(X772/7)) &lt; 15), "Regular",
(F772/(X772/7)) &gt;= 15, "Power"
)</f>
        <v>Casual</v>
      </c>
      <c r="AB772" s="3">
        <f t="shared" si="48"/>
        <v>0.39329268292682928</v>
      </c>
      <c r="AC772" t="str">
        <f t="shared" si="50"/>
        <v>Viewers</v>
      </c>
    </row>
    <row r="773" spans="1:29" x14ac:dyDescent="0.3">
      <c r="A773" s="6">
        <v>1385</v>
      </c>
      <c r="B773" s="7" t="s">
        <v>664</v>
      </c>
      <c r="C773" s="10">
        <v>45568</v>
      </c>
      <c r="D773" s="10">
        <v>45636</v>
      </c>
      <c r="E773" s="13">
        <v>11.99</v>
      </c>
      <c r="F773" s="6">
        <v>292</v>
      </c>
      <c r="G773" s="7" t="s">
        <v>36</v>
      </c>
      <c r="H773" s="6">
        <v>4</v>
      </c>
      <c r="I773" s="6">
        <v>3</v>
      </c>
      <c r="J773" s="7" t="b">
        <v>0</v>
      </c>
      <c r="K773" s="6">
        <v>198</v>
      </c>
      <c r="L773" s="6">
        <v>195</v>
      </c>
      <c r="M773" s="7" t="s">
        <v>43</v>
      </c>
      <c r="N773" s="7" t="s">
        <v>56</v>
      </c>
      <c r="O773" s="7" t="s">
        <v>64</v>
      </c>
      <c r="P773" s="6">
        <v>55</v>
      </c>
      <c r="Q773" s="11">
        <v>4.9000000000000004</v>
      </c>
      <c r="R773" s="7" t="b">
        <v>1</v>
      </c>
      <c r="S773" s="7" t="s">
        <v>30</v>
      </c>
      <c r="T773" s="6">
        <v>1367</v>
      </c>
      <c r="U773" s="7" t="s">
        <v>76</v>
      </c>
      <c r="V773" s="12" t="s">
        <v>32</v>
      </c>
      <c r="W773" s="7" t="s">
        <v>33</v>
      </c>
      <c r="X773" s="6">
        <f t="shared" si="51"/>
        <v>68</v>
      </c>
      <c r="Y773" t="str" cm="1">
        <f t="array" ref="Y773">_xlfn.IFS(E773=7.99,"BASIC",E773=11.99,"STANDARD",E773=15.99,"PREMIUM")</f>
        <v>STANDARD</v>
      </c>
      <c r="Z773" s="4">
        <f t="shared" si="49"/>
        <v>30.058823529411768</v>
      </c>
      <c r="AA773" s="3" t="str" cm="1">
        <f t="array" ref="AA773">_xlfn.IFS(
(F773/(X773/7)) &lt; 5, "Casual",
AND((F773/(X773/7)) &gt;= 5, (F773/(X773/7)) &lt; 15), "Regular",
(F773/(X773/7)) &gt;= 15, "Power"
)</f>
        <v>Power</v>
      </c>
      <c r="AB773" s="3">
        <f t="shared" si="48"/>
        <v>0.74300254452926207</v>
      </c>
      <c r="AC773" t="str">
        <f t="shared" si="50"/>
        <v>Viewers</v>
      </c>
    </row>
    <row r="774" spans="1:29" x14ac:dyDescent="0.3">
      <c r="A774" s="6">
        <v>4302</v>
      </c>
      <c r="B774" s="7" t="s">
        <v>164</v>
      </c>
      <c r="C774" s="10">
        <v>44973</v>
      </c>
      <c r="D774" s="10">
        <v>45636</v>
      </c>
      <c r="E774" s="13">
        <v>11.99</v>
      </c>
      <c r="F774" s="6">
        <v>307</v>
      </c>
      <c r="G774" s="7" t="s">
        <v>63</v>
      </c>
      <c r="H774" s="6">
        <v>3</v>
      </c>
      <c r="I774" s="6">
        <v>1</v>
      </c>
      <c r="J774" s="7" t="b">
        <v>0</v>
      </c>
      <c r="K774" s="6">
        <v>919</v>
      </c>
      <c r="L774" s="6">
        <v>175</v>
      </c>
      <c r="M774" s="7" t="s">
        <v>55</v>
      </c>
      <c r="N774" s="7" t="s">
        <v>44</v>
      </c>
      <c r="O774" s="7" t="s">
        <v>64</v>
      </c>
      <c r="P774" s="6">
        <v>22</v>
      </c>
      <c r="Q774" s="11">
        <v>4</v>
      </c>
      <c r="R774" s="7" t="b">
        <v>1</v>
      </c>
      <c r="S774" s="7" t="s">
        <v>30</v>
      </c>
      <c r="T774" s="6">
        <v>2728</v>
      </c>
      <c r="U774" s="7" t="s">
        <v>38</v>
      </c>
      <c r="V774" s="12" t="s">
        <v>32</v>
      </c>
      <c r="W774" s="7" t="s">
        <v>33</v>
      </c>
      <c r="X774" s="6">
        <f t="shared" si="51"/>
        <v>663</v>
      </c>
      <c r="Y774" t="str" cm="1">
        <f t="array" ref="Y774">_xlfn.IFS(E774=7.99,"BASIC",E774=11.99,"STANDARD",E774=15.99,"PREMIUM")</f>
        <v>STANDARD</v>
      </c>
      <c r="Z774" s="4">
        <f t="shared" si="49"/>
        <v>3.2413273001508296</v>
      </c>
      <c r="AA774" s="3" t="str" cm="1">
        <f t="array" ref="AA774">_xlfn.IFS(
(F774/(X774/7)) &lt; 5, "Casual",
AND((F774/(X774/7)) &gt;= 5, (F774/(X774/7)) &lt; 15), "Regular",
(F774/(X774/7)) &gt;= 15, "Power"
)</f>
        <v>Casual</v>
      </c>
      <c r="AB774" s="3">
        <f t="shared" si="48"/>
        <v>0.2806215722120658</v>
      </c>
      <c r="AC774" t="str">
        <f t="shared" si="50"/>
        <v>Viewers</v>
      </c>
    </row>
    <row r="775" spans="1:29" x14ac:dyDescent="0.3">
      <c r="A775" s="6">
        <v>4738</v>
      </c>
      <c r="B775" s="7" t="s">
        <v>666</v>
      </c>
      <c r="C775" s="10">
        <v>45235</v>
      </c>
      <c r="D775" s="10">
        <v>45630</v>
      </c>
      <c r="E775" s="13">
        <v>15.99</v>
      </c>
      <c r="F775" s="6">
        <v>306</v>
      </c>
      <c r="G775" s="7" t="s">
        <v>36</v>
      </c>
      <c r="H775" s="6">
        <v>5</v>
      </c>
      <c r="I775" s="6">
        <v>6</v>
      </c>
      <c r="J775" s="7" t="b">
        <v>1</v>
      </c>
      <c r="K775" s="6">
        <v>483</v>
      </c>
      <c r="L775" s="6">
        <v>5</v>
      </c>
      <c r="M775" s="7" t="s">
        <v>49</v>
      </c>
      <c r="N775" s="7" t="s">
        <v>44</v>
      </c>
      <c r="O775" s="7" t="s">
        <v>29</v>
      </c>
      <c r="P775" s="6">
        <v>56</v>
      </c>
      <c r="Q775" s="11">
        <v>4.7</v>
      </c>
      <c r="R775" s="7" t="b">
        <v>0</v>
      </c>
      <c r="S775" s="7" t="s">
        <v>30</v>
      </c>
      <c r="T775" s="6">
        <v>1556</v>
      </c>
      <c r="U775" s="7" t="s">
        <v>76</v>
      </c>
      <c r="V775" s="12" t="s">
        <v>32</v>
      </c>
      <c r="W775" s="7" t="s">
        <v>40</v>
      </c>
      <c r="X775" s="6">
        <f t="shared" si="51"/>
        <v>395</v>
      </c>
      <c r="Y775" t="str" cm="1">
        <f t="array" ref="Y775">_xlfn.IFS(E775=7.99,"BASIC",E775=11.99,"STANDARD",E775=15.99,"PREMIUM")</f>
        <v>PREMIUM</v>
      </c>
      <c r="Z775" s="4">
        <f t="shared" si="49"/>
        <v>5.4227848101265819</v>
      </c>
      <c r="AA775" s="3" t="str" cm="1">
        <f t="array" ref="AA775">_xlfn.IFS(
(F775/(X775/7)) &lt; 5, "Casual",
AND((F775/(X775/7)) &gt;= 5, (F775/(X775/7)) &lt; 15), "Regular",
(F775/(X775/7)) &gt;= 15, "Power"
)</f>
        <v>Regular</v>
      </c>
      <c r="AB775" s="3">
        <f t="shared" si="48"/>
        <v>0.62704918032786883</v>
      </c>
      <c r="AC775" t="str">
        <f t="shared" si="50"/>
        <v>Viewers</v>
      </c>
    </row>
    <row r="776" spans="1:29" x14ac:dyDescent="0.3">
      <c r="A776" s="6">
        <v>2441</v>
      </c>
      <c r="B776" s="7" t="s">
        <v>283</v>
      </c>
      <c r="C776" s="10">
        <v>45074</v>
      </c>
      <c r="D776" s="10">
        <v>45640</v>
      </c>
      <c r="E776" s="13">
        <v>11.99</v>
      </c>
      <c r="F776" s="6">
        <v>71</v>
      </c>
      <c r="G776" s="7" t="s">
        <v>48</v>
      </c>
      <c r="H776" s="6">
        <v>3</v>
      </c>
      <c r="I776" s="6">
        <v>2</v>
      </c>
      <c r="J776" s="7" t="b">
        <v>1</v>
      </c>
      <c r="K776" s="6">
        <v>645</v>
      </c>
      <c r="L776" s="6">
        <v>5</v>
      </c>
      <c r="M776" s="7" t="s">
        <v>68</v>
      </c>
      <c r="N776" s="7" t="s">
        <v>28</v>
      </c>
      <c r="O776" s="7" t="s">
        <v>45</v>
      </c>
      <c r="P776" s="6">
        <v>66</v>
      </c>
      <c r="Q776" s="11">
        <v>3.9</v>
      </c>
      <c r="R776" s="7" t="b">
        <v>0</v>
      </c>
      <c r="S776" s="7" t="s">
        <v>30</v>
      </c>
      <c r="T776" s="6">
        <v>4566</v>
      </c>
      <c r="U776" s="7" t="s">
        <v>76</v>
      </c>
      <c r="V776" s="12" t="s">
        <v>39</v>
      </c>
      <c r="W776" s="7" t="s">
        <v>33</v>
      </c>
      <c r="X776" s="6">
        <f t="shared" si="51"/>
        <v>566</v>
      </c>
      <c r="Y776" t="str" cm="1">
        <f t="array" ref="Y776">_xlfn.IFS(E776=7.99,"BASIC",E776=11.99,"STANDARD",E776=15.99,"PREMIUM")</f>
        <v>STANDARD</v>
      </c>
      <c r="Z776" s="4">
        <f t="shared" si="49"/>
        <v>0.87809187279151935</v>
      </c>
      <c r="AA776" s="3" t="str" cm="1">
        <f t="array" ref="AA776">_xlfn.IFS(
(F776/(X776/7)) &lt; 5, "Casual",
AND((F776/(X776/7)) &gt;= 5, (F776/(X776/7)) &lt; 15), "Regular",
(F776/(X776/7)) &gt;= 15, "Power"
)</f>
        <v>Casual</v>
      </c>
      <c r="AB776" s="3">
        <f t="shared" si="48"/>
        <v>0.10923076923076923</v>
      </c>
      <c r="AC776" t="str">
        <f t="shared" si="50"/>
        <v xml:space="preserve"> Browsers</v>
      </c>
    </row>
    <row r="777" spans="1:29" x14ac:dyDescent="0.3">
      <c r="A777" s="6">
        <v>6546</v>
      </c>
      <c r="B777" s="7" t="s">
        <v>667</v>
      </c>
      <c r="C777" s="10">
        <v>45286</v>
      </c>
      <c r="D777" s="10">
        <v>45634</v>
      </c>
      <c r="E777" s="13">
        <v>15.99</v>
      </c>
      <c r="F777" s="6">
        <v>253</v>
      </c>
      <c r="G777" s="7" t="s">
        <v>48</v>
      </c>
      <c r="H777" s="6">
        <v>1</v>
      </c>
      <c r="I777" s="6">
        <v>2</v>
      </c>
      <c r="J777" s="7" t="b">
        <v>1</v>
      </c>
      <c r="K777" s="6">
        <v>653</v>
      </c>
      <c r="L777" s="6">
        <v>53</v>
      </c>
      <c r="M777" s="7" t="s">
        <v>27</v>
      </c>
      <c r="N777" s="7" t="s">
        <v>28</v>
      </c>
      <c r="O777" s="7" t="s">
        <v>29</v>
      </c>
      <c r="P777" s="6">
        <v>43</v>
      </c>
      <c r="Q777" s="11">
        <v>4.0999999999999996</v>
      </c>
      <c r="R777" s="7" t="b">
        <v>1</v>
      </c>
      <c r="S777" s="7" t="s">
        <v>30</v>
      </c>
      <c r="T777" s="6">
        <v>2969</v>
      </c>
      <c r="U777" s="7" t="s">
        <v>65</v>
      </c>
      <c r="V777" s="12" t="s">
        <v>32</v>
      </c>
      <c r="W777" s="7" t="s">
        <v>40</v>
      </c>
      <c r="X777" s="6">
        <f t="shared" si="51"/>
        <v>348</v>
      </c>
      <c r="Y777" t="str" cm="1">
        <f t="array" ref="Y777">_xlfn.IFS(E777=7.99,"BASIC",E777=11.99,"STANDARD",E777=15.99,"PREMIUM")</f>
        <v>PREMIUM</v>
      </c>
      <c r="Z777" s="4">
        <f t="shared" si="49"/>
        <v>5.0890804597701145</v>
      </c>
      <c r="AA777" s="3" t="str" cm="1">
        <f t="array" ref="AA777">_xlfn.IFS(
(F777/(X777/7)) &lt; 5, "Casual",
AND((F777/(X777/7)) &gt;= 5, (F777/(X777/7)) &lt; 15), "Regular",
(F777/(X777/7)) &gt;= 15, "Power"
)</f>
        <v>Regular</v>
      </c>
      <c r="AB777" s="3">
        <f t="shared" ref="AB777:AB840" si="52">(F777/(K777+L777))</f>
        <v>0.35835694050991501</v>
      </c>
      <c r="AC777" t="str">
        <f t="shared" si="50"/>
        <v>Viewers</v>
      </c>
    </row>
    <row r="778" spans="1:29" x14ac:dyDescent="0.3">
      <c r="A778" s="6">
        <v>5459</v>
      </c>
      <c r="B778" s="7" t="s">
        <v>344</v>
      </c>
      <c r="C778" s="10">
        <v>45395</v>
      </c>
      <c r="D778" s="10">
        <v>45639</v>
      </c>
      <c r="E778" s="13">
        <v>15.99</v>
      </c>
      <c r="F778" s="6">
        <v>68</v>
      </c>
      <c r="G778" s="7" t="s">
        <v>63</v>
      </c>
      <c r="H778" s="6">
        <v>5</v>
      </c>
      <c r="I778" s="6">
        <v>2</v>
      </c>
      <c r="J778" s="7" t="b">
        <v>0</v>
      </c>
      <c r="K778" s="6">
        <v>727</v>
      </c>
      <c r="L778" s="6">
        <v>5</v>
      </c>
      <c r="M778" s="7" t="s">
        <v>74</v>
      </c>
      <c r="N778" s="7" t="s">
        <v>75</v>
      </c>
      <c r="O778" s="7" t="s">
        <v>78</v>
      </c>
      <c r="P778" s="6">
        <v>8</v>
      </c>
      <c r="Q778" s="11">
        <v>4.5999999999999996</v>
      </c>
      <c r="R778" s="7" t="b">
        <v>0</v>
      </c>
      <c r="S778" s="7" t="s">
        <v>30</v>
      </c>
      <c r="T778" s="6">
        <v>3421</v>
      </c>
      <c r="U778" s="7" t="s">
        <v>58</v>
      </c>
      <c r="V778" s="12" t="s">
        <v>69</v>
      </c>
      <c r="W778" s="7" t="s">
        <v>33</v>
      </c>
      <c r="X778" s="6">
        <f t="shared" si="51"/>
        <v>244</v>
      </c>
      <c r="Y778" t="str" cm="1">
        <f t="array" ref="Y778">_xlfn.IFS(E778=7.99,"BASIC",E778=11.99,"STANDARD",E778=15.99,"PREMIUM")</f>
        <v>PREMIUM</v>
      </c>
      <c r="Z778" s="4">
        <f t="shared" si="49"/>
        <v>1.9508196721311477</v>
      </c>
      <c r="AA778" s="3" t="str" cm="1">
        <f t="array" ref="AA778">_xlfn.IFS(
(F778/(X778/7)) &lt; 5, "Casual",
AND((F778/(X778/7)) &gt;= 5, (F778/(X778/7)) &lt; 15), "Regular",
(F778/(X778/7)) &gt;= 15, "Power"
)</f>
        <v>Casual</v>
      </c>
      <c r="AB778" s="3">
        <f t="shared" si="52"/>
        <v>9.2896174863387984E-2</v>
      </c>
      <c r="AC778" t="str">
        <f t="shared" si="50"/>
        <v xml:space="preserve"> Browsers</v>
      </c>
    </row>
    <row r="779" spans="1:29" x14ac:dyDescent="0.3">
      <c r="A779" s="6">
        <v>7051</v>
      </c>
      <c r="B779" s="7" t="s">
        <v>23</v>
      </c>
      <c r="C779" s="10">
        <v>45060</v>
      </c>
      <c r="D779" s="10">
        <v>45642</v>
      </c>
      <c r="E779" s="13">
        <v>7.99</v>
      </c>
      <c r="F779" s="6">
        <v>366</v>
      </c>
      <c r="G779" s="7" t="s">
        <v>36</v>
      </c>
      <c r="H779" s="6">
        <v>1</v>
      </c>
      <c r="I779" s="6">
        <v>1</v>
      </c>
      <c r="J779" s="7" t="b">
        <v>1</v>
      </c>
      <c r="K779" s="6">
        <v>257</v>
      </c>
      <c r="L779" s="6">
        <v>46</v>
      </c>
      <c r="M779" s="7" t="s">
        <v>74</v>
      </c>
      <c r="N779" s="7" t="s">
        <v>44</v>
      </c>
      <c r="O779" s="7" t="s">
        <v>78</v>
      </c>
      <c r="P779" s="6">
        <v>7</v>
      </c>
      <c r="Q779" s="11">
        <v>4.5</v>
      </c>
      <c r="R779" s="7" t="b">
        <v>1</v>
      </c>
      <c r="S779" s="7" t="s">
        <v>30</v>
      </c>
      <c r="T779" s="6">
        <v>2535</v>
      </c>
      <c r="U779" s="7" t="s">
        <v>76</v>
      </c>
      <c r="V779" s="12" t="s">
        <v>39</v>
      </c>
      <c r="W779" s="7" t="s">
        <v>40</v>
      </c>
      <c r="X779" s="6">
        <f t="shared" si="51"/>
        <v>582</v>
      </c>
      <c r="Y779" t="str" cm="1">
        <f t="array" ref="Y779">_xlfn.IFS(E779=7.99,"BASIC",E779=11.99,"STANDARD",E779=15.99,"PREMIUM")</f>
        <v>BASIC</v>
      </c>
      <c r="Z779" s="4">
        <f t="shared" si="49"/>
        <v>4.4020618556701034</v>
      </c>
      <c r="AA779" s="3" t="str" cm="1">
        <f t="array" ref="AA779">_xlfn.IFS(
(F779/(X779/7)) &lt; 5, "Casual",
AND((F779/(X779/7)) &gt;= 5, (F779/(X779/7)) &lt; 15), "Regular",
(F779/(X779/7)) &gt;= 15, "Power"
)</f>
        <v>Casual</v>
      </c>
      <c r="AB779" s="3">
        <f t="shared" si="52"/>
        <v>1.2079207920792079</v>
      </c>
      <c r="AC779" t="str">
        <f t="shared" si="50"/>
        <v>Viewers</v>
      </c>
    </row>
    <row r="780" spans="1:29" x14ac:dyDescent="0.3">
      <c r="A780" s="6">
        <v>6671</v>
      </c>
      <c r="B780" s="7" t="s">
        <v>41</v>
      </c>
      <c r="C780" s="10">
        <v>45343</v>
      </c>
      <c r="D780" s="10">
        <v>45637</v>
      </c>
      <c r="E780" s="13">
        <v>15.99</v>
      </c>
      <c r="F780" s="6">
        <v>166</v>
      </c>
      <c r="G780" s="7" t="s">
        <v>100</v>
      </c>
      <c r="H780" s="6">
        <v>4</v>
      </c>
      <c r="I780" s="6">
        <v>1</v>
      </c>
      <c r="J780" s="7" t="b">
        <v>0</v>
      </c>
      <c r="K780" s="6">
        <v>208</v>
      </c>
      <c r="L780" s="6">
        <v>39</v>
      </c>
      <c r="M780" s="7" t="s">
        <v>74</v>
      </c>
      <c r="N780" s="7" t="s">
        <v>28</v>
      </c>
      <c r="O780" s="7" t="s">
        <v>57</v>
      </c>
      <c r="P780" s="6">
        <v>53</v>
      </c>
      <c r="Q780" s="11">
        <v>5</v>
      </c>
      <c r="R780" s="7" t="b">
        <v>1</v>
      </c>
      <c r="S780" s="7" t="s">
        <v>30</v>
      </c>
      <c r="T780" s="6">
        <v>290</v>
      </c>
      <c r="U780" s="7" t="s">
        <v>31</v>
      </c>
      <c r="V780" s="12" t="s">
        <v>32</v>
      </c>
      <c r="W780" s="7" t="s">
        <v>40</v>
      </c>
      <c r="X780" s="6">
        <f t="shared" si="51"/>
        <v>294</v>
      </c>
      <c r="Y780" t="str" cm="1">
        <f t="array" ref="Y780">_xlfn.IFS(E780=7.99,"BASIC",E780=11.99,"STANDARD",E780=15.99,"PREMIUM")</f>
        <v>PREMIUM</v>
      </c>
      <c r="Z780" s="4">
        <f t="shared" si="49"/>
        <v>3.9523809523809526</v>
      </c>
      <c r="AA780" s="3" t="str" cm="1">
        <f t="array" ref="AA780">_xlfn.IFS(
(F780/(X780/7)) &lt; 5, "Casual",
AND((F780/(X780/7)) &gt;= 5, (F780/(X780/7)) &lt; 15), "Regular",
(F780/(X780/7)) &gt;= 15, "Power"
)</f>
        <v>Casual</v>
      </c>
      <c r="AB780" s="3">
        <f t="shared" si="52"/>
        <v>0.67206477732793524</v>
      </c>
      <c r="AC780" t="str">
        <f t="shared" si="50"/>
        <v>Viewers</v>
      </c>
    </row>
    <row r="781" spans="1:29" x14ac:dyDescent="0.3">
      <c r="A781" s="6">
        <v>6013</v>
      </c>
      <c r="B781" s="7" t="s">
        <v>116</v>
      </c>
      <c r="C781" s="10">
        <v>45527</v>
      </c>
      <c r="D781" s="10">
        <v>45629</v>
      </c>
      <c r="E781" s="13">
        <v>15.99</v>
      </c>
      <c r="F781" s="6">
        <v>136</v>
      </c>
      <c r="G781" s="7" t="s">
        <v>73</v>
      </c>
      <c r="H781" s="6">
        <v>2</v>
      </c>
      <c r="I781" s="6">
        <v>4</v>
      </c>
      <c r="J781" s="7" t="b">
        <v>1</v>
      </c>
      <c r="K781" s="6">
        <v>471</v>
      </c>
      <c r="L781" s="6">
        <v>91</v>
      </c>
      <c r="M781" s="7" t="s">
        <v>43</v>
      </c>
      <c r="N781" s="7" t="s">
        <v>44</v>
      </c>
      <c r="O781" s="7" t="s">
        <v>45</v>
      </c>
      <c r="P781" s="6">
        <v>70</v>
      </c>
      <c r="Q781" s="11">
        <v>4.4000000000000004</v>
      </c>
      <c r="R781" s="7" t="b">
        <v>0</v>
      </c>
      <c r="S781" s="7" t="s">
        <v>30</v>
      </c>
      <c r="T781" s="6">
        <v>756</v>
      </c>
      <c r="U781" s="7" t="s">
        <v>76</v>
      </c>
      <c r="V781" s="12" t="s">
        <v>39</v>
      </c>
      <c r="W781" s="7" t="s">
        <v>93</v>
      </c>
      <c r="X781" s="6">
        <f t="shared" si="51"/>
        <v>102</v>
      </c>
      <c r="Y781" t="str" cm="1">
        <f t="array" ref="Y781">_xlfn.IFS(E781=7.99,"BASIC",E781=11.99,"STANDARD",E781=15.99,"PREMIUM")</f>
        <v>PREMIUM</v>
      </c>
      <c r="Z781" s="4">
        <f t="shared" si="49"/>
        <v>9.3333333333333339</v>
      </c>
      <c r="AA781" s="3" t="str" cm="1">
        <f t="array" ref="AA781">_xlfn.IFS(
(F781/(X781/7)) &lt; 5, "Casual",
AND((F781/(X781/7)) &gt;= 5, (F781/(X781/7)) &lt; 15), "Regular",
(F781/(X781/7)) &gt;= 15, "Power"
)</f>
        <v>Regular</v>
      </c>
      <c r="AB781" s="3">
        <f t="shared" si="52"/>
        <v>0.24199288256227758</v>
      </c>
      <c r="AC781" t="str">
        <f t="shared" si="50"/>
        <v>Viewers</v>
      </c>
    </row>
    <row r="782" spans="1:29" x14ac:dyDescent="0.3">
      <c r="A782" s="6">
        <v>9996</v>
      </c>
      <c r="B782" s="7" t="s">
        <v>521</v>
      </c>
      <c r="C782" s="10">
        <v>45494</v>
      </c>
      <c r="D782" s="10">
        <v>45635</v>
      </c>
      <c r="E782" s="13">
        <v>7.99</v>
      </c>
      <c r="F782" s="6">
        <v>358</v>
      </c>
      <c r="G782" s="7" t="s">
        <v>73</v>
      </c>
      <c r="H782" s="6">
        <v>3</v>
      </c>
      <c r="I782" s="6">
        <v>2</v>
      </c>
      <c r="J782" s="7" t="b">
        <v>1</v>
      </c>
      <c r="K782" s="6">
        <v>512</v>
      </c>
      <c r="L782" s="6">
        <v>153</v>
      </c>
      <c r="M782" s="7" t="s">
        <v>49</v>
      </c>
      <c r="N782" s="7" t="s">
        <v>56</v>
      </c>
      <c r="O782" s="7" t="s">
        <v>29</v>
      </c>
      <c r="P782" s="6">
        <v>70</v>
      </c>
      <c r="Q782" s="11">
        <v>3.3</v>
      </c>
      <c r="R782" s="7" t="b">
        <v>1</v>
      </c>
      <c r="S782" s="7" t="s">
        <v>30</v>
      </c>
      <c r="T782" s="6">
        <v>947</v>
      </c>
      <c r="U782" s="7" t="s">
        <v>58</v>
      </c>
      <c r="V782" s="12" t="s">
        <v>59</v>
      </c>
      <c r="W782" s="7" t="s">
        <v>33</v>
      </c>
      <c r="X782" s="6">
        <f t="shared" si="51"/>
        <v>141</v>
      </c>
      <c r="Y782" t="str" cm="1">
        <f t="array" ref="Y782">_xlfn.IFS(E782=7.99,"BASIC",E782=11.99,"STANDARD",E782=15.99,"PREMIUM")</f>
        <v>BASIC</v>
      </c>
      <c r="Z782" s="4">
        <f t="shared" si="49"/>
        <v>17.773049645390071</v>
      </c>
      <c r="AA782" s="3" t="str" cm="1">
        <f t="array" ref="AA782">_xlfn.IFS(
(F782/(X782/7)) &lt; 5, "Casual",
AND((F782/(X782/7)) &gt;= 5, (F782/(X782/7)) &lt; 15), "Regular",
(F782/(X782/7)) &gt;= 15, "Power"
)</f>
        <v>Power</v>
      </c>
      <c r="AB782" s="3">
        <f t="shared" si="52"/>
        <v>0.53834586466165413</v>
      </c>
      <c r="AC782" t="str">
        <f t="shared" si="50"/>
        <v>Viewers</v>
      </c>
    </row>
    <row r="783" spans="1:29" x14ac:dyDescent="0.3">
      <c r="A783" s="6">
        <v>4851</v>
      </c>
      <c r="B783" s="7" t="s">
        <v>186</v>
      </c>
      <c r="C783" s="10">
        <v>44995</v>
      </c>
      <c r="D783" s="10">
        <v>45642</v>
      </c>
      <c r="E783" s="13">
        <v>15.99</v>
      </c>
      <c r="F783" s="6">
        <v>399</v>
      </c>
      <c r="G783" s="7" t="s">
        <v>36</v>
      </c>
      <c r="H783" s="6">
        <v>1</v>
      </c>
      <c r="I783" s="6">
        <v>2</v>
      </c>
      <c r="J783" s="7" t="b">
        <v>0</v>
      </c>
      <c r="K783" s="6">
        <v>355</v>
      </c>
      <c r="L783" s="6">
        <v>181</v>
      </c>
      <c r="M783" s="7" t="s">
        <v>27</v>
      </c>
      <c r="N783" s="7" t="s">
        <v>56</v>
      </c>
      <c r="O783" s="7" t="s">
        <v>29</v>
      </c>
      <c r="P783" s="6">
        <v>79</v>
      </c>
      <c r="Q783" s="11">
        <v>3.4</v>
      </c>
      <c r="R783" s="7" t="b">
        <v>1</v>
      </c>
      <c r="S783" s="7" t="s">
        <v>30</v>
      </c>
      <c r="T783" s="6">
        <v>2138</v>
      </c>
      <c r="U783" s="7" t="s">
        <v>38</v>
      </c>
      <c r="V783" s="12" t="s">
        <v>69</v>
      </c>
      <c r="W783" s="7" t="s">
        <v>33</v>
      </c>
      <c r="X783" s="6">
        <f t="shared" si="51"/>
        <v>647</v>
      </c>
      <c r="Y783" t="str" cm="1">
        <f t="array" ref="Y783">_xlfn.IFS(E783=7.99,"BASIC",E783=11.99,"STANDARD",E783=15.99,"PREMIUM")</f>
        <v>PREMIUM</v>
      </c>
      <c r="Z783" s="4">
        <f t="shared" si="49"/>
        <v>4.3168469860896446</v>
      </c>
      <c r="AA783" s="3" t="str" cm="1">
        <f t="array" ref="AA783">_xlfn.IFS(
(F783/(X783/7)) &lt; 5, "Casual",
AND((F783/(X783/7)) &gt;= 5, (F783/(X783/7)) &lt; 15), "Regular",
(F783/(X783/7)) &gt;= 15, "Power"
)</f>
        <v>Casual</v>
      </c>
      <c r="AB783" s="3">
        <f t="shared" si="52"/>
        <v>0.74440298507462688</v>
      </c>
      <c r="AC783" t="str">
        <f t="shared" si="50"/>
        <v>Viewers</v>
      </c>
    </row>
    <row r="784" spans="1:29" x14ac:dyDescent="0.3">
      <c r="A784" s="6">
        <v>2498</v>
      </c>
      <c r="B784" s="7" t="s">
        <v>441</v>
      </c>
      <c r="C784" s="10">
        <v>45211</v>
      </c>
      <c r="D784" s="10">
        <v>45633</v>
      </c>
      <c r="E784" s="13">
        <v>11.99</v>
      </c>
      <c r="F784" s="6">
        <v>285</v>
      </c>
      <c r="G784" s="7" t="s">
        <v>100</v>
      </c>
      <c r="H784" s="6">
        <v>1</v>
      </c>
      <c r="I784" s="6">
        <v>5</v>
      </c>
      <c r="J784" s="7" t="b">
        <v>0</v>
      </c>
      <c r="K784" s="6">
        <v>634</v>
      </c>
      <c r="L784" s="6">
        <v>168</v>
      </c>
      <c r="M784" s="7" t="s">
        <v>27</v>
      </c>
      <c r="N784" s="7" t="s">
        <v>75</v>
      </c>
      <c r="O784" s="7" t="s">
        <v>37</v>
      </c>
      <c r="P784" s="6">
        <v>76</v>
      </c>
      <c r="Q784" s="11">
        <v>3.3</v>
      </c>
      <c r="R784" s="7" t="b">
        <v>1</v>
      </c>
      <c r="S784" s="7" t="s">
        <v>30</v>
      </c>
      <c r="T784" s="6">
        <v>3151</v>
      </c>
      <c r="U784" s="7" t="s">
        <v>38</v>
      </c>
      <c r="V784" s="12" t="s">
        <v>69</v>
      </c>
      <c r="W784" s="7" t="s">
        <v>93</v>
      </c>
      <c r="X784" s="6">
        <f t="shared" si="51"/>
        <v>422</v>
      </c>
      <c r="Y784" t="str" cm="1">
        <f t="array" ref="Y784">_xlfn.IFS(E784=7.99,"BASIC",E784=11.99,"STANDARD",E784=15.99,"PREMIUM")</f>
        <v>STANDARD</v>
      </c>
      <c r="Z784" s="4">
        <f t="shared" si="49"/>
        <v>4.7274881516587675</v>
      </c>
      <c r="AA784" s="3" t="str" cm="1">
        <f t="array" ref="AA784">_xlfn.IFS(
(F784/(X784/7)) &lt; 5, "Casual",
AND((F784/(X784/7)) &gt;= 5, (F784/(X784/7)) &lt; 15), "Regular",
(F784/(X784/7)) &gt;= 15, "Power"
)</f>
        <v>Casual</v>
      </c>
      <c r="AB784" s="3">
        <f t="shared" si="52"/>
        <v>0.35536159600997508</v>
      </c>
      <c r="AC784" t="str">
        <f t="shared" si="50"/>
        <v>Viewers</v>
      </c>
    </row>
    <row r="785" spans="1:29" x14ac:dyDescent="0.3">
      <c r="A785" s="6">
        <v>6208</v>
      </c>
      <c r="B785" s="7" t="s">
        <v>253</v>
      </c>
      <c r="C785" s="10">
        <v>45126</v>
      </c>
      <c r="D785" s="10">
        <v>45643</v>
      </c>
      <c r="E785" s="13">
        <v>7.99</v>
      </c>
      <c r="F785" s="6">
        <v>424</v>
      </c>
      <c r="G785" s="7" t="s">
        <v>63</v>
      </c>
      <c r="H785" s="6">
        <v>2</v>
      </c>
      <c r="I785" s="6">
        <v>3</v>
      </c>
      <c r="J785" s="7" t="b">
        <v>0</v>
      </c>
      <c r="K785" s="6">
        <v>942</v>
      </c>
      <c r="L785" s="6">
        <v>127</v>
      </c>
      <c r="M785" s="7" t="s">
        <v>74</v>
      </c>
      <c r="N785" s="7" t="s">
        <v>28</v>
      </c>
      <c r="O785" s="7" t="s">
        <v>64</v>
      </c>
      <c r="P785" s="6">
        <v>95</v>
      </c>
      <c r="Q785" s="11">
        <v>4.8</v>
      </c>
      <c r="R785" s="7" t="b">
        <v>1</v>
      </c>
      <c r="S785" s="7" t="s">
        <v>30</v>
      </c>
      <c r="T785" s="6">
        <v>670</v>
      </c>
      <c r="U785" s="7" t="s">
        <v>58</v>
      </c>
      <c r="V785" s="12" t="s">
        <v>69</v>
      </c>
      <c r="W785" s="7" t="s">
        <v>93</v>
      </c>
      <c r="X785" s="6">
        <f t="shared" si="51"/>
        <v>517</v>
      </c>
      <c r="Y785" t="str" cm="1">
        <f t="array" ref="Y785">_xlfn.IFS(E785=7.99,"BASIC",E785=11.99,"STANDARD",E785=15.99,"PREMIUM")</f>
        <v>BASIC</v>
      </c>
      <c r="Z785" s="4">
        <f t="shared" si="49"/>
        <v>5.7408123791102508</v>
      </c>
      <c r="AA785" s="3" t="str" cm="1">
        <f t="array" ref="AA785">_xlfn.IFS(
(F785/(X785/7)) &lt; 5, "Casual",
AND((F785/(X785/7)) &gt;= 5, (F785/(X785/7)) &lt; 15), "Regular",
(F785/(X785/7)) &gt;= 15, "Power"
)</f>
        <v>Regular</v>
      </c>
      <c r="AB785" s="3">
        <f t="shared" si="52"/>
        <v>0.39663236669784846</v>
      </c>
      <c r="AC785" t="str">
        <f t="shared" si="50"/>
        <v>Viewers</v>
      </c>
    </row>
    <row r="786" spans="1:29" x14ac:dyDescent="0.3">
      <c r="A786" s="6">
        <v>7171</v>
      </c>
      <c r="B786" s="7" t="s">
        <v>70</v>
      </c>
      <c r="C786" s="10">
        <v>45321</v>
      </c>
      <c r="D786" s="10">
        <v>45622</v>
      </c>
      <c r="E786" s="13">
        <v>11.99</v>
      </c>
      <c r="F786" s="6">
        <v>467</v>
      </c>
      <c r="G786" s="7" t="s">
        <v>26</v>
      </c>
      <c r="H786" s="6">
        <v>1</v>
      </c>
      <c r="I786" s="6">
        <v>3</v>
      </c>
      <c r="J786" s="7" t="b">
        <v>1</v>
      </c>
      <c r="K786" s="6">
        <v>350</v>
      </c>
      <c r="L786" s="6">
        <v>134</v>
      </c>
      <c r="M786" s="7" t="s">
        <v>74</v>
      </c>
      <c r="N786" s="7" t="s">
        <v>44</v>
      </c>
      <c r="O786" s="7" t="s">
        <v>64</v>
      </c>
      <c r="P786" s="6">
        <v>1</v>
      </c>
      <c r="Q786" s="11">
        <v>3.9</v>
      </c>
      <c r="R786" s="7" t="b">
        <v>0</v>
      </c>
      <c r="S786" s="7" t="s">
        <v>30</v>
      </c>
      <c r="T786" s="6">
        <v>3037</v>
      </c>
      <c r="U786" s="7" t="s">
        <v>31</v>
      </c>
      <c r="V786" s="12" t="s">
        <v>39</v>
      </c>
      <c r="W786" s="7" t="s">
        <v>93</v>
      </c>
      <c r="X786" s="6">
        <f t="shared" si="51"/>
        <v>301</v>
      </c>
      <c r="Y786" t="str" cm="1">
        <f t="array" ref="Y786">_xlfn.IFS(E786=7.99,"BASIC",E786=11.99,"STANDARD",E786=15.99,"PREMIUM")</f>
        <v>STANDARD</v>
      </c>
      <c r="Z786" s="4">
        <f t="shared" si="49"/>
        <v>10.86046511627907</v>
      </c>
      <c r="AA786" s="3" t="str" cm="1">
        <f t="array" ref="AA786">_xlfn.IFS(
(F786/(X786/7)) &lt; 5, "Casual",
AND((F786/(X786/7)) &gt;= 5, (F786/(X786/7)) &lt; 15), "Regular",
(F786/(X786/7)) &gt;= 15, "Power"
)</f>
        <v>Regular</v>
      </c>
      <c r="AB786" s="3">
        <f t="shared" si="52"/>
        <v>0.96487603305785119</v>
      </c>
      <c r="AC786" t="str">
        <f t="shared" si="50"/>
        <v>Viewers</v>
      </c>
    </row>
    <row r="787" spans="1:29" x14ac:dyDescent="0.3">
      <c r="A787" s="6">
        <v>7667</v>
      </c>
      <c r="B787" s="7" t="s">
        <v>666</v>
      </c>
      <c r="C787" s="10">
        <v>44931</v>
      </c>
      <c r="D787" s="10">
        <v>45643</v>
      </c>
      <c r="E787" s="13">
        <v>15.99</v>
      </c>
      <c r="F787" s="6">
        <v>443</v>
      </c>
      <c r="G787" s="7" t="s">
        <v>100</v>
      </c>
      <c r="H787" s="6">
        <v>1</v>
      </c>
      <c r="I787" s="6">
        <v>3</v>
      </c>
      <c r="J787" s="7" t="b">
        <v>0</v>
      </c>
      <c r="K787" s="6">
        <v>326</v>
      </c>
      <c r="L787" s="6">
        <v>59</v>
      </c>
      <c r="M787" s="7" t="s">
        <v>74</v>
      </c>
      <c r="N787" s="7" t="s">
        <v>28</v>
      </c>
      <c r="O787" s="7" t="s">
        <v>29</v>
      </c>
      <c r="P787" s="6">
        <v>57</v>
      </c>
      <c r="Q787" s="11">
        <v>3.9</v>
      </c>
      <c r="R787" s="7" t="b">
        <v>0</v>
      </c>
      <c r="S787" s="7" t="s">
        <v>30</v>
      </c>
      <c r="T787" s="6">
        <v>3712</v>
      </c>
      <c r="U787" s="7" t="s">
        <v>38</v>
      </c>
      <c r="V787" s="12" t="s">
        <v>32</v>
      </c>
      <c r="W787" s="7" t="s">
        <v>33</v>
      </c>
      <c r="X787" s="6">
        <f t="shared" si="51"/>
        <v>712</v>
      </c>
      <c r="Y787" t="str" cm="1">
        <f t="array" ref="Y787">_xlfn.IFS(E787=7.99,"BASIC",E787=11.99,"STANDARD",E787=15.99,"PREMIUM")</f>
        <v>PREMIUM</v>
      </c>
      <c r="Z787" s="4">
        <f t="shared" si="49"/>
        <v>4.3553370786516856</v>
      </c>
      <c r="AA787" s="3" t="str" cm="1">
        <f t="array" ref="AA787">_xlfn.IFS(
(F787/(X787/7)) &lt; 5, "Casual",
AND((F787/(X787/7)) &gt;= 5, (F787/(X787/7)) &lt; 15), "Regular",
(F787/(X787/7)) &gt;= 15, "Power"
)</f>
        <v>Casual</v>
      </c>
      <c r="AB787" s="3">
        <f t="shared" si="52"/>
        <v>1.1506493506493507</v>
      </c>
      <c r="AC787" t="str">
        <f t="shared" si="50"/>
        <v>Viewers</v>
      </c>
    </row>
    <row r="788" spans="1:29" x14ac:dyDescent="0.3">
      <c r="A788" s="6">
        <v>4912</v>
      </c>
      <c r="B788" s="7" t="s">
        <v>364</v>
      </c>
      <c r="C788" s="10">
        <v>45203</v>
      </c>
      <c r="D788" s="10">
        <v>45627</v>
      </c>
      <c r="E788" s="13">
        <v>15.99</v>
      </c>
      <c r="F788" s="6">
        <v>214</v>
      </c>
      <c r="G788" s="7" t="s">
        <v>48</v>
      </c>
      <c r="H788" s="6">
        <v>1</v>
      </c>
      <c r="I788" s="6">
        <v>3</v>
      </c>
      <c r="J788" s="7" t="b">
        <v>0</v>
      </c>
      <c r="K788" s="6">
        <v>61</v>
      </c>
      <c r="L788" s="6">
        <v>148</v>
      </c>
      <c r="M788" s="7" t="s">
        <v>49</v>
      </c>
      <c r="N788" s="7" t="s">
        <v>75</v>
      </c>
      <c r="O788" s="7" t="s">
        <v>37</v>
      </c>
      <c r="P788" s="6">
        <v>95</v>
      </c>
      <c r="Q788" s="11">
        <v>4.0999999999999996</v>
      </c>
      <c r="R788" s="7" t="b">
        <v>1</v>
      </c>
      <c r="S788" s="7" t="s">
        <v>30</v>
      </c>
      <c r="T788" s="6">
        <v>2029</v>
      </c>
      <c r="U788" s="7" t="s">
        <v>31</v>
      </c>
      <c r="V788" s="12" t="s">
        <v>69</v>
      </c>
      <c r="W788" s="7" t="s">
        <v>33</v>
      </c>
      <c r="X788" s="6">
        <f t="shared" si="51"/>
        <v>424</v>
      </c>
      <c r="Y788" t="str" cm="1">
        <f t="array" ref="Y788">_xlfn.IFS(E788=7.99,"BASIC",E788=11.99,"STANDARD",E788=15.99,"PREMIUM")</f>
        <v>PREMIUM</v>
      </c>
      <c r="Z788" s="4">
        <f t="shared" si="49"/>
        <v>3.5330188679245285</v>
      </c>
      <c r="AA788" s="3" t="str" cm="1">
        <f t="array" ref="AA788">_xlfn.IFS(
(F788/(X788/7)) &lt; 5, "Casual",
AND((F788/(X788/7)) &gt;= 5, (F788/(X788/7)) &lt; 15), "Regular",
(F788/(X788/7)) &gt;= 15, "Power"
)</f>
        <v>Casual</v>
      </c>
      <c r="AB788" s="3">
        <f t="shared" si="52"/>
        <v>1.0239234449760766</v>
      </c>
      <c r="AC788" t="str">
        <f t="shared" si="50"/>
        <v>Viewers</v>
      </c>
    </row>
    <row r="789" spans="1:29" x14ac:dyDescent="0.3">
      <c r="A789" s="6">
        <v>7975</v>
      </c>
      <c r="B789" s="7" t="s">
        <v>671</v>
      </c>
      <c r="C789" s="10">
        <v>45202</v>
      </c>
      <c r="D789" s="10">
        <v>45618</v>
      </c>
      <c r="E789" s="13">
        <v>15.99</v>
      </c>
      <c r="F789" s="6">
        <v>437</v>
      </c>
      <c r="G789" s="7" t="s">
        <v>63</v>
      </c>
      <c r="H789" s="6">
        <v>2</v>
      </c>
      <c r="I789" s="6">
        <v>2</v>
      </c>
      <c r="J789" s="7" t="b">
        <v>1</v>
      </c>
      <c r="K789" s="6">
        <v>328</v>
      </c>
      <c r="L789" s="6">
        <v>170</v>
      </c>
      <c r="M789" s="7" t="s">
        <v>92</v>
      </c>
      <c r="N789" s="7" t="s">
        <v>44</v>
      </c>
      <c r="O789" s="7" t="s">
        <v>64</v>
      </c>
      <c r="P789" s="6">
        <v>25</v>
      </c>
      <c r="Q789" s="11">
        <v>3.6</v>
      </c>
      <c r="R789" s="7" t="b">
        <v>0</v>
      </c>
      <c r="S789" s="7" t="s">
        <v>30</v>
      </c>
      <c r="T789" s="6">
        <v>2406</v>
      </c>
      <c r="U789" s="7" t="s">
        <v>58</v>
      </c>
      <c r="V789" s="12" t="s">
        <v>39</v>
      </c>
      <c r="W789" s="7" t="s">
        <v>33</v>
      </c>
      <c r="X789" s="6">
        <f t="shared" si="51"/>
        <v>416</v>
      </c>
      <c r="Y789" t="str" cm="1">
        <f t="array" ref="Y789">_xlfn.IFS(E789=7.99,"BASIC",E789=11.99,"STANDARD",E789=15.99,"PREMIUM")</f>
        <v>PREMIUM</v>
      </c>
      <c r="Z789" s="4">
        <f t="shared" si="49"/>
        <v>7.3533653846153841</v>
      </c>
      <c r="AA789" s="3" t="str" cm="1">
        <f t="array" ref="AA789">_xlfn.IFS(
(F789/(X789/7)) &lt; 5, "Casual",
AND((F789/(X789/7)) &gt;= 5, (F789/(X789/7)) &lt; 15), "Regular",
(F789/(X789/7)) &gt;= 15, "Power"
)</f>
        <v>Regular</v>
      </c>
      <c r="AB789" s="3">
        <f t="shared" si="52"/>
        <v>0.8775100401606426</v>
      </c>
      <c r="AC789" t="str">
        <f t="shared" si="50"/>
        <v>Viewers</v>
      </c>
    </row>
    <row r="790" spans="1:29" x14ac:dyDescent="0.3">
      <c r="A790" s="6">
        <v>6804</v>
      </c>
      <c r="B790" s="7" t="s">
        <v>657</v>
      </c>
      <c r="C790" s="10">
        <v>44968</v>
      </c>
      <c r="D790" s="10">
        <v>45636</v>
      </c>
      <c r="E790" s="13">
        <v>15.99</v>
      </c>
      <c r="F790" s="6">
        <v>419</v>
      </c>
      <c r="G790" s="7" t="s">
        <v>36</v>
      </c>
      <c r="H790" s="6">
        <v>2</v>
      </c>
      <c r="I790" s="6">
        <v>1</v>
      </c>
      <c r="J790" s="7" t="b">
        <v>0</v>
      </c>
      <c r="K790" s="6">
        <v>591</v>
      </c>
      <c r="L790" s="6">
        <v>166</v>
      </c>
      <c r="M790" s="7" t="s">
        <v>68</v>
      </c>
      <c r="N790" s="7" t="s">
        <v>28</v>
      </c>
      <c r="O790" s="7" t="s">
        <v>37</v>
      </c>
      <c r="P790" s="6">
        <v>26</v>
      </c>
      <c r="Q790" s="11">
        <v>3.5</v>
      </c>
      <c r="R790" s="7" t="b">
        <v>1</v>
      </c>
      <c r="S790" s="7" t="s">
        <v>30</v>
      </c>
      <c r="T790" s="6">
        <v>3264</v>
      </c>
      <c r="U790" s="7" t="s">
        <v>38</v>
      </c>
      <c r="V790" s="12" t="s">
        <v>79</v>
      </c>
      <c r="W790" s="7" t="s">
        <v>33</v>
      </c>
      <c r="X790" s="6">
        <f t="shared" si="51"/>
        <v>668</v>
      </c>
      <c r="Y790" t="str" cm="1">
        <f t="array" ref="Y790">_xlfn.IFS(E790=7.99,"BASIC",E790=11.99,"STANDARD",E790=15.99,"PREMIUM")</f>
        <v>PREMIUM</v>
      </c>
      <c r="Z790" s="4">
        <f t="shared" si="49"/>
        <v>4.3907185628742518</v>
      </c>
      <c r="AA790" s="3" t="str" cm="1">
        <f t="array" ref="AA790">_xlfn.IFS(
(F790/(X790/7)) &lt; 5, "Casual",
AND((F790/(X790/7)) &gt;= 5, (F790/(X790/7)) &lt; 15), "Regular",
(F790/(X790/7)) &gt;= 15, "Power"
)</f>
        <v>Casual</v>
      </c>
      <c r="AB790" s="3">
        <f t="shared" si="52"/>
        <v>0.55350066050198155</v>
      </c>
      <c r="AC790" t="str">
        <f t="shared" si="50"/>
        <v>Viewers</v>
      </c>
    </row>
    <row r="791" spans="1:29" x14ac:dyDescent="0.3">
      <c r="A791" s="6">
        <v>3877</v>
      </c>
      <c r="B791" s="7" t="s">
        <v>667</v>
      </c>
      <c r="C791" s="10">
        <v>45488</v>
      </c>
      <c r="D791" s="10">
        <v>45620</v>
      </c>
      <c r="E791" s="13">
        <v>11.99</v>
      </c>
      <c r="F791" s="6">
        <v>129</v>
      </c>
      <c r="G791" s="7" t="s">
        <v>26</v>
      </c>
      <c r="H791" s="6">
        <v>2</v>
      </c>
      <c r="I791" s="6">
        <v>5</v>
      </c>
      <c r="J791" s="7" t="b">
        <v>0</v>
      </c>
      <c r="K791" s="6">
        <v>527</v>
      </c>
      <c r="L791" s="6">
        <v>153</v>
      </c>
      <c r="M791" s="7" t="s">
        <v>68</v>
      </c>
      <c r="N791" s="7" t="s">
        <v>28</v>
      </c>
      <c r="O791" s="7" t="s">
        <v>37</v>
      </c>
      <c r="P791" s="6">
        <v>0</v>
      </c>
      <c r="Q791" s="11">
        <v>4.5999999999999996</v>
      </c>
      <c r="R791" s="7" t="b">
        <v>0</v>
      </c>
      <c r="S791" s="7" t="s">
        <v>30</v>
      </c>
      <c r="T791" s="6">
        <v>1135</v>
      </c>
      <c r="U791" s="7" t="s">
        <v>76</v>
      </c>
      <c r="V791" s="12" t="s">
        <v>39</v>
      </c>
      <c r="W791" s="7" t="s">
        <v>33</v>
      </c>
      <c r="X791" s="6">
        <f t="shared" si="51"/>
        <v>132</v>
      </c>
      <c r="Y791" t="str" cm="1">
        <f t="array" ref="Y791">_xlfn.IFS(E791=7.99,"BASIC",E791=11.99,"STANDARD",E791=15.99,"PREMIUM")</f>
        <v>STANDARD</v>
      </c>
      <c r="Z791" s="4">
        <f t="shared" si="49"/>
        <v>6.8409090909090908</v>
      </c>
      <c r="AA791" s="3" t="str" cm="1">
        <f t="array" ref="AA791">_xlfn.IFS(
(F791/(X791/7)) &lt; 5, "Casual",
AND((F791/(X791/7)) &gt;= 5, (F791/(X791/7)) &lt; 15), "Regular",
(F791/(X791/7)) &gt;= 15, "Power"
)</f>
        <v>Regular</v>
      </c>
      <c r="AB791" s="3">
        <f t="shared" si="52"/>
        <v>0.18970588235294117</v>
      </c>
      <c r="AC791" t="str">
        <f t="shared" si="50"/>
        <v>Viewers</v>
      </c>
    </row>
    <row r="792" spans="1:29" x14ac:dyDescent="0.3">
      <c r="A792" s="6">
        <v>8768</v>
      </c>
      <c r="B792" s="7" t="s">
        <v>281</v>
      </c>
      <c r="C792" s="10">
        <v>45605</v>
      </c>
      <c r="D792" s="10">
        <v>45627</v>
      </c>
      <c r="E792" s="13">
        <v>15.99</v>
      </c>
      <c r="F792" s="6">
        <v>75</v>
      </c>
      <c r="G792" s="7" t="s">
        <v>48</v>
      </c>
      <c r="H792" s="6">
        <v>5</v>
      </c>
      <c r="I792" s="6">
        <v>1</v>
      </c>
      <c r="J792" s="7" t="b">
        <v>1</v>
      </c>
      <c r="K792" s="6">
        <v>115</v>
      </c>
      <c r="L792" s="6">
        <v>122</v>
      </c>
      <c r="M792" s="7" t="s">
        <v>68</v>
      </c>
      <c r="N792" s="7" t="s">
        <v>44</v>
      </c>
      <c r="O792" s="7" t="s">
        <v>29</v>
      </c>
      <c r="P792" s="6">
        <v>86</v>
      </c>
      <c r="Q792" s="11">
        <v>3.5</v>
      </c>
      <c r="R792" s="7" t="b">
        <v>0</v>
      </c>
      <c r="S792" s="7" t="s">
        <v>30</v>
      </c>
      <c r="T792" s="6">
        <v>3761</v>
      </c>
      <c r="U792" s="7" t="s">
        <v>76</v>
      </c>
      <c r="V792" s="12" t="s">
        <v>39</v>
      </c>
      <c r="W792" s="7" t="s">
        <v>40</v>
      </c>
      <c r="X792" s="6">
        <f t="shared" si="51"/>
        <v>22</v>
      </c>
      <c r="Y792" t="str" cm="1">
        <f t="array" ref="Y792">_xlfn.IFS(E792=7.99,"BASIC",E792=11.99,"STANDARD",E792=15.99,"PREMIUM")</f>
        <v>PREMIUM</v>
      </c>
      <c r="Z792" s="4">
        <f t="shared" si="49"/>
        <v>23.863636363636363</v>
      </c>
      <c r="AA792" s="3" t="str" cm="1">
        <f t="array" ref="AA792">_xlfn.IFS(
(F792/(X792/7)) &lt; 5, "Casual",
AND((F792/(X792/7)) &gt;= 5, (F792/(X792/7)) &lt; 15), "Regular",
(F792/(X792/7)) &gt;= 15, "Power"
)</f>
        <v>Power</v>
      </c>
      <c r="AB792" s="3">
        <f t="shared" si="52"/>
        <v>0.31645569620253167</v>
      </c>
      <c r="AC792" t="str">
        <f t="shared" si="50"/>
        <v>Viewers</v>
      </c>
    </row>
    <row r="793" spans="1:29" x14ac:dyDescent="0.3">
      <c r="A793" s="6">
        <v>1420</v>
      </c>
      <c r="B793" s="7" t="s">
        <v>197</v>
      </c>
      <c r="C793" s="10">
        <v>45568</v>
      </c>
      <c r="D793" s="10">
        <v>45631</v>
      </c>
      <c r="E793" s="13">
        <v>7.99</v>
      </c>
      <c r="F793" s="6">
        <v>346</v>
      </c>
      <c r="G793" s="7" t="s">
        <v>51</v>
      </c>
      <c r="H793" s="6">
        <v>5</v>
      </c>
      <c r="I793" s="6">
        <v>5</v>
      </c>
      <c r="J793" s="7" t="b">
        <v>1</v>
      </c>
      <c r="K793" s="6">
        <v>732</v>
      </c>
      <c r="L793" s="6">
        <v>144</v>
      </c>
      <c r="M793" s="7" t="s">
        <v>92</v>
      </c>
      <c r="N793" s="7" t="s">
        <v>28</v>
      </c>
      <c r="O793" s="7" t="s">
        <v>78</v>
      </c>
      <c r="P793" s="6">
        <v>73</v>
      </c>
      <c r="Q793" s="11">
        <v>4.9000000000000004</v>
      </c>
      <c r="R793" s="7" t="b">
        <v>0</v>
      </c>
      <c r="S793" s="7" t="s">
        <v>30</v>
      </c>
      <c r="T793" s="6">
        <v>3633</v>
      </c>
      <c r="U793" s="7" t="s">
        <v>76</v>
      </c>
      <c r="V793" s="12" t="s">
        <v>79</v>
      </c>
      <c r="W793" s="7" t="s">
        <v>33</v>
      </c>
      <c r="X793" s="6">
        <f t="shared" si="51"/>
        <v>63</v>
      </c>
      <c r="Y793" t="str" cm="1">
        <f t="array" ref="Y793">_xlfn.IFS(E793=7.99,"BASIC",E793=11.99,"STANDARD",E793=15.99,"PREMIUM")</f>
        <v>BASIC</v>
      </c>
      <c r="Z793" s="4">
        <f t="shared" si="49"/>
        <v>38.444444444444443</v>
      </c>
      <c r="AA793" s="3" t="str" cm="1">
        <f t="array" ref="AA793">_xlfn.IFS(
(F793/(X793/7)) &lt; 5, "Casual",
AND((F793/(X793/7)) &gt;= 5, (F793/(X793/7)) &lt; 15), "Regular",
(F793/(X793/7)) &gt;= 15, "Power"
)</f>
        <v>Power</v>
      </c>
      <c r="AB793" s="3">
        <f t="shared" si="52"/>
        <v>0.3949771689497717</v>
      </c>
      <c r="AC793" t="str">
        <f t="shared" si="50"/>
        <v>Viewers</v>
      </c>
    </row>
    <row r="794" spans="1:29" x14ac:dyDescent="0.3">
      <c r="A794" s="6">
        <v>2306</v>
      </c>
      <c r="B794" s="7" t="s">
        <v>257</v>
      </c>
      <c r="C794" s="10">
        <v>45057</v>
      </c>
      <c r="D794" s="10">
        <v>45627</v>
      </c>
      <c r="E794" s="13">
        <v>11.99</v>
      </c>
      <c r="F794" s="6">
        <v>480</v>
      </c>
      <c r="G794" s="7" t="s">
        <v>63</v>
      </c>
      <c r="H794" s="6">
        <v>4</v>
      </c>
      <c r="I794" s="6">
        <v>6</v>
      </c>
      <c r="J794" s="7" t="b">
        <v>1</v>
      </c>
      <c r="K794" s="6">
        <v>509</v>
      </c>
      <c r="L794" s="6">
        <v>12</v>
      </c>
      <c r="M794" s="7" t="s">
        <v>43</v>
      </c>
      <c r="N794" s="7" t="s">
        <v>56</v>
      </c>
      <c r="O794" s="7" t="s">
        <v>64</v>
      </c>
      <c r="P794" s="6">
        <v>43</v>
      </c>
      <c r="Q794" s="11">
        <v>3.1</v>
      </c>
      <c r="R794" s="7" t="b">
        <v>0</v>
      </c>
      <c r="S794" s="7" t="s">
        <v>30</v>
      </c>
      <c r="T794" s="6">
        <v>3308</v>
      </c>
      <c r="U794" s="7" t="s">
        <v>31</v>
      </c>
      <c r="V794" s="12" t="s">
        <v>39</v>
      </c>
      <c r="W794" s="7" t="s">
        <v>40</v>
      </c>
      <c r="X794" s="6">
        <f t="shared" si="51"/>
        <v>570</v>
      </c>
      <c r="Y794" t="str" cm="1">
        <f t="array" ref="Y794">_xlfn.IFS(E794=7.99,"BASIC",E794=11.99,"STANDARD",E794=15.99,"PREMIUM")</f>
        <v>STANDARD</v>
      </c>
      <c r="Z794" s="4">
        <f t="shared" si="49"/>
        <v>5.8947368421052628</v>
      </c>
      <c r="AA794" s="3" t="str" cm="1">
        <f t="array" ref="AA794">_xlfn.IFS(
(F794/(X794/7)) &lt; 5, "Casual",
AND((F794/(X794/7)) &gt;= 5, (F794/(X794/7)) &lt; 15), "Regular",
(F794/(X794/7)) &gt;= 15, "Power"
)</f>
        <v>Regular</v>
      </c>
      <c r="AB794" s="3">
        <f t="shared" si="52"/>
        <v>0.92130518234165071</v>
      </c>
      <c r="AC794" t="str">
        <f t="shared" si="50"/>
        <v>Viewers</v>
      </c>
    </row>
    <row r="795" spans="1:29" x14ac:dyDescent="0.3">
      <c r="A795" s="6">
        <v>2079</v>
      </c>
      <c r="B795" s="7" t="s">
        <v>387</v>
      </c>
      <c r="C795" s="10">
        <v>45468</v>
      </c>
      <c r="D795" s="10">
        <v>45628</v>
      </c>
      <c r="E795" s="13">
        <v>11.99</v>
      </c>
      <c r="F795" s="6">
        <v>188</v>
      </c>
      <c r="G795" s="7" t="s">
        <v>63</v>
      </c>
      <c r="H795" s="6">
        <v>2</v>
      </c>
      <c r="I795" s="6">
        <v>2</v>
      </c>
      <c r="J795" s="7" t="b">
        <v>1</v>
      </c>
      <c r="K795" s="6">
        <v>655</v>
      </c>
      <c r="L795" s="6">
        <v>16</v>
      </c>
      <c r="M795" s="7" t="s">
        <v>27</v>
      </c>
      <c r="N795" s="7" t="s">
        <v>28</v>
      </c>
      <c r="O795" s="7" t="s">
        <v>64</v>
      </c>
      <c r="P795" s="6">
        <v>50</v>
      </c>
      <c r="Q795" s="11">
        <v>3.3</v>
      </c>
      <c r="R795" s="7" t="b">
        <v>1</v>
      </c>
      <c r="S795" s="7" t="s">
        <v>30</v>
      </c>
      <c r="T795" s="6">
        <v>1311</v>
      </c>
      <c r="U795" s="7" t="s">
        <v>65</v>
      </c>
      <c r="V795" s="12" t="s">
        <v>32</v>
      </c>
      <c r="W795" s="7" t="s">
        <v>33</v>
      </c>
      <c r="X795" s="6">
        <f t="shared" si="51"/>
        <v>160</v>
      </c>
      <c r="Y795" t="str" cm="1">
        <f t="array" ref="Y795">_xlfn.IFS(E795=7.99,"BASIC",E795=11.99,"STANDARD",E795=15.99,"PREMIUM")</f>
        <v>STANDARD</v>
      </c>
      <c r="Z795" s="4">
        <f t="shared" si="49"/>
        <v>8.2249999999999996</v>
      </c>
      <c r="AA795" s="3" t="str" cm="1">
        <f t="array" ref="AA795">_xlfn.IFS(
(F795/(X795/7)) &lt; 5, "Casual",
AND((F795/(X795/7)) &gt;= 5, (F795/(X795/7)) &lt; 15), "Regular",
(F795/(X795/7)) &gt;= 15, "Power"
)</f>
        <v>Regular</v>
      </c>
      <c r="AB795" s="3">
        <f t="shared" si="52"/>
        <v>0.28017883755588674</v>
      </c>
      <c r="AC795" t="str">
        <f t="shared" si="50"/>
        <v>Viewers</v>
      </c>
    </row>
    <row r="796" spans="1:29" x14ac:dyDescent="0.3">
      <c r="A796" s="6">
        <v>3554</v>
      </c>
      <c r="B796" s="7" t="s">
        <v>391</v>
      </c>
      <c r="C796" s="10">
        <v>45350</v>
      </c>
      <c r="D796" s="10">
        <v>45630</v>
      </c>
      <c r="E796" s="13">
        <v>7.99</v>
      </c>
      <c r="F796" s="6">
        <v>420</v>
      </c>
      <c r="G796" s="7" t="s">
        <v>36</v>
      </c>
      <c r="H796" s="6">
        <v>4</v>
      </c>
      <c r="I796" s="6">
        <v>1</v>
      </c>
      <c r="J796" s="7" t="b">
        <v>0</v>
      </c>
      <c r="K796" s="6">
        <v>399</v>
      </c>
      <c r="L796" s="6">
        <v>45</v>
      </c>
      <c r="M796" s="7" t="s">
        <v>27</v>
      </c>
      <c r="N796" s="7" t="s">
        <v>44</v>
      </c>
      <c r="O796" s="7" t="s">
        <v>78</v>
      </c>
      <c r="P796" s="6">
        <v>52</v>
      </c>
      <c r="Q796" s="11">
        <v>4</v>
      </c>
      <c r="R796" s="7" t="b">
        <v>0</v>
      </c>
      <c r="S796" s="7" t="s">
        <v>30</v>
      </c>
      <c r="T796" s="6">
        <v>4333</v>
      </c>
      <c r="U796" s="7" t="s">
        <v>38</v>
      </c>
      <c r="V796" s="12" t="s">
        <v>39</v>
      </c>
      <c r="W796" s="7" t="s">
        <v>60</v>
      </c>
      <c r="X796" s="6">
        <f t="shared" si="51"/>
        <v>280</v>
      </c>
      <c r="Y796" t="str" cm="1">
        <f t="array" ref="Y796">_xlfn.IFS(E796=7.99,"BASIC",E796=11.99,"STANDARD",E796=15.99,"PREMIUM")</f>
        <v>BASIC</v>
      </c>
      <c r="Z796" s="4">
        <f t="shared" si="49"/>
        <v>10.5</v>
      </c>
      <c r="AA796" s="3" t="str" cm="1">
        <f t="array" ref="AA796">_xlfn.IFS(
(F796/(X796/7)) &lt; 5, "Casual",
AND((F796/(X796/7)) &gt;= 5, (F796/(X796/7)) &lt; 15), "Regular",
(F796/(X796/7)) &gt;= 15, "Power"
)</f>
        <v>Regular</v>
      </c>
      <c r="AB796" s="3">
        <f t="shared" si="52"/>
        <v>0.94594594594594594</v>
      </c>
      <c r="AC796" t="str">
        <f t="shared" si="50"/>
        <v>Viewers</v>
      </c>
    </row>
    <row r="797" spans="1:29" x14ac:dyDescent="0.3">
      <c r="A797" s="6">
        <v>7616</v>
      </c>
      <c r="B797" s="7" t="s">
        <v>280</v>
      </c>
      <c r="C797" s="10">
        <v>45087</v>
      </c>
      <c r="D797" s="10">
        <v>45637</v>
      </c>
      <c r="E797" s="13">
        <v>15.99</v>
      </c>
      <c r="F797" s="6">
        <v>204</v>
      </c>
      <c r="G797" s="7" t="s">
        <v>63</v>
      </c>
      <c r="H797" s="6">
        <v>3</v>
      </c>
      <c r="I797" s="6">
        <v>5</v>
      </c>
      <c r="J797" s="7" t="b">
        <v>0</v>
      </c>
      <c r="K797" s="6">
        <v>597</v>
      </c>
      <c r="L797" s="6">
        <v>118</v>
      </c>
      <c r="M797" s="7" t="s">
        <v>74</v>
      </c>
      <c r="N797" s="7" t="s">
        <v>44</v>
      </c>
      <c r="O797" s="7" t="s">
        <v>64</v>
      </c>
      <c r="P797" s="6">
        <v>60</v>
      </c>
      <c r="Q797" s="11">
        <v>3.1</v>
      </c>
      <c r="R797" s="7" t="b">
        <v>1</v>
      </c>
      <c r="S797" s="7" t="s">
        <v>30</v>
      </c>
      <c r="T797" s="6">
        <v>4575</v>
      </c>
      <c r="U797" s="7" t="s">
        <v>31</v>
      </c>
      <c r="V797" s="12" t="s">
        <v>32</v>
      </c>
      <c r="W797" s="7" t="s">
        <v>40</v>
      </c>
      <c r="X797" s="6">
        <f t="shared" si="51"/>
        <v>550</v>
      </c>
      <c r="Y797" t="str" cm="1">
        <f t="array" ref="Y797">_xlfn.IFS(E797=7.99,"BASIC",E797=11.99,"STANDARD",E797=15.99,"PREMIUM")</f>
        <v>PREMIUM</v>
      </c>
      <c r="Z797" s="4">
        <f t="shared" si="49"/>
        <v>2.5963636363636367</v>
      </c>
      <c r="AA797" s="3" t="str" cm="1">
        <f t="array" ref="AA797">_xlfn.IFS(
(F797/(X797/7)) &lt; 5, "Casual",
AND((F797/(X797/7)) &gt;= 5, (F797/(X797/7)) &lt; 15), "Regular",
(F797/(X797/7)) &gt;= 15, "Power"
)</f>
        <v>Casual</v>
      </c>
      <c r="AB797" s="3">
        <f t="shared" si="52"/>
        <v>0.28531468531468529</v>
      </c>
      <c r="AC797" t="str">
        <f t="shared" si="50"/>
        <v>Viewers</v>
      </c>
    </row>
    <row r="798" spans="1:29" x14ac:dyDescent="0.3">
      <c r="A798" s="6">
        <v>5650</v>
      </c>
      <c r="B798" s="7" t="s">
        <v>441</v>
      </c>
      <c r="C798" s="10">
        <v>45162</v>
      </c>
      <c r="D798" s="10">
        <v>45634</v>
      </c>
      <c r="E798" s="13">
        <v>15.99</v>
      </c>
      <c r="F798" s="6">
        <v>355</v>
      </c>
      <c r="G798" s="7" t="s">
        <v>63</v>
      </c>
      <c r="H798" s="6">
        <v>1</v>
      </c>
      <c r="I798" s="6">
        <v>1</v>
      </c>
      <c r="J798" s="7" t="b">
        <v>1</v>
      </c>
      <c r="K798" s="6">
        <v>358</v>
      </c>
      <c r="L798" s="6">
        <v>173</v>
      </c>
      <c r="M798" s="7" t="s">
        <v>43</v>
      </c>
      <c r="N798" s="7" t="s">
        <v>75</v>
      </c>
      <c r="O798" s="7" t="s">
        <v>29</v>
      </c>
      <c r="P798" s="6">
        <v>60</v>
      </c>
      <c r="Q798" s="11">
        <v>4.8</v>
      </c>
      <c r="R798" s="7" t="b">
        <v>0</v>
      </c>
      <c r="S798" s="7" t="s">
        <v>30</v>
      </c>
      <c r="T798" s="6">
        <v>2448</v>
      </c>
      <c r="U798" s="7" t="s">
        <v>38</v>
      </c>
      <c r="V798" s="12" t="s">
        <v>59</v>
      </c>
      <c r="W798" s="7" t="s">
        <v>93</v>
      </c>
      <c r="X798" s="6">
        <f t="shared" si="51"/>
        <v>472</v>
      </c>
      <c r="Y798" t="str" cm="1">
        <f t="array" ref="Y798">_xlfn.IFS(E798=7.99,"BASIC",E798=11.99,"STANDARD",E798=15.99,"PREMIUM")</f>
        <v>PREMIUM</v>
      </c>
      <c r="Z798" s="4">
        <f t="shared" si="49"/>
        <v>5.2648305084745761</v>
      </c>
      <c r="AA798" s="3" t="str" cm="1">
        <f t="array" ref="AA798">_xlfn.IFS(
(F798/(X798/7)) &lt; 5, "Casual",
AND((F798/(X798/7)) &gt;= 5, (F798/(X798/7)) &lt; 15), "Regular",
(F798/(X798/7)) &gt;= 15, "Power"
)</f>
        <v>Regular</v>
      </c>
      <c r="AB798" s="3">
        <f t="shared" si="52"/>
        <v>0.66854990583804141</v>
      </c>
      <c r="AC798" t="str">
        <f t="shared" si="50"/>
        <v>Viewers</v>
      </c>
    </row>
    <row r="799" spans="1:29" x14ac:dyDescent="0.3">
      <c r="A799" s="6">
        <v>9385</v>
      </c>
      <c r="B799" s="7" t="s">
        <v>202</v>
      </c>
      <c r="C799" s="10">
        <v>45524</v>
      </c>
      <c r="D799" s="10">
        <v>45629</v>
      </c>
      <c r="E799" s="13">
        <v>7.99</v>
      </c>
      <c r="F799" s="6">
        <v>200</v>
      </c>
      <c r="G799" s="7" t="s">
        <v>36</v>
      </c>
      <c r="H799" s="6">
        <v>3</v>
      </c>
      <c r="I799" s="6">
        <v>2</v>
      </c>
      <c r="J799" s="7" t="b">
        <v>0</v>
      </c>
      <c r="K799" s="6">
        <v>453</v>
      </c>
      <c r="L799" s="6">
        <v>172</v>
      </c>
      <c r="M799" s="7" t="s">
        <v>43</v>
      </c>
      <c r="N799" s="7" t="s">
        <v>28</v>
      </c>
      <c r="O799" s="7" t="s">
        <v>64</v>
      </c>
      <c r="P799" s="6">
        <v>1</v>
      </c>
      <c r="Q799" s="11">
        <v>4.4000000000000004</v>
      </c>
      <c r="R799" s="7" t="b">
        <v>1</v>
      </c>
      <c r="S799" s="7" t="s">
        <v>30</v>
      </c>
      <c r="T799" s="6">
        <v>1072</v>
      </c>
      <c r="U799" s="7" t="s">
        <v>76</v>
      </c>
      <c r="V799" s="12" t="s">
        <v>79</v>
      </c>
      <c r="W799" s="7" t="s">
        <v>60</v>
      </c>
      <c r="X799" s="6">
        <f t="shared" si="51"/>
        <v>105</v>
      </c>
      <c r="Y799" t="str" cm="1">
        <f t="array" ref="Y799">_xlfn.IFS(E799=7.99,"BASIC",E799=11.99,"STANDARD",E799=15.99,"PREMIUM")</f>
        <v>BASIC</v>
      </c>
      <c r="Z799" s="4">
        <f t="shared" si="49"/>
        <v>13.333333333333334</v>
      </c>
      <c r="AA799" s="3" t="str" cm="1">
        <f t="array" ref="AA799">_xlfn.IFS(
(F799/(X799/7)) &lt; 5, "Casual",
AND((F799/(X799/7)) &gt;= 5, (F799/(X799/7)) &lt; 15), "Regular",
(F799/(X799/7)) &gt;= 15, "Power"
)</f>
        <v>Regular</v>
      </c>
      <c r="AB799" s="3">
        <f t="shared" si="52"/>
        <v>0.32</v>
      </c>
      <c r="AC799" t="str">
        <f t="shared" si="50"/>
        <v>Viewers</v>
      </c>
    </row>
    <row r="800" spans="1:29" x14ac:dyDescent="0.3">
      <c r="A800" s="6">
        <v>2482</v>
      </c>
      <c r="B800" s="7" t="s">
        <v>197</v>
      </c>
      <c r="C800" s="10">
        <v>45011</v>
      </c>
      <c r="D800" s="10">
        <v>45625</v>
      </c>
      <c r="E800" s="13">
        <v>7.99</v>
      </c>
      <c r="F800" s="6">
        <v>178</v>
      </c>
      <c r="G800" s="7" t="s">
        <v>26</v>
      </c>
      <c r="H800" s="6">
        <v>2</v>
      </c>
      <c r="I800" s="6">
        <v>2</v>
      </c>
      <c r="J800" s="7" t="b">
        <v>1</v>
      </c>
      <c r="K800" s="6">
        <v>378</v>
      </c>
      <c r="L800" s="6">
        <v>117</v>
      </c>
      <c r="M800" s="7" t="s">
        <v>55</v>
      </c>
      <c r="N800" s="7" t="s">
        <v>56</v>
      </c>
      <c r="O800" s="7" t="s">
        <v>29</v>
      </c>
      <c r="P800" s="6">
        <v>63</v>
      </c>
      <c r="Q800" s="11">
        <v>4.8</v>
      </c>
      <c r="R800" s="7" t="b">
        <v>1</v>
      </c>
      <c r="S800" s="7" t="s">
        <v>30</v>
      </c>
      <c r="T800" s="6">
        <v>1784</v>
      </c>
      <c r="U800" s="7" t="s">
        <v>38</v>
      </c>
      <c r="V800" s="12" t="s">
        <v>69</v>
      </c>
      <c r="W800" s="7" t="s">
        <v>40</v>
      </c>
      <c r="X800" s="6">
        <f t="shared" si="51"/>
        <v>614</v>
      </c>
      <c r="Y800" t="str" cm="1">
        <f t="array" ref="Y800">_xlfn.IFS(E800=7.99,"BASIC",E800=11.99,"STANDARD",E800=15.99,"PREMIUM")</f>
        <v>BASIC</v>
      </c>
      <c r="Z800" s="4">
        <f t="shared" si="49"/>
        <v>2.0293159609120521</v>
      </c>
      <c r="AA800" s="3" t="str" cm="1">
        <f t="array" ref="AA800">_xlfn.IFS(
(F800/(X800/7)) &lt; 5, "Casual",
AND((F800/(X800/7)) &gt;= 5, (F800/(X800/7)) &lt; 15), "Regular",
(F800/(X800/7)) &gt;= 15, "Power"
)</f>
        <v>Casual</v>
      </c>
      <c r="AB800" s="3">
        <f t="shared" si="52"/>
        <v>0.35959595959595958</v>
      </c>
      <c r="AC800" t="str">
        <f t="shared" si="50"/>
        <v>Viewers</v>
      </c>
    </row>
    <row r="801" spans="1:29" x14ac:dyDescent="0.3">
      <c r="A801" s="6">
        <v>9017</v>
      </c>
      <c r="B801" s="7" t="s">
        <v>510</v>
      </c>
      <c r="C801" s="10">
        <v>45487</v>
      </c>
      <c r="D801" s="10">
        <v>45637</v>
      </c>
      <c r="E801" s="13">
        <v>11.99</v>
      </c>
      <c r="F801" s="6">
        <v>337</v>
      </c>
      <c r="G801" s="7" t="s">
        <v>51</v>
      </c>
      <c r="H801" s="6">
        <v>2</v>
      </c>
      <c r="I801" s="6">
        <v>2</v>
      </c>
      <c r="J801" s="7" t="b">
        <v>1</v>
      </c>
      <c r="K801" s="6">
        <v>750</v>
      </c>
      <c r="L801" s="6">
        <v>146</v>
      </c>
      <c r="M801" s="7" t="s">
        <v>55</v>
      </c>
      <c r="N801" s="7" t="s">
        <v>56</v>
      </c>
      <c r="O801" s="7" t="s">
        <v>64</v>
      </c>
      <c r="P801" s="6">
        <v>100</v>
      </c>
      <c r="Q801" s="11">
        <v>4.0999999999999996</v>
      </c>
      <c r="R801" s="7" t="b">
        <v>1</v>
      </c>
      <c r="S801" s="7" t="s">
        <v>30</v>
      </c>
      <c r="T801" s="6">
        <v>3787</v>
      </c>
      <c r="U801" s="7" t="s">
        <v>38</v>
      </c>
      <c r="V801" s="12" t="s">
        <v>32</v>
      </c>
      <c r="W801" s="7" t="s">
        <v>33</v>
      </c>
      <c r="X801" s="6">
        <f t="shared" si="51"/>
        <v>150</v>
      </c>
      <c r="Y801" t="str" cm="1">
        <f t="array" ref="Y801">_xlfn.IFS(E801=7.99,"BASIC",E801=11.99,"STANDARD",E801=15.99,"PREMIUM")</f>
        <v>STANDARD</v>
      </c>
      <c r="Z801" s="4">
        <f t="shared" si="49"/>
        <v>15.726666666666668</v>
      </c>
      <c r="AA801" s="3" t="str" cm="1">
        <f t="array" ref="AA801">_xlfn.IFS(
(F801/(X801/7)) &lt; 5, "Casual",
AND((F801/(X801/7)) &gt;= 5, (F801/(X801/7)) &lt; 15), "Regular",
(F801/(X801/7)) &gt;= 15, "Power"
)</f>
        <v>Power</v>
      </c>
      <c r="AB801" s="3">
        <f t="shared" si="52"/>
        <v>0.37611607142857145</v>
      </c>
      <c r="AC801" t="str">
        <f t="shared" si="50"/>
        <v>Viewers</v>
      </c>
    </row>
    <row r="802" spans="1:29" x14ac:dyDescent="0.3">
      <c r="A802" s="6">
        <v>7001</v>
      </c>
      <c r="B802" s="7" t="s">
        <v>164</v>
      </c>
      <c r="C802" s="10">
        <v>45146</v>
      </c>
      <c r="D802" s="10">
        <v>45626</v>
      </c>
      <c r="E802" s="13">
        <v>11.99</v>
      </c>
      <c r="F802" s="6">
        <v>24</v>
      </c>
      <c r="G802" s="7" t="s">
        <v>36</v>
      </c>
      <c r="H802" s="6">
        <v>4</v>
      </c>
      <c r="I802" s="6">
        <v>4</v>
      </c>
      <c r="J802" s="7" t="b">
        <v>0</v>
      </c>
      <c r="K802" s="6">
        <v>30</v>
      </c>
      <c r="L802" s="6">
        <v>20</v>
      </c>
      <c r="M802" s="7" t="s">
        <v>49</v>
      </c>
      <c r="N802" s="7" t="s">
        <v>75</v>
      </c>
      <c r="O802" s="7" t="s">
        <v>29</v>
      </c>
      <c r="P802" s="6">
        <v>98</v>
      </c>
      <c r="Q802" s="11">
        <v>3.9</v>
      </c>
      <c r="R802" s="7" t="b">
        <v>0</v>
      </c>
      <c r="S802" s="7" t="s">
        <v>30</v>
      </c>
      <c r="T802" s="6">
        <v>4477</v>
      </c>
      <c r="U802" s="7" t="s">
        <v>65</v>
      </c>
      <c r="V802" s="12" t="s">
        <v>59</v>
      </c>
      <c r="W802" s="7" t="s">
        <v>93</v>
      </c>
      <c r="X802" s="6">
        <f t="shared" si="51"/>
        <v>480</v>
      </c>
      <c r="Y802" t="str" cm="1">
        <f t="array" ref="Y802">_xlfn.IFS(E802=7.99,"BASIC",E802=11.99,"STANDARD",E802=15.99,"PREMIUM")</f>
        <v>STANDARD</v>
      </c>
      <c r="Z802" s="4">
        <f t="shared" si="49"/>
        <v>0.35000000000000003</v>
      </c>
      <c r="AA802" s="3" t="str" cm="1">
        <f t="array" ref="AA802">_xlfn.IFS(
(F802/(X802/7)) &lt; 5, "Casual",
AND((F802/(X802/7)) &gt;= 5, (F802/(X802/7)) &lt; 15), "Regular",
(F802/(X802/7)) &gt;= 15, "Power"
)</f>
        <v>Casual</v>
      </c>
      <c r="AB802" s="3">
        <f t="shared" si="52"/>
        <v>0.48</v>
      </c>
      <c r="AC802" t="str">
        <f t="shared" si="50"/>
        <v>Viewers</v>
      </c>
    </row>
    <row r="803" spans="1:29" x14ac:dyDescent="0.3">
      <c r="A803" s="6">
        <v>2942</v>
      </c>
      <c r="B803" s="7" t="s">
        <v>675</v>
      </c>
      <c r="C803" s="10">
        <v>44966</v>
      </c>
      <c r="D803" s="10">
        <v>45626</v>
      </c>
      <c r="E803" s="13">
        <v>11.99</v>
      </c>
      <c r="F803" s="6">
        <v>167</v>
      </c>
      <c r="G803" s="7" t="s">
        <v>48</v>
      </c>
      <c r="H803" s="6">
        <v>5</v>
      </c>
      <c r="I803" s="6">
        <v>5</v>
      </c>
      <c r="J803" s="7" t="b">
        <v>0</v>
      </c>
      <c r="K803" s="6">
        <v>127</v>
      </c>
      <c r="L803" s="6">
        <v>138</v>
      </c>
      <c r="M803" s="7" t="s">
        <v>49</v>
      </c>
      <c r="N803" s="7" t="s">
        <v>56</v>
      </c>
      <c r="O803" s="7" t="s">
        <v>45</v>
      </c>
      <c r="P803" s="6">
        <v>66</v>
      </c>
      <c r="Q803" s="11">
        <v>4.7</v>
      </c>
      <c r="R803" s="7" t="b">
        <v>1</v>
      </c>
      <c r="S803" s="7" t="s">
        <v>30</v>
      </c>
      <c r="T803" s="6">
        <v>711</v>
      </c>
      <c r="U803" s="7" t="s">
        <v>58</v>
      </c>
      <c r="V803" s="12" t="s">
        <v>32</v>
      </c>
      <c r="W803" s="7" t="s">
        <v>40</v>
      </c>
      <c r="X803" s="6">
        <f t="shared" si="51"/>
        <v>660</v>
      </c>
      <c r="Y803" t="str" cm="1">
        <f t="array" ref="Y803">_xlfn.IFS(E803=7.99,"BASIC",E803=11.99,"STANDARD",E803=15.99,"PREMIUM")</f>
        <v>STANDARD</v>
      </c>
      <c r="Z803" s="4">
        <f t="shared" si="49"/>
        <v>1.771212121212121</v>
      </c>
      <c r="AA803" s="3" t="str" cm="1">
        <f t="array" ref="AA803">_xlfn.IFS(
(F803/(X803/7)) &lt; 5, "Casual",
AND((F803/(X803/7)) &gt;= 5, (F803/(X803/7)) &lt; 15), "Regular",
(F803/(X803/7)) &gt;= 15, "Power"
)</f>
        <v>Casual</v>
      </c>
      <c r="AB803" s="3">
        <f t="shared" si="52"/>
        <v>0.63018867924528299</v>
      </c>
      <c r="AC803" t="str">
        <f t="shared" si="50"/>
        <v>Viewers</v>
      </c>
    </row>
    <row r="804" spans="1:29" x14ac:dyDescent="0.3">
      <c r="A804" s="6">
        <v>8833</v>
      </c>
      <c r="B804" s="7" t="s">
        <v>91</v>
      </c>
      <c r="C804" s="10">
        <v>45450</v>
      </c>
      <c r="D804" s="10">
        <v>45637</v>
      </c>
      <c r="E804" s="13">
        <v>7.99</v>
      </c>
      <c r="F804" s="6">
        <v>289</v>
      </c>
      <c r="G804" s="7" t="s">
        <v>36</v>
      </c>
      <c r="H804" s="6">
        <v>5</v>
      </c>
      <c r="I804" s="6">
        <v>2</v>
      </c>
      <c r="J804" s="7" t="b">
        <v>0</v>
      </c>
      <c r="K804" s="6">
        <v>216</v>
      </c>
      <c r="L804" s="6">
        <v>162</v>
      </c>
      <c r="M804" s="7" t="s">
        <v>92</v>
      </c>
      <c r="N804" s="7" t="s">
        <v>28</v>
      </c>
      <c r="O804" s="7" t="s">
        <v>29</v>
      </c>
      <c r="P804" s="6">
        <v>99</v>
      </c>
      <c r="Q804" s="11">
        <v>3.7</v>
      </c>
      <c r="R804" s="7" t="b">
        <v>1</v>
      </c>
      <c r="S804" s="7" t="s">
        <v>30</v>
      </c>
      <c r="T804" s="6">
        <v>3711</v>
      </c>
      <c r="U804" s="7" t="s">
        <v>58</v>
      </c>
      <c r="V804" s="12" t="s">
        <v>79</v>
      </c>
      <c r="W804" s="7" t="s">
        <v>33</v>
      </c>
      <c r="X804" s="6">
        <f t="shared" si="51"/>
        <v>187</v>
      </c>
      <c r="Y804" t="str" cm="1">
        <f t="array" ref="Y804">_xlfn.IFS(E804=7.99,"BASIC",E804=11.99,"STANDARD",E804=15.99,"PREMIUM")</f>
        <v>BASIC</v>
      </c>
      <c r="Z804" s="4">
        <f t="shared" si="49"/>
        <v>10.818181818181818</v>
      </c>
      <c r="AA804" s="3" t="str" cm="1">
        <f t="array" ref="AA804">_xlfn.IFS(
(F804/(X804/7)) &lt; 5, "Casual",
AND((F804/(X804/7)) &gt;= 5, (F804/(X804/7)) &lt; 15), "Regular",
(F804/(X804/7)) &gt;= 15, "Power"
)</f>
        <v>Regular</v>
      </c>
      <c r="AB804" s="3">
        <f t="shared" si="52"/>
        <v>0.76455026455026454</v>
      </c>
      <c r="AC804" t="str">
        <f t="shared" si="50"/>
        <v>Viewers</v>
      </c>
    </row>
    <row r="805" spans="1:29" x14ac:dyDescent="0.3">
      <c r="A805" s="6">
        <v>8079</v>
      </c>
      <c r="B805" s="7" t="s">
        <v>88</v>
      </c>
      <c r="C805" s="10">
        <v>45114</v>
      </c>
      <c r="D805" s="10">
        <v>45639</v>
      </c>
      <c r="E805" s="13">
        <v>7.99</v>
      </c>
      <c r="F805" s="6">
        <v>450</v>
      </c>
      <c r="G805" s="7" t="s">
        <v>26</v>
      </c>
      <c r="H805" s="6">
        <v>1</v>
      </c>
      <c r="I805" s="6">
        <v>2</v>
      </c>
      <c r="J805" s="7" t="b">
        <v>1</v>
      </c>
      <c r="K805" s="6">
        <v>12</v>
      </c>
      <c r="L805" s="6">
        <v>133</v>
      </c>
      <c r="M805" s="7" t="s">
        <v>43</v>
      </c>
      <c r="N805" s="7" t="s">
        <v>44</v>
      </c>
      <c r="O805" s="7" t="s">
        <v>29</v>
      </c>
      <c r="P805" s="6">
        <v>100</v>
      </c>
      <c r="Q805" s="11">
        <v>3.4</v>
      </c>
      <c r="R805" s="7" t="b">
        <v>0</v>
      </c>
      <c r="S805" s="7" t="s">
        <v>30</v>
      </c>
      <c r="T805" s="6">
        <v>2534</v>
      </c>
      <c r="U805" s="7" t="s">
        <v>76</v>
      </c>
      <c r="V805" s="12" t="s">
        <v>32</v>
      </c>
      <c r="W805" s="7" t="s">
        <v>93</v>
      </c>
      <c r="X805" s="6">
        <f t="shared" si="51"/>
        <v>525</v>
      </c>
      <c r="Y805" t="str" cm="1">
        <f t="array" ref="Y805">_xlfn.IFS(E805=7.99,"BASIC",E805=11.99,"STANDARD",E805=15.99,"PREMIUM")</f>
        <v>BASIC</v>
      </c>
      <c r="Z805" s="4">
        <f t="shared" si="49"/>
        <v>6</v>
      </c>
      <c r="AA805" s="3" t="str" cm="1">
        <f t="array" ref="AA805">_xlfn.IFS(
(F805/(X805/7)) &lt; 5, "Casual",
AND((F805/(X805/7)) &gt;= 5, (F805/(X805/7)) &lt; 15), "Regular",
(F805/(X805/7)) &gt;= 15, "Power"
)</f>
        <v>Regular</v>
      </c>
      <c r="AB805" s="3">
        <f t="shared" si="52"/>
        <v>3.103448275862069</v>
      </c>
      <c r="AC805" t="str">
        <f t="shared" si="50"/>
        <v>Viewers</v>
      </c>
    </row>
    <row r="806" spans="1:29" x14ac:dyDescent="0.3">
      <c r="A806" s="6">
        <v>3797</v>
      </c>
      <c r="B806" s="7" t="s">
        <v>88</v>
      </c>
      <c r="C806" s="10">
        <v>45447</v>
      </c>
      <c r="D806" s="10">
        <v>45643</v>
      </c>
      <c r="E806" s="13">
        <v>11.99</v>
      </c>
      <c r="F806" s="6">
        <v>165</v>
      </c>
      <c r="G806" s="7" t="s">
        <v>48</v>
      </c>
      <c r="H806" s="6">
        <v>5</v>
      </c>
      <c r="I806" s="6">
        <v>5</v>
      </c>
      <c r="J806" s="7" t="b">
        <v>0</v>
      </c>
      <c r="K806" s="6">
        <v>421</v>
      </c>
      <c r="L806" s="6">
        <v>3</v>
      </c>
      <c r="M806" s="7" t="s">
        <v>27</v>
      </c>
      <c r="N806" s="7" t="s">
        <v>75</v>
      </c>
      <c r="O806" s="7" t="s">
        <v>64</v>
      </c>
      <c r="P806" s="6">
        <v>96</v>
      </c>
      <c r="Q806" s="11">
        <v>4.5</v>
      </c>
      <c r="R806" s="7" t="b">
        <v>1</v>
      </c>
      <c r="S806" s="7" t="s">
        <v>30</v>
      </c>
      <c r="T806" s="6">
        <v>2624</v>
      </c>
      <c r="U806" s="7" t="s">
        <v>38</v>
      </c>
      <c r="V806" s="12" t="s">
        <v>79</v>
      </c>
      <c r="W806" s="7" t="s">
        <v>40</v>
      </c>
      <c r="X806" s="6">
        <f t="shared" si="51"/>
        <v>196</v>
      </c>
      <c r="Y806" t="str" cm="1">
        <f t="array" ref="Y806">_xlfn.IFS(E806=7.99,"BASIC",E806=11.99,"STANDARD",E806=15.99,"PREMIUM")</f>
        <v>STANDARD</v>
      </c>
      <c r="Z806" s="4">
        <f t="shared" si="49"/>
        <v>5.8928571428571432</v>
      </c>
      <c r="AA806" s="3" t="str" cm="1">
        <f t="array" ref="AA806">_xlfn.IFS(
(F806/(X806/7)) &lt; 5, "Casual",
AND((F806/(X806/7)) &gt;= 5, (F806/(X806/7)) &lt; 15), "Regular",
(F806/(X806/7)) &gt;= 15, "Power"
)</f>
        <v>Regular</v>
      </c>
      <c r="AB806" s="3">
        <f t="shared" si="52"/>
        <v>0.38915094339622641</v>
      </c>
      <c r="AC806" t="str">
        <f t="shared" si="50"/>
        <v>Viewers</v>
      </c>
    </row>
    <row r="807" spans="1:29" x14ac:dyDescent="0.3">
      <c r="A807" s="6">
        <v>7268</v>
      </c>
      <c r="B807" s="7" t="s">
        <v>676</v>
      </c>
      <c r="C807" s="10">
        <v>45054</v>
      </c>
      <c r="D807" s="10">
        <v>45643</v>
      </c>
      <c r="E807" s="13">
        <v>15.99</v>
      </c>
      <c r="F807" s="6">
        <v>391</v>
      </c>
      <c r="G807" s="7" t="s">
        <v>26</v>
      </c>
      <c r="H807" s="6">
        <v>2</v>
      </c>
      <c r="I807" s="6">
        <v>2</v>
      </c>
      <c r="J807" s="7" t="b">
        <v>0</v>
      </c>
      <c r="K807" s="6">
        <v>988</v>
      </c>
      <c r="L807" s="6">
        <v>82</v>
      </c>
      <c r="M807" s="7" t="s">
        <v>27</v>
      </c>
      <c r="N807" s="7" t="s">
        <v>28</v>
      </c>
      <c r="O807" s="7" t="s">
        <v>37</v>
      </c>
      <c r="P807" s="6">
        <v>73</v>
      </c>
      <c r="Q807" s="11">
        <v>3</v>
      </c>
      <c r="R807" s="7" t="b">
        <v>1</v>
      </c>
      <c r="S807" s="7" t="s">
        <v>30</v>
      </c>
      <c r="T807" s="6">
        <v>3617</v>
      </c>
      <c r="U807" s="7" t="s">
        <v>58</v>
      </c>
      <c r="V807" s="12" t="s">
        <v>59</v>
      </c>
      <c r="W807" s="7" t="s">
        <v>60</v>
      </c>
      <c r="X807" s="6">
        <f t="shared" si="51"/>
        <v>589</v>
      </c>
      <c r="Y807" t="str" cm="1">
        <f t="array" ref="Y807">_xlfn.IFS(E807=7.99,"BASIC",E807=11.99,"STANDARD",E807=15.99,"PREMIUM")</f>
        <v>PREMIUM</v>
      </c>
      <c r="Z807" s="4">
        <f t="shared" si="49"/>
        <v>4.6468590831918508</v>
      </c>
      <c r="AA807" s="3" t="str" cm="1">
        <f t="array" ref="AA807">_xlfn.IFS(
(F807/(X807/7)) &lt; 5, "Casual",
AND((F807/(X807/7)) &gt;= 5, (F807/(X807/7)) &lt; 15), "Regular",
(F807/(X807/7)) &gt;= 15, "Power"
)</f>
        <v>Casual</v>
      </c>
      <c r="AB807" s="3">
        <f t="shared" si="52"/>
        <v>0.36542056074766355</v>
      </c>
      <c r="AC807" t="str">
        <f t="shared" si="50"/>
        <v>Viewers</v>
      </c>
    </row>
    <row r="808" spans="1:29" x14ac:dyDescent="0.3">
      <c r="A808" s="6">
        <v>9803</v>
      </c>
      <c r="B808" s="7" t="s">
        <v>405</v>
      </c>
      <c r="C808" s="10">
        <v>45487</v>
      </c>
      <c r="D808" s="10">
        <v>45619</v>
      </c>
      <c r="E808" s="13">
        <v>11.99</v>
      </c>
      <c r="F808" s="6">
        <v>318</v>
      </c>
      <c r="G808" s="7" t="s">
        <v>36</v>
      </c>
      <c r="H808" s="6">
        <v>2</v>
      </c>
      <c r="I808" s="6">
        <v>1</v>
      </c>
      <c r="J808" s="7" t="b">
        <v>0</v>
      </c>
      <c r="K808" s="6">
        <v>376</v>
      </c>
      <c r="L808" s="6">
        <v>44</v>
      </c>
      <c r="M808" s="7" t="s">
        <v>27</v>
      </c>
      <c r="N808" s="7" t="s">
        <v>75</v>
      </c>
      <c r="O808" s="7" t="s">
        <v>45</v>
      </c>
      <c r="P808" s="6">
        <v>42</v>
      </c>
      <c r="Q808" s="11">
        <v>3.9</v>
      </c>
      <c r="R808" s="7" t="b">
        <v>0</v>
      </c>
      <c r="S808" s="7" t="s">
        <v>30</v>
      </c>
      <c r="T808" s="6">
        <v>3078</v>
      </c>
      <c r="U808" s="7" t="s">
        <v>76</v>
      </c>
      <c r="V808" s="12" t="s">
        <v>39</v>
      </c>
      <c r="W808" s="7" t="s">
        <v>60</v>
      </c>
      <c r="X808" s="6">
        <f t="shared" si="51"/>
        <v>132</v>
      </c>
      <c r="Y808" t="str" cm="1">
        <f t="array" ref="Y808">_xlfn.IFS(E808=7.99,"BASIC",E808=11.99,"STANDARD",E808=15.99,"PREMIUM")</f>
        <v>STANDARD</v>
      </c>
      <c r="Z808" s="4">
        <f t="shared" si="49"/>
        <v>16.863636363636363</v>
      </c>
      <c r="AA808" s="3" t="str" cm="1">
        <f t="array" ref="AA808">_xlfn.IFS(
(F808/(X808/7)) &lt; 5, "Casual",
AND((F808/(X808/7)) &gt;= 5, (F808/(X808/7)) &lt; 15), "Regular",
(F808/(X808/7)) &gt;= 15, "Power"
)</f>
        <v>Power</v>
      </c>
      <c r="AB808" s="3">
        <f t="shared" si="52"/>
        <v>0.75714285714285712</v>
      </c>
      <c r="AC808" t="str">
        <f t="shared" si="50"/>
        <v>Viewers</v>
      </c>
    </row>
    <row r="809" spans="1:29" x14ac:dyDescent="0.3">
      <c r="A809" s="6">
        <v>2165</v>
      </c>
      <c r="B809" s="7" t="s">
        <v>677</v>
      </c>
      <c r="C809" s="10">
        <v>45465</v>
      </c>
      <c r="D809" s="10">
        <v>45625</v>
      </c>
      <c r="E809" s="13">
        <v>15.99</v>
      </c>
      <c r="F809" s="6">
        <v>157</v>
      </c>
      <c r="G809" s="7" t="s">
        <v>51</v>
      </c>
      <c r="H809" s="6">
        <v>2</v>
      </c>
      <c r="I809" s="6">
        <v>2</v>
      </c>
      <c r="J809" s="7" t="b">
        <v>0</v>
      </c>
      <c r="K809" s="6">
        <v>542</v>
      </c>
      <c r="L809" s="6">
        <v>80</v>
      </c>
      <c r="M809" s="7" t="s">
        <v>68</v>
      </c>
      <c r="N809" s="7" t="s">
        <v>28</v>
      </c>
      <c r="O809" s="7" t="s">
        <v>64</v>
      </c>
      <c r="P809" s="6">
        <v>53</v>
      </c>
      <c r="Q809" s="11">
        <v>4.2</v>
      </c>
      <c r="R809" s="7" t="b">
        <v>0</v>
      </c>
      <c r="S809" s="7" t="s">
        <v>30</v>
      </c>
      <c r="T809" s="6">
        <v>164</v>
      </c>
      <c r="U809" s="7" t="s">
        <v>58</v>
      </c>
      <c r="V809" s="12" t="s">
        <v>32</v>
      </c>
      <c r="W809" s="7" t="s">
        <v>40</v>
      </c>
      <c r="X809" s="6">
        <f t="shared" si="51"/>
        <v>160</v>
      </c>
      <c r="Y809" t="str" cm="1">
        <f t="array" ref="Y809">_xlfn.IFS(E809=7.99,"BASIC",E809=11.99,"STANDARD",E809=15.99,"PREMIUM")</f>
        <v>PREMIUM</v>
      </c>
      <c r="Z809" s="4">
        <f t="shared" si="49"/>
        <v>6.8687499999999995</v>
      </c>
      <c r="AA809" s="3" t="str" cm="1">
        <f t="array" ref="AA809">_xlfn.IFS(
(F809/(X809/7)) &lt; 5, "Casual",
AND((F809/(X809/7)) &gt;= 5, (F809/(X809/7)) &lt; 15), "Regular",
(F809/(X809/7)) &gt;= 15, "Power"
)</f>
        <v>Regular</v>
      </c>
      <c r="AB809" s="3">
        <f t="shared" si="52"/>
        <v>0.25241157556270094</v>
      </c>
      <c r="AC809" t="str">
        <f t="shared" si="50"/>
        <v>Viewers</v>
      </c>
    </row>
    <row r="810" spans="1:29" x14ac:dyDescent="0.3">
      <c r="A810" s="6">
        <v>1528</v>
      </c>
      <c r="B810" s="7" t="s">
        <v>365</v>
      </c>
      <c r="C810" s="10">
        <v>44936</v>
      </c>
      <c r="D810" s="10">
        <v>45615</v>
      </c>
      <c r="E810" s="13">
        <v>11.99</v>
      </c>
      <c r="F810" s="6">
        <v>25</v>
      </c>
      <c r="G810" s="7" t="s">
        <v>36</v>
      </c>
      <c r="H810" s="6">
        <v>3</v>
      </c>
      <c r="I810" s="6">
        <v>5</v>
      </c>
      <c r="J810" s="7" t="b">
        <v>1</v>
      </c>
      <c r="K810" s="6">
        <v>232</v>
      </c>
      <c r="L810" s="6">
        <v>196</v>
      </c>
      <c r="M810" s="7" t="s">
        <v>49</v>
      </c>
      <c r="N810" s="7" t="s">
        <v>44</v>
      </c>
      <c r="O810" s="7" t="s">
        <v>57</v>
      </c>
      <c r="P810" s="6">
        <v>48</v>
      </c>
      <c r="Q810" s="11">
        <v>3.2</v>
      </c>
      <c r="R810" s="7" t="b">
        <v>0</v>
      </c>
      <c r="S810" s="7" t="s">
        <v>30</v>
      </c>
      <c r="T810" s="6">
        <v>2805</v>
      </c>
      <c r="U810" s="7" t="s">
        <v>58</v>
      </c>
      <c r="V810" s="12" t="s">
        <v>59</v>
      </c>
      <c r="W810" s="7" t="s">
        <v>60</v>
      </c>
      <c r="X810" s="6">
        <f t="shared" si="51"/>
        <v>679</v>
      </c>
      <c r="Y810" t="str" cm="1">
        <f t="array" ref="Y810">_xlfn.IFS(E810=7.99,"BASIC",E810=11.99,"STANDARD",E810=15.99,"PREMIUM")</f>
        <v>STANDARD</v>
      </c>
      <c r="Z810" s="4">
        <f t="shared" si="49"/>
        <v>0.25773195876288657</v>
      </c>
      <c r="AA810" s="3" t="str" cm="1">
        <f t="array" ref="AA810">_xlfn.IFS(
(F810/(X810/7)) &lt; 5, "Casual",
AND((F810/(X810/7)) &gt;= 5, (F810/(X810/7)) &lt; 15), "Regular",
(F810/(X810/7)) &gt;= 15, "Power"
)</f>
        <v>Casual</v>
      </c>
      <c r="AB810" s="3">
        <f t="shared" si="52"/>
        <v>5.8411214953271028E-2</v>
      </c>
      <c r="AC810" t="str">
        <f t="shared" si="50"/>
        <v xml:space="preserve"> Browsers</v>
      </c>
    </row>
    <row r="811" spans="1:29" x14ac:dyDescent="0.3">
      <c r="A811" s="6">
        <v>5978</v>
      </c>
      <c r="B811" s="7" t="s">
        <v>393</v>
      </c>
      <c r="C811" s="10">
        <v>45028</v>
      </c>
      <c r="D811" s="10">
        <v>45635</v>
      </c>
      <c r="E811" s="13">
        <v>11.99</v>
      </c>
      <c r="F811" s="6">
        <v>112</v>
      </c>
      <c r="G811" s="7" t="s">
        <v>36</v>
      </c>
      <c r="H811" s="6">
        <v>3</v>
      </c>
      <c r="I811" s="6">
        <v>4</v>
      </c>
      <c r="J811" s="7" t="b">
        <v>1</v>
      </c>
      <c r="K811" s="6">
        <v>505</v>
      </c>
      <c r="L811" s="6">
        <v>118</v>
      </c>
      <c r="M811" s="7" t="s">
        <v>49</v>
      </c>
      <c r="N811" s="7" t="s">
        <v>28</v>
      </c>
      <c r="O811" s="7" t="s">
        <v>64</v>
      </c>
      <c r="P811" s="6">
        <v>81</v>
      </c>
      <c r="Q811" s="11">
        <v>3.9</v>
      </c>
      <c r="R811" s="7" t="b">
        <v>0</v>
      </c>
      <c r="S811" s="7" t="s">
        <v>30</v>
      </c>
      <c r="T811" s="6">
        <v>3848</v>
      </c>
      <c r="U811" s="7" t="s">
        <v>38</v>
      </c>
      <c r="V811" s="12" t="s">
        <v>39</v>
      </c>
      <c r="W811" s="7" t="s">
        <v>93</v>
      </c>
      <c r="X811" s="6">
        <f t="shared" si="51"/>
        <v>607</v>
      </c>
      <c r="Y811" t="str" cm="1">
        <f t="array" ref="Y811">_xlfn.IFS(E811=7.99,"BASIC",E811=11.99,"STANDARD",E811=15.99,"PREMIUM")</f>
        <v>STANDARD</v>
      </c>
      <c r="Z811" s="4">
        <f t="shared" si="49"/>
        <v>1.2915980230642505</v>
      </c>
      <c r="AA811" s="3" t="str" cm="1">
        <f t="array" ref="AA811">_xlfn.IFS(
(F811/(X811/7)) &lt; 5, "Casual",
AND((F811/(X811/7)) &gt;= 5, (F811/(X811/7)) &lt; 15), "Regular",
(F811/(X811/7)) &gt;= 15, "Power"
)</f>
        <v>Casual</v>
      </c>
      <c r="AB811" s="3">
        <f t="shared" si="52"/>
        <v>0.1797752808988764</v>
      </c>
      <c r="AC811" t="str">
        <f t="shared" si="50"/>
        <v>Viewers</v>
      </c>
    </row>
    <row r="812" spans="1:29" x14ac:dyDescent="0.3">
      <c r="A812" s="6">
        <v>5967</v>
      </c>
      <c r="B812" s="7" t="s">
        <v>382</v>
      </c>
      <c r="C812" s="10">
        <v>45058</v>
      </c>
      <c r="D812" s="10">
        <v>45640</v>
      </c>
      <c r="E812" s="13">
        <v>11.99</v>
      </c>
      <c r="F812" s="6">
        <v>479</v>
      </c>
      <c r="G812" s="7" t="s">
        <v>26</v>
      </c>
      <c r="H812" s="6">
        <v>2</v>
      </c>
      <c r="I812" s="6">
        <v>5</v>
      </c>
      <c r="J812" s="7" t="b">
        <v>0</v>
      </c>
      <c r="K812" s="6">
        <v>394</v>
      </c>
      <c r="L812" s="6">
        <v>35</v>
      </c>
      <c r="M812" s="7" t="s">
        <v>68</v>
      </c>
      <c r="N812" s="7" t="s">
        <v>75</v>
      </c>
      <c r="O812" s="7" t="s">
        <v>45</v>
      </c>
      <c r="P812" s="6">
        <v>93</v>
      </c>
      <c r="Q812" s="11">
        <v>3.7</v>
      </c>
      <c r="R812" s="7" t="b">
        <v>0</v>
      </c>
      <c r="S812" s="7" t="s">
        <v>30</v>
      </c>
      <c r="T812" s="6">
        <v>836</v>
      </c>
      <c r="U812" s="7" t="s">
        <v>38</v>
      </c>
      <c r="V812" s="12" t="s">
        <v>39</v>
      </c>
      <c r="W812" s="7" t="s">
        <v>33</v>
      </c>
      <c r="X812" s="6">
        <f t="shared" si="51"/>
        <v>582</v>
      </c>
      <c r="Y812" t="str" cm="1">
        <f t="array" ref="Y812">_xlfn.IFS(E812=7.99,"BASIC",E812=11.99,"STANDARD",E812=15.99,"PREMIUM")</f>
        <v>STANDARD</v>
      </c>
      <c r="Z812" s="4">
        <f t="shared" si="49"/>
        <v>5.761168384879725</v>
      </c>
      <c r="AA812" s="3" t="str" cm="1">
        <f t="array" ref="AA812">_xlfn.IFS(
(F812/(X812/7)) &lt; 5, "Casual",
AND((F812/(X812/7)) &gt;= 5, (F812/(X812/7)) &lt; 15), "Regular",
(F812/(X812/7)) &gt;= 15, "Power"
)</f>
        <v>Regular</v>
      </c>
      <c r="AB812" s="3">
        <f t="shared" si="52"/>
        <v>1.1165501165501166</v>
      </c>
      <c r="AC812" t="str">
        <f t="shared" si="50"/>
        <v>Viewers</v>
      </c>
    </row>
    <row r="813" spans="1:29" x14ac:dyDescent="0.3">
      <c r="A813" s="6">
        <v>4254</v>
      </c>
      <c r="B813" s="7" t="s">
        <v>153</v>
      </c>
      <c r="C813" s="10">
        <v>45138</v>
      </c>
      <c r="D813" s="10">
        <v>45644</v>
      </c>
      <c r="E813" s="13">
        <v>11.99</v>
      </c>
      <c r="F813" s="6">
        <v>233</v>
      </c>
      <c r="G813" s="7" t="s">
        <v>100</v>
      </c>
      <c r="H813" s="6">
        <v>1</v>
      </c>
      <c r="I813" s="6">
        <v>2</v>
      </c>
      <c r="J813" s="7" t="b">
        <v>1</v>
      </c>
      <c r="K813" s="6">
        <v>769</v>
      </c>
      <c r="L813" s="6">
        <v>132</v>
      </c>
      <c r="M813" s="7" t="s">
        <v>55</v>
      </c>
      <c r="N813" s="7" t="s">
        <v>28</v>
      </c>
      <c r="O813" s="7" t="s">
        <v>29</v>
      </c>
      <c r="P813" s="6">
        <v>82</v>
      </c>
      <c r="Q813" s="11">
        <v>4.3</v>
      </c>
      <c r="R813" s="7" t="b">
        <v>1</v>
      </c>
      <c r="S813" s="7" t="s">
        <v>30</v>
      </c>
      <c r="T813" s="6">
        <v>2761</v>
      </c>
      <c r="U813" s="7" t="s">
        <v>65</v>
      </c>
      <c r="V813" s="12" t="s">
        <v>59</v>
      </c>
      <c r="W813" s="7" t="s">
        <v>60</v>
      </c>
      <c r="X813" s="6">
        <f t="shared" si="51"/>
        <v>506</v>
      </c>
      <c r="Y813" t="str" cm="1">
        <f t="array" ref="Y813">_xlfn.IFS(E813=7.99,"BASIC",E813=11.99,"STANDARD",E813=15.99,"PREMIUM")</f>
        <v>STANDARD</v>
      </c>
      <c r="Z813" s="4">
        <f t="shared" si="49"/>
        <v>3.2233201581027666</v>
      </c>
      <c r="AA813" s="3" t="str" cm="1">
        <f t="array" ref="AA813">_xlfn.IFS(
(F813/(X813/7)) &lt; 5, "Casual",
AND((F813/(X813/7)) &gt;= 5, (F813/(X813/7)) &lt; 15), "Regular",
(F813/(X813/7)) &gt;= 15, "Power"
)</f>
        <v>Casual</v>
      </c>
      <c r="AB813" s="3">
        <f t="shared" si="52"/>
        <v>0.25860155382907879</v>
      </c>
      <c r="AC813" t="str">
        <f t="shared" si="50"/>
        <v>Viewers</v>
      </c>
    </row>
    <row r="814" spans="1:29" x14ac:dyDescent="0.3">
      <c r="A814" s="6">
        <v>2186</v>
      </c>
      <c r="B814" s="7" t="s">
        <v>473</v>
      </c>
      <c r="C814" s="10">
        <v>45623</v>
      </c>
      <c r="D814" s="10">
        <v>45644</v>
      </c>
      <c r="E814" s="13">
        <v>7.99</v>
      </c>
      <c r="F814" s="6">
        <v>44</v>
      </c>
      <c r="G814" s="7" t="s">
        <v>36</v>
      </c>
      <c r="H814" s="6">
        <v>4</v>
      </c>
      <c r="I814" s="6">
        <v>4</v>
      </c>
      <c r="J814" s="7" t="b">
        <v>0</v>
      </c>
      <c r="K814" s="6">
        <v>89</v>
      </c>
      <c r="L814" s="6">
        <v>90</v>
      </c>
      <c r="M814" s="7" t="s">
        <v>55</v>
      </c>
      <c r="N814" s="7" t="s">
        <v>44</v>
      </c>
      <c r="O814" s="7" t="s">
        <v>78</v>
      </c>
      <c r="P814" s="6">
        <v>48</v>
      </c>
      <c r="Q814" s="11">
        <v>5</v>
      </c>
      <c r="R814" s="7" t="b">
        <v>1</v>
      </c>
      <c r="S814" s="7" t="s">
        <v>30</v>
      </c>
      <c r="T814" s="6">
        <v>4633</v>
      </c>
      <c r="U814" s="7" t="s">
        <v>76</v>
      </c>
      <c r="V814" s="12" t="s">
        <v>32</v>
      </c>
      <c r="W814" s="7" t="s">
        <v>33</v>
      </c>
      <c r="X814" s="6">
        <f t="shared" si="51"/>
        <v>21</v>
      </c>
      <c r="Y814" t="str" cm="1">
        <f t="array" ref="Y814">_xlfn.IFS(E814=7.99,"BASIC",E814=11.99,"STANDARD",E814=15.99,"PREMIUM")</f>
        <v>BASIC</v>
      </c>
      <c r="Z814" s="4">
        <f t="shared" si="49"/>
        <v>14.666666666666666</v>
      </c>
      <c r="AA814" s="3" t="str" cm="1">
        <f t="array" ref="AA814">_xlfn.IFS(
(F814/(X814/7)) &lt; 5, "Casual",
AND((F814/(X814/7)) &gt;= 5, (F814/(X814/7)) &lt; 15), "Regular",
(F814/(X814/7)) &gt;= 15, "Power"
)</f>
        <v>Regular</v>
      </c>
      <c r="AB814" s="3">
        <f t="shared" si="52"/>
        <v>0.24581005586592178</v>
      </c>
      <c r="AC814" t="str">
        <f t="shared" si="50"/>
        <v>Viewers</v>
      </c>
    </row>
    <row r="815" spans="1:29" x14ac:dyDescent="0.3">
      <c r="A815" s="6">
        <v>7644</v>
      </c>
      <c r="B815" s="7" t="s">
        <v>678</v>
      </c>
      <c r="C815" s="10">
        <v>45634</v>
      </c>
      <c r="D815" s="10">
        <v>45641</v>
      </c>
      <c r="E815" s="13">
        <v>15.99</v>
      </c>
      <c r="F815" s="6">
        <v>456</v>
      </c>
      <c r="G815" s="7" t="s">
        <v>26</v>
      </c>
      <c r="H815" s="6">
        <v>2</v>
      </c>
      <c r="I815" s="6">
        <v>3</v>
      </c>
      <c r="J815" s="7" t="b">
        <v>1</v>
      </c>
      <c r="K815" s="6">
        <v>240</v>
      </c>
      <c r="L815" s="6">
        <v>83</v>
      </c>
      <c r="M815" s="7" t="s">
        <v>43</v>
      </c>
      <c r="N815" s="7" t="s">
        <v>56</v>
      </c>
      <c r="O815" s="7" t="s">
        <v>29</v>
      </c>
      <c r="P815" s="6">
        <v>76</v>
      </c>
      <c r="Q815" s="11">
        <v>4</v>
      </c>
      <c r="R815" s="7" t="b">
        <v>0</v>
      </c>
      <c r="S815" s="7" t="s">
        <v>30</v>
      </c>
      <c r="T815" s="6">
        <v>4260</v>
      </c>
      <c r="U815" s="7" t="s">
        <v>58</v>
      </c>
      <c r="V815" s="12" t="s">
        <v>59</v>
      </c>
      <c r="W815" s="7" t="s">
        <v>33</v>
      </c>
      <c r="X815" s="6">
        <f t="shared" si="51"/>
        <v>7</v>
      </c>
      <c r="Y815" t="str" cm="1">
        <f t="array" ref="Y815">_xlfn.IFS(E815=7.99,"BASIC",E815=11.99,"STANDARD",E815=15.99,"PREMIUM")</f>
        <v>PREMIUM</v>
      </c>
      <c r="Z815" s="4">
        <f t="shared" si="49"/>
        <v>456</v>
      </c>
      <c r="AA815" s="3" t="str" cm="1">
        <f t="array" ref="AA815">_xlfn.IFS(
(F815/(X815/7)) &lt; 5, "Casual",
AND((F815/(X815/7)) &gt;= 5, (F815/(X815/7)) &lt; 15), "Regular",
(F815/(X815/7)) &gt;= 15, "Power"
)</f>
        <v>Power</v>
      </c>
      <c r="AB815" s="3">
        <f t="shared" si="52"/>
        <v>1.411764705882353</v>
      </c>
      <c r="AC815" t="str">
        <f t="shared" si="50"/>
        <v>Viewers</v>
      </c>
    </row>
    <row r="816" spans="1:29" x14ac:dyDescent="0.3">
      <c r="A816" s="6">
        <v>5897</v>
      </c>
      <c r="B816" s="7" t="s">
        <v>296</v>
      </c>
      <c r="C816" s="10">
        <v>45181</v>
      </c>
      <c r="D816" s="10">
        <v>45632</v>
      </c>
      <c r="E816" s="13">
        <v>7.99</v>
      </c>
      <c r="F816" s="6">
        <v>486</v>
      </c>
      <c r="G816" s="7" t="s">
        <v>36</v>
      </c>
      <c r="H816" s="6">
        <v>3</v>
      </c>
      <c r="I816" s="6">
        <v>2</v>
      </c>
      <c r="J816" s="7" t="b">
        <v>0</v>
      </c>
      <c r="K816" s="6">
        <v>181</v>
      </c>
      <c r="L816" s="6">
        <v>15</v>
      </c>
      <c r="M816" s="7" t="s">
        <v>74</v>
      </c>
      <c r="N816" s="7" t="s">
        <v>56</v>
      </c>
      <c r="O816" s="7" t="s">
        <v>37</v>
      </c>
      <c r="P816" s="6">
        <v>0</v>
      </c>
      <c r="Q816" s="11">
        <v>4.2</v>
      </c>
      <c r="R816" s="7" t="b">
        <v>0</v>
      </c>
      <c r="S816" s="7" t="s">
        <v>30</v>
      </c>
      <c r="T816" s="6">
        <v>447</v>
      </c>
      <c r="U816" s="7" t="s">
        <v>76</v>
      </c>
      <c r="V816" s="12" t="s">
        <v>59</v>
      </c>
      <c r="W816" s="7" t="s">
        <v>60</v>
      </c>
      <c r="X816" s="6">
        <f t="shared" si="51"/>
        <v>451</v>
      </c>
      <c r="Y816" t="str" cm="1">
        <f t="array" ref="Y816">_xlfn.IFS(E816=7.99,"BASIC",E816=11.99,"STANDARD",E816=15.99,"PREMIUM")</f>
        <v>BASIC</v>
      </c>
      <c r="Z816" s="4">
        <f t="shared" si="49"/>
        <v>7.5432372505543235</v>
      </c>
      <c r="AA816" s="3" t="str" cm="1">
        <f t="array" ref="AA816">_xlfn.IFS(
(F816/(X816/7)) &lt; 5, "Casual",
AND((F816/(X816/7)) &gt;= 5, (F816/(X816/7)) &lt; 15), "Regular",
(F816/(X816/7)) &gt;= 15, "Power"
)</f>
        <v>Regular</v>
      </c>
      <c r="AB816" s="3">
        <f t="shared" si="52"/>
        <v>2.4795918367346941</v>
      </c>
      <c r="AC816" t="str">
        <f t="shared" si="50"/>
        <v>Viewers</v>
      </c>
    </row>
    <row r="817" spans="1:30" x14ac:dyDescent="0.3">
      <c r="A817" s="6">
        <v>7465</v>
      </c>
      <c r="B817" s="7" t="s">
        <v>618</v>
      </c>
      <c r="C817" s="10">
        <v>45607</v>
      </c>
      <c r="D817" s="10">
        <v>45627</v>
      </c>
      <c r="E817" s="13">
        <v>11.99</v>
      </c>
      <c r="F817" s="6">
        <v>308</v>
      </c>
      <c r="G817" s="7" t="s">
        <v>26</v>
      </c>
      <c r="H817" s="6">
        <v>4</v>
      </c>
      <c r="I817" s="6">
        <v>3</v>
      </c>
      <c r="J817" s="7" t="b">
        <v>1</v>
      </c>
      <c r="K817" s="6">
        <v>284</v>
      </c>
      <c r="L817" s="6">
        <v>81</v>
      </c>
      <c r="M817" s="7" t="s">
        <v>68</v>
      </c>
      <c r="N817" s="7" t="s">
        <v>56</v>
      </c>
      <c r="O817" s="7" t="s">
        <v>57</v>
      </c>
      <c r="P817" s="6">
        <v>92</v>
      </c>
      <c r="Q817" s="11">
        <v>3.7</v>
      </c>
      <c r="R817" s="7" t="b">
        <v>1</v>
      </c>
      <c r="S817" s="7" t="s">
        <v>30</v>
      </c>
      <c r="T817" s="6">
        <v>1298</v>
      </c>
      <c r="U817" s="7" t="s">
        <v>76</v>
      </c>
      <c r="V817" s="12" t="s">
        <v>59</v>
      </c>
      <c r="W817" s="7" t="s">
        <v>93</v>
      </c>
      <c r="X817" s="6">
        <f t="shared" si="51"/>
        <v>20</v>
      </c>
      <c r="Y817" t="str" cm="1">
        <f t="array" ref="Y817">_xlfn.IFS(E817=7.99,"BASIC",E817=11.99,"STANDARD",E817=15.99,"PREMIUM")</f>
        <v>STANDARD</v>
      </c>
      <c r="Z817" s="4">
        <f t="shared" si="49"/>
        <v>107.8</v>
      </c>
      <c r="AA817" s="3" t="str" cm="1">
        <f t="array" ref="AA817">_xlfn.IFS(
(F817/(X817/7)) &lt; 5, "Casual",
AND((F817/(X817/7)) &gt;= 5, (F817/(X817/7)) &lt; 15), "Regular",
(F817/(X817/7)) &gt;= 15, "Power"
)</f>
        <v>Power</v>
      </c>
      <c r="AB817" s="3">
        <f t="shared" si="52"/>
        <v>0.84383561643835614</v>
      </c>
      <c r="AC817" t="str">
        <f t="shared" si="50"/>
        <v>Viewers</v>
      </c>
    </row>
    <row r="818" spans="1:30" x14ac:dyDescent="0.3">
      <c r="A818" s="6">
        <v>3724</v>
      </c>
      <c r="B818" s="7" t="s">
        <v>118</v>
      </c>
      <c r="C818" s="10">
        <v>45471</v>
      </c>
      <c r="D818" s="10">
        <v>45628</v>
      </c>
      <c r="E818" s="13">
        <v>7.99</v>
      </c>
      <c r="F818" s="6">
        <v>161</v>
      </c>
      <c r="G818" s="7" t="s">
        <v>100</v>
      </c>
      <c r="H818" s="6">
        <v>3</v>
      </c>
      <c r="I818" s="6">
        <v>5</v>
      </c>
      <c r="J818" s="7" t="b">
        <v>0</v>
      </c>
      <c r="K818" s="6">
        <v>698</v>
      </c>
      <c r="L818" s="6">
        <v>77</v>
      </c>
      <c r="M818" s="7" t="s">
        <v>43</v>
      </c>
      <c r="N818" s="7" t="s">
        <v>28</v>
      </c>
      <c r="O818" s="7" t="s">
        <v>57</v>
      </c>
      <c r="P818" s="6">
        <v>32</v>
      </c>
      <c r="Q818" s="11">
        <v>3.7</v>
      </c>
      <c r="R818" s="7" t="b">
        <v>0</v>
      </c>
      <c r="S818" s="7" t="s">
        <v>30</v>
      </c>
      <c r="T818" s="6">
        <v>3445</v>
      </c>
      <c r="U818" s="7" t="s">
        <v>65</v>
      </c>
      <c r="V818" s="12" t="s">
        <v>69</v>
      </c>
      <c r="W818" s="7" t="s">
        <v>93</v>
      </c>
      <c r="X818" s="6">
        <f t="shared" si="51"/>
        <v>157</v>
      </c>
      <c r="Y818" t="str" cm="1">
        <f t="array" ref="Y818">_xlfn.IFS(E818=7.99,"BASIC",E818=11.99,"STANDARD",E818=15.99,"PREMIUM")</f>
        <v>BASIC</v>
      </c>
      <c r="Z818" s="4">
        <f t="shared" si="49"/>
        <v>7.1783439490445868</v>
      </c>
      <c r="AA818" s="3" t="str" cm="1">
        <f t="array" ref="AA818">_xlfn.IFS(
(F818/(X818/7)) &lt; 5, "Casual",
AND((F818/(X818/7)) &gt;= 5, (F818/(X818/7)) &lt; 15), "Regular",
(F818/(X818/7)) &gt;= 15, "Power"
)</f>
        <v>Regular</v>
      </c>
      <c r="AB818" s="3">
        <f t="shared" si="52"/>
        <v>0.20774193548387096</v>
      </c>
      <c r="AC818" t="str">
        <f t="shared" si="50"/>
        <v>Viewers</v>
      </c>
    </row>
    <row r="819" spans="1:30" x14ac:dyDescent="0.3">
      <c r="A819" s="6">
        <v>2914</v>
      </c>
      <c r="B819" s="7" t="s">
        <v>579</v>
      </c>
      <c r="C819" s="10">
        <v>45114</v>
      </c>
      <c r="D819" s="10">
        <v>45640</v>
      </c>
      <c r="E819" s="13">
        <v>15.99</v>
      </c>
      <c r="F819" s="6">
        <v>316</v>
      </c>
      <c r="G819" s="7" t="s">
        <v>73</v>
      </c>
      <c r="H819" s="6">
        <v>3</v>
      </c>
      <c r="I819" s="6">
        <v>1</v>
      </c>
      <c r="J819" s="7" t="b">
        <v>0</v>
      </c>
      <c r="K819" s="6">
        <v>734</v>
      </c>
      <c r="L819" s="6">
        <v>21</v>
      </c>
      <c r="M819" s="7" t="s">
        <v>43</v>
      </c>
      <c r="N819" s="7" t="s">
        <v>56</v>
      </c>
      <c r="O819" s="7" t="s">
        <v>29</v>
      </c>
      <c r="P819" s="6">
        <v>65</v>
      </c>
      <c r="Q819" s="11">
        <v>4.5999999999999996</v>
      </c>
      <c r="R819" s="7" t="b">
        <v>0</v>
      </c>
      <c r="S819" s="7" t="s">
        <v>30</v>
      </c>
      <c r="T819" s="6">
        <v>3039</v>
      </c>
      <c r="U819" s="7" t="s">
        <v>58</v>
      </c>
      <c r="V819" s="12" t="s">
        <v>79</v>
      </c>
      <c r="W819" s="7" t="s">
        <v>33</v>
      </c>
      <c r="X819" s="6">
        <f t="shared" si="51"/>
        <v>526</v>
      </c>
      <c r="Y819" t="str" cm="1">
        <f t="array" ref="Y819">_xlfn.IFS(E819=7.99,"BASIC",E819=11.99,"STANDARD",E819=15.99,"PREMIUM")</f>
        <v>PREMIUM</v>
      </c>
      <c r="Z819" s="4">
        <f t="shared" si="49"/>
        <v>4.2053231939163505</v>
      </c>
      <c r="AA819" s="3" t="str" cm="1">
        <f t="array" ref="AA819">_xlfn.IFS(
(F819/(X819/7)) &lt; 5, "Casual",
AND((F819/(X819/7)) &gt;= 5, (F819/(X819/7)) &lt; 15), "Regular",
(F819/(X819/7)) &gt;= 15, "Power"
)</f>
        <v>Casual</v>
      </c>
      <c r="AB819" s="3">
        <f t="shared" si="52"/>
        <v>0.41854304635761591</v>
      </c>
      <c r="AC819" t="str">
        <f t="shared" si="50"/>
        <v>Viewers</v>
      </c>
    </row>
    <row r="820" spans="1:30" x14ac:dyDescent="0.3">
      <c r="A820" s="6">
        <v>4110</v>
      </c>
      <c r="B820" s="7" t="s">
        <v>212</v>
      </c>
      <c r="C820" s="10">
        <v>45318</v>
      </c>
      <c r="D820" s="10">
        <v>45622</v>
      </c>
      <c r="E820" s="13">
        <v>11.99</v>
      </c>
      <c r="F820" s="6">
        <v>133</v>
      </c>
      <c r="G820" s="7" t="s">
        <v>36</v>
      </c>
      <c r="H820" s="6">
        <v>5</v>
      </c>
      <c r="I820" s="6">
        <v>4</v>
      </c>
      <c r="J820" s="7" t="b">
        <v>0</v>
      </c>
      <c r="K820" s="6">
        <v>951</v>
      </c>
      <c r="L820" s="6">
        <v>86</v>
      </c>
      <c r="M820" s="7" t="s">
        <v>49</v>
      </c>
      <c r="N820" s="7" t="s">
        <v>28</v>
      </c>
      <c r="O820" s="7" t="s">
        <v>37</v>
      </c>
      <c r="P820" s="6">
        <v>88</v>
      </c>
      <c r="Q820" s="11">
        <v>4.4000000000000004</v>
      </c>
      <c r="R820" s="7" t="b">
        <v>0</v>
      </c>
      <c r="S820" s="7" t="s">
        <v>30</v>
      </c>
      <c r="T820" s="6">
        <v>3815</v>
      </c>
      <c r="U820" s="7" t="s">
        <v>58</v>
      </c>
      <c r="V820" s="12" t="s">
        <v>69</v>
      </c>
      <c r="W820" s="7" t="s">
        <v>40</v>
      </c>
      <c r="X820" s="6">
        <f t="shared" si="51"/>
        <v>304</v>
      </c>
      <c r="Y820" t="str" cm="1">
        <f t="array" ref="Y820">_xlfn.IFS(E820=7.99,"BASIC",E820=11.99,"STANDARD",E820=15.99,"PREMIUM")</f>
        <v>STANDARD</v>
      </c>
      <c r="Z820" s="4">
        <f t="shared" si="49"/>
        <v>3.0625</v>
      </c>
      <c r="AA820" s="3" t="str" cm="1">
        <f t="array" ref="AA820">_xlfn.IFS(
(F820/(X820/7)) &lt; 5, "Casual",
AND((F820/(X820/7)) &gt;= 5, (F820/(X820/7)) &lt; 15), "Regular",
(F820/(X820/7)) &gt;= 15, "Power"
)</f>
        <v>Casual</v>
      </c>
      <c r="AB820" s="3">
        <f t="shared" si="52"/>
        <v>0.12825458052073288</v>
      </c>
      <c r="AC820" t="str">
        <f t="shared" si="50"/>
        <v xml:space="preserve"> Browsers</v>
      </c>
    </row>
    <row r="821" spans="1:30" x14ac:dyDescent="0.3">
      <c r="A821" s="6">
        <v>6944</v>
      </c>
      <c r="B821" s="7" t="s">
        <v>244</v>
      </c>
      <c r="C821" s="10">
        <v>45440</v>
      </c>
      <c r="D821" s="10">
        <v>45626</v>
      </c>
      <c r="E821" s="13">
        <v>15.99</v>
      </c>
      <c r="F821" s="6">
        <v>270</v>
      </c>
      <c r="G821" s="7" t="s">
        <v>73</v>
      </c>
      <c r="H821" s="6">
        <v>3</v>
      </c>
      <c r="I821" s="6">
        <v>6</v>
      </c>
      <c r="J821" s="7" t="b">
        <v>0</v>
      </c>
      <c r="K821" s="6">
        <v>271</v>
      </c>
      <c r="L821" s="6">
        <v>5</v>
      </c>
      <c r="M821" s="7" t="s">
        <v>49</v>
      </c>
      <c r="N821" s="7" t="s">
        <v>56</v>
      </c>
      <c r="O821" s="7" t="s">
        <v>57</v>
      </c>
      <c r="P821" s="6">
        <v>41</v>
      </c>
      <c r="Q821" s="11">
        <v>3.5</v>
      </c>
      <c r="R821" s="7" t="b">
        <v>0</v>
      </c>
      <c r="S821" s="7" t="s">
        <v>30</v>
      </c>
      <c r="T821" s="6">
        <v>1135</v>
      </c>
      <c r="U821" s="7" t="s">
        <v>65</v>
      </c>
      <c r="V821" s="12" t="s">
        <v>59</v>
      </c>
      <c r="W821" s="7" t="s">
        <v>33</v>
      </c>
      <c r="X821" s="6">
        <f t="shared" si="51"/>
        <v>186</v>
      </c>
      <c r="Y821" t="str" cm="1">
        <f t="array" ref="Y821">_xlfn.IFS(E821=7.99,"BASIC",E821=11.99,"STANDARD",E821=15.99,"PREMIUM")</f>
        <v>PREMIUM</v>
      </c>
      <c r="Z821" s="4">
        <f t="shared" si="49"/>
        <v>10.161290322580644</v>
      </c>
      <c r="AA821" s="3" t="str" cm="1">
        <f t="array" ref="AA821">_xlfn.IFS(
(F821/(X821/7)) &lt; 5, "Casual",
AND((F821/(X821/7)) &gt;= 5, (F821/(X821/7)) &lt; 15), "Regular",
(F821/(X821/7)) &gt;= 15, "Power"
)</f>
        <v>Regular</v>
      </c>
      <c r="AB821" s="3">
        <f t="shared" si="52"/>
        <v>0.97826086956521741</v>
      </c>
      <c r="AC821" t="str">
        <f t="shared" si="50"/>
        <v>Viewers</v>
      </c>
    </row>
    <row r="822" spans="1:30" x14ac:dyDescent="0.3">
      <c r="A822" s="6">
        <v>3639</v>
      </c>
      <c r="B822" s="7" t="s">
        <v>682</v>
      </c>
      <c r="C822" s="10">
        <v>45128</v>
      </c>
      <c r="D822" s="10">
        <v>45618</v>
      </c>
      <c r="E822" s="13">
        <v>11.99</v>
      </c>
      <c r="F822" s="6">
        <v>85</v>
      </c>
      <c r="G822" s="7" t="s">
        <v>63</v>
      </c>
      <c r="H822" s="6">
        <v>3</v>
      </c>
      <c r="I822" s="6">
        <v>1</v>
      </c>
      <c r="J822" s="7" t="b">
        <v>1</v>
      </c>
      <c r="K822" s="6">
        <v>851</v>
      </c>
      <c r="L822" s="6">
        <v>48</v>
      </c>
      <c r="M822" s="7" t="s">
        <v>27</v>
      </c>
      <c r="N822" s="7" t="s">
        <v>75</v>
      </c>
      <c r="O822" s="7" t="s">
        <v>78</v>
      </c>
      <c r="P822" s="6">
        <v>45</v>
      </c>
      <c r="Q822" s="11">
        <v>4.5999999999999996</v>
      </c>
      <c r="R822" s="7" t="b">
        <v>0</v>
      </c>
      <c r="S822" s="7" t="s">
        <v>30</v>
      </c>
      <c r="T822" s="6">
        <v>2706</v>
      </c>
      <c r="U822" s="7" t="s">
        <v>76</v>
      </c>
      <c r="V822" s="12" t="s">
        <v>32</v>
      </c>
      <c r="W822" s="7" t="s">
        <v>40</v>
      </c>
      <c r="X822" s="6">
        <f t="shared" si="51"/>
        <v>490</v>
      </c>
      <c r="Y822" t="str" cm="1">
        <f t="array" ref="Y822">_xlfn.IFS(E822=7.99,"BASIC",E822=11.99,"STANDARD",E822=15.99,"PREMIUM")</f>
        <v>STANDARD</v>
      </c>
      <c r="Z822" s="4">
        <f t="shared" si="49"/>
        <v>1.2142857142857142</v>
      </c>
      <c r="AA822" s="3" t="str" cm="1">
        <f t="array" ref="AA822">_xlfn.IFS(
(F822/(X822/7)) &lt; 5, "Casual",
AND((F822/(X822/7)) &gt;= 5, (F822/(X822/7)) &lt; 15), "Regular",
(F822/(X822/7)) &gt;= 15, "Power"
)</f>
        <v>Casual</v>
      </c>
      <c r="AB822" s="3">
        <f t="shared" si="52"/>
        <v>9.4549499443826471E-2</v>
      </c>
      <c r="AC822" t="str">
        <f t="shared" si="50"/>
        <v xml:space="preserve"> Browsers</v>
      </c>
    </row>
    <row r="823" spans="1:30" x14ac:dyDescent="0.3">
      <c r="A823" s="6">
        <v>8416</v>
      </c>
      <c r="B823" s="7" t="s">
        <v>404</v>
      </c>
      <c r="C823" s="10">
        <v>45044</v>
      </c>
      <c r="D823" s="10">
        <v>45625</v>
      </c>
      <c r="E823" s="13">
        <v>11.99</v>
      </c>
      <c r="F823" s="6">
        <v>65</v>
      </c>
      <c r="G823" s="7" t="s">
        <v>36</v>
      </c>
      <c r="H823" s="6">
        <v>2</v>
      </c>
      <c r="I823" s="6">
        <v>3</v>
      </c>
      <c r="J823" s="7" t="b">
        <v>1</v>
      </c>
      <c r="K823" s="6">
        <v>302</v>
      </c>
      <c r="L823" s="6">
        <v>6</v>
      </c>
      <c r="M823" s="7" t="s">
        <v>49</v>
      </c>
      <c r="N823" s="7" t="s">
        <v>28</v>
      </c>
      <c r="O823" s="7" t="s">
        <v>29</v>
      </c>
      <c r="P823" s="6">
        <v>81</v>
      </c>
      <c r="Q823" s="11">
        <v>3.5</v>
      </c>
      <c r="R823" s="7" t="b">
        <v>1</v>
      </c>
      <c r="S823" s="7" t="s">
        <v>30</v>
      </c>
      <c r="T823" s="6">
        <v>3828</v>
      </c>
      <c r="U823" s="7" t="s">
        <v>76</v>
      </c>
      <c r="V823" s="12" t="s">
        <v>59</v>
      </c>
      <c r="W823" s="7" t="s">
        <v>40</v>
      </c>
      <c r="X823" s="6">
        <f t="shared" si="51"/>
        <v>581</v>
      </c>
      <c r="Y823" t="str" cm="1">
        <f t="array" ref="Y823">_xlfn.IFS(E823=7.99,"BASIC",E823=11.99,"STANDARD",E823=15.99,"PREMIUM")</f>
        <v>STANDARD</v>
      </c>
      <c r="Z823" s="4">
        <f t="shared" si="49"/>
        <v>0.7831325301204819</v>
      </c>
      <c r="AA823" s="3" t="str" cm="1">
        <f t="array" ref="AA823">_xlfn.IFS(
(F823/(X823/7)) &lt; 5, "Casual",
AND((F823/(X823/7)) &gt;= 5, (F823/(X823/7)) &lt; 15), "Regular",
(F823/(X823/7)) &gt;= 15, "Power"
)</f>
        <v>Casual</v>
      </c>
      <c r="AB823" s="3">
        <f t="shared" si="52"/>
        <v>0.21103896103896103</v>
      </c>
      <c r="AC823" t="str">
        <f t="shared" si="50"/>
        <v>Viewers</v>
      </c>
    </row>
    <row r="824" spans="1:30" x14ac:dyDescent="0.3">
      <c r="A824" s="6">
        <v>7753</v>
      </c>
      <c r="B824" s="7" t="s">
        <v>179</v>
      </c>
      <c r="C824" s="10">
        <v>45635</v>
      </c>
      <c r="D824" s="10">
        <v>45639</v>
      </c>
      <c r="E824" s="13">
        <v>7.99</v>
      </c>
      <c r="F824" s="6">
        <v>393</v>
      </c>
      <c r="G824" s="7" t="s">
        <v>36</v>
      </c>
      <c r="H824" s="6">
        <v>3</v>
      </c>
      <c r="I824" s="6">
        <v>3</v>
      </c>
      <c r="J824" s="7" t="b">
        <v>0</v>
      </c>
      <c r="K824" s="6">
        <v>829</v>
      </c>
      <c r="L824" s="6">
        <v>117</v>
      </c>
      <c r="M824" s="7" t="s">
        <v>27</v>
      </c>
      <c r="N824" s="7" t="s">
        <v>56</v>
      </c>
      <c r="O824" s="7" t="s">
        <v>29</v>
      </c>
      <c r="P824" s="6">
        <v>65</v>
      </c>
      <c r="Q824" s="11">
        <v>4.9000000000000004</v>
      </c>
      <c r="R824" s="7" t="b">
        <v>1</v>
      </c>
      <c r="S824" s="7" t="s">
        <v>30</v>
      </c>
      <c r="T824" s="6">
        <v>4409</v>
      </c>
      <c r="U824" s="7" t="s">
        <v>58</v>
      </c>
      <c r="V824" s="12" t="s">
        <v>32</v>
      </c>
      <c r="W824" s="7" t="s">
        <v>93</v>
      </c>
      <c r="X824" s="6">
        <f t="shared" si="51"/>
        <v>4</v>
      </c>
      <c r="Y824" t="str" cm="1">
        <f t="array" ref="Y824">_xlfn.IFS(E824=7.99,"BASIC",E824=11.99,"STANDARD",E824=15.99,"PREMIUM")</f>
        <v>BASIC</v>
      </c>
      <c r="Z824" s="4">
        <f t="shared" si="49"/>
        <v>687.75</v>
      </c>
      <c r="AA824" s="3" t="str" cm="1">
        <f t="array" ref="AA824">_xlfn.IFS(
(F824/(X824/7)) &lt; 5, "Casual",
AND((F824/(X824/7)) &gt;= 5, (F824/(X824/7)) &lt; 15), "Regular",
(F824/(X824/7)) &gt;= 15, "Power"
)</f>
        <v>Power</v>
      </c>
      <c r="AB824" s="3">
        <f t="shared" si="52"/>
        <v>0.41543340380549681</v>
      </c>
      <c r="AC824" t="str">
        <f t="shared" si="50"/>
        <v>Viewers</v>
      </c>
    </row>
    <row r="825" spans="1:30" x14ac:dyDescent="0.3">
      <c r="A825" s="6">
        <v>9528</v>
      </c>
      <c r="B825" s="7" t="s">
        <v>684</v>
      </c>
      <c r="C825" s="10">
        <v>44973</v>
      </c>
      <c r="D825" s="10">
        <v>45638</v>
      </c>
      <c r="E825" s="13">
        <v>11.99</v>
      </c>
      <c r="F825" s="6">
        <v>181</v>
      </c>
      <c r="G825" s="7" t="s">
        <v>26</v>
      </c>
      <c r="H825" s="6">
        <v>5</v>
      </c>
      <c r="I825" s="6">
        <v>5</v>
      </c>
      <c r="J825" s="7" t="b">
        <v>0</v>
      </c>
      <c r="K825" s="6">
        <v>860</v>
      </c>
      <c r="L825" s="6">
        <v>148</v>
      </c>
      <c r="M825" s="7" t="s">
        <v>27</v>
      </c>
      <c r="N825" s="7" t="s">
        <v>44</v>
      </c>
      <c r="O825" s="7" t="s">
        <v>45</v>
      </c>
      <c r="P825" s="6">
        <v>3</v>
      </c>
      <c r="Q825" s="11">
        <v>4.3</v>
      </c>
      <c r="R825" s="7" t="b">
        <v>1</v>
      </c>
      <c r="S825" s="7" t="s">
        <v>30</v>
      </c>
      <c r="T825" s="6">
        <v>433</v>
      </c>
      <c r="U825" s="7" t="s">
        <v>76</v>
      </c>
      <c r="V825" s="12" t="s">
        <v>59</v>
      </c>
      <c r="W825" s="7" t="s">
        <v>93</v>
      </c>
      <c r="X825" s="6">
        <f t="shared" si="51"/>
        <v>665</v>
      </c>
      <c r="Y825" t="str" cm="1">
        <f t="array" ref="Y825">_xlfn.IFS(E825=7.99,"BASIC",E825=11.99,"STANDARD",E825=15.99,"PREMIUM")</f>
        <v>STANDARD</v>
      </c>
      <c r="Z825" s="4">
        <f t="shared" si="49"/>
        <v>1.9052631578947368</v>
      </c>
      <c r="AA825" s="3" t="str" cm="1">
        <f t="array" ref="AA825">_xlfn.IFS(
(F825/(X825/7)) &lt; 5, "Casual",
AND((F825/(X825/7)) &gt;= 5, (F825/(X825/7)) &lt; 15), "Regular",
(F825/(X825/7)) &gt;= 15, "Power"
)</f>
        <v>Casual</v>
      </c>
      <c r="AB825" s="3">
        <f t="shared" si="52"/>
        <v>0.17956349206349206</v>
      </c>
      <c r="AC825" t="str">
        <f t="shared" si="50"/>
        <v>Viewers</v>
      </c>
    </row>
    <row r="826" spans="1:30" x14ac:dyDescent="0.3">
      <c r="A826" s="6">
        <v>2960</v>
      </c>
      <c r="B826" s="7" t="s">
        <v>153</v>
      </c>
      <c r="C826" s="10">
        <v>45263</v>
      </c>
      <c r="D826" s="10">
        <v>45635</v>
      </c>
      <c r="E826" s="13">
        <v>11.99</v>
      </c>
      <c r="F826" s="6">
        <v>416</v>
      </c>
      <c r="G826" s="7" t="s">
        <v>48</v>
      </c>
      <c r="H826" s="6">
        <v>5</v>
      </c>
      <c r="I826" s="6">
        <v>4</v>
      </c>
      <c r="J826" s="7" t="b">
        <v>1</v>
      </c>
      <c r="K826" s="6">
        <v>964</v>
      </c>
      <c r="L826" s="6">
        <v>187</v>
      </c>
      <c r="M826" s="7" t="s">
        <v>27</v>
      </c>
      <c r="N826" s="7" t="s">
        <v>75</v>
      </c>
      <c r="O826" s="7" t="s">
        <v>78</v>
      </c>
      <c r="P826" s="6">
        <v>6</v>
      </c>
      <c r="Q826" s="11">
        <v>3.2</v>
      </c>
      <c r="R826" s="7" t="b">
        <v>0</v>
      </c>
      <c r="S826" s="7" t="s">
        <v>30</v>
      </c>
      <c r="T826" s="6">
        <v>2554</v>
      </c>
      <c r="U826" s="7" t="s">
        <v>58</v>
      </c>
      <c r="V826" s="12" t="s">
        <v>32</v>
      </c>
      <c r="W826" s="7" t="s">
        <v>33</v>
      </c>
      <c r="X826" s="6">
        <f t="shared" si="51"/>
        <v>372</v>
      </c>
      <c r="Y826" t="str" cm="1">
        <f t="array" ref="Y826">_xlfn.IFS(E826=7.99,"BASIC",E826=11.99,"STANDARD",E826=15.99,"PREMIUM")</f>
        <v>STANDARD</v>
      </c>
      <c r="Z826" s="4">
        <f t="shared" si="49"/>
        <v>7.8279569892473111</v>
      </c>
      <c r="AA826" s="3" t="str" cm="1">
        <f t="array" ref="AA826">_xlfn.IFS(
(F826/(X826/7)) &lt; 5, "Casual",
AND((F826/(X826/7)) &gt;= 5, (F826/(X826/7)) &lt; 15), "Regular",
(F826/(X826/7)) &gt;= 15, "Power"
)</f>
        <v>Regular</v>
      </c>
      <c r="AB826" s="3">
        <f t="shared" si="52"/>
        <v>0.36142484795829716</v>
      </c>
      <c r="AC826" t="str">
        <f t="shared" si="50"/>
        <v>Viewers</v>
      </c>
    </row>
    <row r="827" spans="1:30" x14ac:dyDescent="0.3">
      <c r="A827" s="6">
        <v>1090</v>
      </c>
      <c r="B827" s="7" t="s">
        <v>628</v>
      </c>
      <c r="C827" s="10">
        <v>45429</v>
      </c>
      <c r="D827" s="10">
        <v>45625</v>
      </c>
      <c r="E827" s="13">
        <v>15.99</v>
      </c>
      <c r="F827" s="6">
        <v>243</v>
      </c>
      <c r="G827" s="7" t="s">
        <v>48</v>
      </c>
      <c r="H827" s="6">
        <v>3</v>
      </c>
      <c r="I827" s="6">
        <v>2</v>
      </c>
      <c r="J827" s="7" t="b">
        <v>0</v>
      </c>
      <c r="K827" s="6">
        <v>40</v>
      </c>
      <c r="L827" s="6">
        <v>52</v>
      </c>
      <c r="M827" s="7" t="s">
        <v>43</v>
      </c>
      <c r="N827" s="7" t="s">
        <v>75</v>
      </c>
      <c r="O827" s="7" t="s">
        <v>64</v>
      </c>
      <c r="P827" s="6">
        <v>4</v>
      </c>
      <c r="Q827" s="11">
        <v>4</v>
      </c>
      <c r="R827" s="7" t="b">
        <v>1</v>
      </c>
      <c r="S827" s="7" t="s">
        <v>30</v>
      </c>
      <c r="T827" s="6">
        <v>1348</v>
      </c>
      <c r="U827" s="7" t="s">
        <v>38</v>
      </c>
      <c r="V827" s="12" t="s">
        <v>39</v>
      </c>
      <c r="W827" s="7" t="s">
        <v>60</v>
      </c>
      <c r="X827" s="6">
        <f t="shared" si="51"/>
        <v>196</v>
      </c>
      <c r="Y827" t="str" cm="1">
        <f t="array" ref="Y827">_xlfn.IFS(E827=7.99,"BASIC",E827=11.99,"STANDARD",E827=15.99,"PREMIUM")</f>
        <v>PREMIUM</v>
      </c>
      <c r="Z827" s="4">
        <f t="shared" si="49"/>
        <v>8.6785714285714288</v>
      </c>
      <c r="AA827" s="3" t="str" cm="1">
        <f t="array" ref="AA827">_xlfn.IFS(
(F827/(X827/7)) &lt; 5, "Casual",
AND((F827/(X827/7)) &gt;= 5, (F827/(X827/7)) &lt; 15), "Regular",
(F827/(X827/7)) &gt;= 15, "Power"
)</f>
        <v>Regular</v>
      </c>
      <c r="AB827" s="3">
        <f t="shared" si="52"/>
        <v>2.6413043478260869</v>
      </c>
      <c r="AC827" t="str">
        <f t="shared" si="50"/>
        <v>Viewers</v>
      </c>
    </row>
    <row r="828" spans="1:30" x14ac:dyDescent="0.3">
      <c r="A828" s="6">
        <v>2410</v>
      </c>
      <c r="B828" s="7" t="s">
        <v>88</v>
      </c>
      <c r="C828" s="10">
        <f>_xlfn.XLOOKUP(A828,'Data Anomalies -Pls Read It'!A:A,'Data Anomalies -Pls Read It'!D:D,1,0)</f>
        <v>45634</v>
      </c>
      <c r="D828" s="10">
        <f>_xlfn.XLOOKUP(A828,'Data Anomalies -Pls Read It'!A:A,'Data Anomalies -Pls Read It'!C:C,1,0)</f>
        <v>45637</v>
      </c>
      <c r="E828" s="13">
        <v>11.99</v>
      </c>
      <c r="F828" s="6">
        <v>381</v>
      </c>
      <c r="G828" s="7" t="s">
        <v>100</v>
      </c>
      <c r="H828" s="6">
        <v>2</v>
      </c>
      <c r="I828" s="6">
        <v>3</v>
      </c>
      <c r="J828" s="7" t="b">
        <v>1</v>
      </c>
      <c r="K828" s="6">
        <v>568</v>
      </c>
      <c r="L828" s="6">
        <v>62</v>
      </c>
      <c r="M828" s="7" t="s">
        <v>74</v>
      </c>
      <c r="N828" s="7" t="s">
        <v>44</v>
      </c>
      <c r="O828" s="7" t="s">
        <v>45</v>
      </c>
      <c r="P828" s="6">
        <v>50</v>
      </c>
      <c r="Q828" s="11">
        <v>4.8</v>
      </c>
      <c r="R828" s="7" t="b">
        <v>0</v>
      </c>
      <c r="S828" s="7" t="s">
        <v>30</v>
      </c>
      <c r="T828" s="6">
        <v>1375</v>
      </c>
      <c r="U828" s="7" t="s">
        <v>65</v>
      </c>
      <c r="V828" s="12" t="s">
        <v>39</v>
      </c>
      <c r="W828" s="7" t="s">
        <v>33</v>
      </c>
      <c r="X828" s="6">
        <f t="shared" si="51"/>
        <v>3</v>
      </c>
      <c r="Y828" t="str" cm="1">
        <f t="array" ref="Y828">_xlfn.IFS(E828=7.99,"BASIC",E828=11.99,"STANDARD",E828=15.99,"PREMIUM")</f>
        <v>STANDARD</v>
      </c>
      <c r="Z828" s="4">
        <f t="shared" si="49"/>
        <v>889</v>
      </c>
      <c r="AA828" s="3" t="str" cm="1">
        <f t="array" ref="AA828">_xlfn.IFS(
(F828/(X828/7)) &lt; 5, "Casual",
AND((F828/(X828/7)) &gt;= 5, (F828/(X828/7)) &lt; 15), "Regular",
(F828/(X828/7)) &gt;= 15, "Power"
)</f>
        <v>Power</v>
      </c>
      <c r="AB828" s="3">
        <f t="shared" si="52"/>
        <v>0.60476190476190472</v>
      </c>
      <c r="AC828" t="str">
        <f t="shared" si="50"/>
        <v>Viewers</v>
      </c>
      <c r="AD828" t="s">
        <v>779</v>
      </c>
    </row>
    <row r="829" spans="1:30" x14ac:dyDescent="0.3">
      <c r="A829" s="6">
        <v>1575</v>
      </c>
      <c r="B829" s="7" t="s">
        <v>153</v>
      </c>
      <c r="C829" s="10">
        <v>45203</v>
      </c>
      <c r="D829" s="10">
        <v>45637</v>
      </c>
      <c r="E829" s="13">
        <v>11.99</v>
      </c>
      <c r="F829" s="6">
        <v>71</v>
      </c>
      <c r="G829" s="7" t="s">
        <v>73</v>
      </c>
      <c r="H829" s="6">
        <v>5</v>
      </c>
      <c r="I829" s="6">
        <v>4</v>
      </c>
      <c r="J829" s="7" t="b">
        <v>1</v>
      </c>
      <c r="K829" s="6">
        <v>666</v>
      </c>
      <c r="L829" s="6">
        <v>100</v>
      </c>
      <c r="M829" s="7" t="s">
        <v>68</v>
      </c>
      <c r="N829" s="7" t="s">
        <v>56</v>
      </c>
      <c r="O829" s="7" t="s">
        <v>45</v>
      </c>
      <c r="P829" s="6">
        <v>97</v>
      </c>
      <c r="Q829" s="11">
        <v>3.1</v>
      </c>
      <c r="R829" s="7" t="b">
        <v>0</v>
      </c>
      <c r="S829" s="7" t="s">
        <v>30</v>
      </c>
      <c r="T829" s="6">
        <v>3630</v>
      </c>
      <c r="U829" s="7" t="s">
        <v>38</v>
      </c>
      <c r="V829" s="12" t="s">
        <v>69</v>
      </c>
      <c r="W829" s="7" t="s">
        <v>33</v>
      </c>
      <c r="X829" s="6">
        <f t="shared" si="51"/>
        <v>434</v>
      </c>
      <c r="Y829" t="str" cm="1">
        <f t="array" ref="Y829">_xlfn.IFS(E829=7.99,"BASIC",E829=11.99,"STANDARD",E829=15.99,"PREMIUM")</f>
        <v>STANDARD</v>
      </c>
      <c r="Z829" s="4">
        <f t="shared" si="49"/>
        <v>1.1451612903225807</v>
      </c>
      <c r="AA829" s="3" t="str" cm="1">
        <f t="array" ref="AA829">_xlfn.IFS(
(F829/(X829/7)) &lt; 5, "Casual",
AND((F829/(X829/7)) &gt;= 5, (F829/(X829/7)) &lt; 15), "Regular",
(F829/(X829/7)) &gt;= 15, "Power"
)</f>
        <v>Casual</v>
      </c>
      <c r="AB829" s="3">
        <f t="shared" si="52"/>
        <v>9.2689295039164496E-2</v>
      </c>
      <c r="AC829" t="str">
        <f t="shared" si="50"/>
        <v xml:space="preserve"> Browsers</v>
      </c>
    </row>
    <row r="830" spans="1:30" x14ac:dyDescent="0.3">
      <c r="A830" s="6">
        <v>9259</v>
      </c>
      <c r="B830" s="7" t="s">
        <v>241</v>
      </c>
      <c r="C830" s="10">
        <v>45518</v>
      </c>
      <c r="D830" s="10">
        <v>45633</v>
      </c>
      <c r="E830" s="13">
        <v>11.99</v>
      </c>
      <c r="F830" s="6">
        <v>219</v>
      </c>
      <c r="G830" s="7" t="s">
        <v>63</v>
      </c>
      <c r="H830" s="6">
        <v>4</v>
      </c>
      <c r="I830" s="6">
        <v>1</v>
      </c>
      <c r="J830" s="7" t="b">
        <v>1</v>
      </c>
      <c r="K830" s="6">
        <v>318</v>
      </c>
      <c r="L830" s="6">
        <v>37</v>
      </c>
      <c r="M830" s="7" t="s">
        <v>92</v>
      </c>
      <c r="N830" s="7" t="s">
        <v>75</v>
      </c>
      <c r="O830" s="7" t="s">
        <v>57</v>
      </c>
      <c r="P830" s="6">
        <v>69</v>
      </c>
      <c r="Q830" s="11">
        <v>3.9</v>
      </c>
      <c r="R830" s="7" t="b">
        <v>1</v>
      </c>
      <c r="S830" s="7" t="s">
        <v>30</v>
      </c>
      <c r="T830" s="6">
        <v>1457</v>
      </c>
      <c r="U830" s="7" t="s">
        <v>65</v>
      </c>
      <c r="V830" s="12" t="s">
        <v>69</v>
      </c>
      <c r="W830" s="7" t="s">
        <v>33</v>
      </c>
      <c r="X830" s="6">
        <f t="shared" si="51"/>
        <v>115</v>
      </c>
      <c r="Y830" t="str" cm="1">
        <f t="array" ref="Y830">_xlfn.IFS(E830=7.99,"BASIC",E830=11.99,"STANDARD",E830=15.99,"PREMIUM")</f>
        <v>STANDARD</v>
      </c>
      <c r="Z830" s="4">
        <f t="shared" si="49"/>
        <v>13.330434782608696</v>
      </c>
      <c r="AA830" s="3" t="str" cm="1">
        <f t="array" ref="AA830">_xlfn.IFS(
(F830/(X830/7)) &lt; 5, "Casual",
AND((F830/(X830/7)) &gt;= 5, (F830/(X830/7)) &lt; 15), "Regular",
(F830/(X830/7)) &gt;= 15, "Power"
)</f>
        <v>Regular</v>
      </c>
      <c r="AB830" s="3">
        <f t="shared" si="52"/>
        <v>0.61690140845070418</v>
      </c>
      <c r="AC830" t="str">
        <f t="shared" si="50"/>
        <v>Viewers</v>
      </c>
    </row>
    <row r="831" spans="1:30" x14ac:dyDescent="0.3">
      <c r="A831" s="6">
        <v>2170</v>
      </c>
      <c r="B831" s="7" t="s">
        <v>148</v>
      </c>
      <c r="C831" s="10">
        <v>45237</v>
      </c>
      <c r="D831" s="10">
        <v>45641</v>
      </c>
      <c r="E831" s="13">
        <v>15.99</v>
      </c>
      <c r="F831" s="6">
        <v>335</v>
      </c>
      <c r="G831" s="7" t="s">
        <v>26</v>
      </c>
      <c r="H831" s="6">
        <v>2</v>
      </c>
      <c r="I831" s="6">
        <v>4</v>
      </c>
      <c r="J831" s="7" t="b">
        <v>0</v>
      </c>
      <c r="K831" s="6">
        <v>609</v>
      </c>
      <c r="L831" s="6">
        <v>181</v>
      </c>
      <c r="M831" s="7" t="s">
        <v>43</v>
      </c>
      <c r="N831" s="7" t="s">
        <v>28</v>
      </c>
      <c r="O831" s="7" t="s">
        <v>29</v>
      </c>
      <c r="P831" s="6">
        <v>81</v>
      </c>
      <c r="Q831" s="11">
        <v>4.7</v>
      </c>
      <c r="R831" s="7" t="b">
        <v>1</v>
      </c>
      <c r="S831" s="7" t="s">
        <v>30</v>
      </c>
      <c r="T831" s="6">
        <v>3332</v>
      </c>
      <c r="U831" s="7" t="s">
        <v>65</v>
      </c>
      <c r="V831" s="12" t="s">
        <v>59</v>
      </c>
      <c r="W831" s="7" t="s">
        <v>33</v>
      </c>
      <c r="X831" s="6">
        <f t="shared" si="51"/>
        <v>404</v>
      </c>
      <c r="Y831" t="str" cm="1">
        <f t="array" ref="Y831">_xlfn.IFS(E831=7.99,"BASIC",E831=11.99,"STANDARD",E831=15.99,"PREMIUM")</f>
        <v>PREMIUM</v>
      </c>
      <c r="Z831" s="4">
        <f t="shared" si="49"/>
        <v>5.8044554455445541</v>
      </c>
      <c r="AA831" s="3" t="str" cm="1">
        <f t="array" ref="AA831">_xlfn.IFS(
(F831/(X831/7)) &lt; 5, "Casual",
AND((F831/(X831/7)) &gt;= 5, (F831/(X831/7)) &lt; 15), "Regular",
(F831/(X831/7)) &gt;= 15, "Power"
)</f>
        <v>Regular</v>
      </c>
      <c r="AB831" s="3">
        <f t="shared" si="52"/>
        <v>0.42405063291139239</v>
      </c>
      <c r="AC831" t="str">
        <f t="shared" si="50"/>
        <v>Viewers</v>
      </c>
    </row>
    <row r="832" spans="1:30" x14ac:dyDescent="0.3">
      <c r="A832" s="6">
        <v>2237</v>
      </c>
      <c r="B832" s="7" t="s">
        <v>248</v>
      </c>
      <c r="C832" s="10">
        <v>45085</v>
      </c>
      <c r="D832" s="10">
        <v>45644</v>
      </c>
      <c r="E832" s="13">
        <v>7.99</v>
      </c>
      <c r="F832" s="6">
        <v>435</v>
      </c>
      <c r="G832" s="7" t="s">
        <v>73</v>
      </c>
      <c r="H832" s="6">
        <v>2</v>
      </c>
      <c r="I832" s="6">
        <v>1</v>
      </c>
      <c r="J832" s="7" t="b">
        <v>0</v>
      </c>
      <c r="K832" s="6">
        <v>163</v>
      </c>
      <c r="L832" s="6">
        <v>69</v>
      </c>
      <c r="M832" s="7" t="s">
        <v>55</v>
      </c>
      <c r="N832" s="7" t="s">
        <v>28</v>
      </c>
      <c r="O832" s="7" t="s">
        <v>37</v>
      </c>
      <c r="P832" s="6">
        <v>24</v>
      </c>
      <c r="Q832" s="11">
        <v>4.8</v>
      </c>
      <c r="R832" s="7" t="b">
        <v>1</v>
      </c>
      <c r="S832" s="7" t="s">
        <v>30</v>
      </c>
      <c r="T832" s="6">
        <v>3815</v>
      </c>
      <c r="U832" s="7" t="s">
        <v>65</v>
      </c>
      <c r="V832" s="12" t="s">
        <v>32</v>
      </c>
      <c r="W832" s="7" t="s">
        <v>93</v>
      </c>
      <c r="X832" s="6">
        <f t="shared" si="51"/>
        <v>559</v>
      </c>
      <c r="Y832" t="str" cm="1">
        <f t="array" ref="Y832">_xlfn.IFS(E832=7.99,"BASIC",E832=11.99,"STANDARD",E832=15.99,"PREMIUM")</f>
        <v>BASIC</v>
      </c>
      <c r="Z832" s="4">
        <f t="shared" si="49"/>
        <v>5.447227191413238</v>
      </c>
      <c r="AA832" s="3" t="str" cm="1">
        <f t="array" ref="AA832">_xlfn.IFS(
(F832/(X832/7)) &lt; 5, "Casual",
AND((F832/(X832/7)) &gt;= 5, (F832/(X832/7)) &lt; 15), "Regular",
(F832/(X832/7)) &gt;= 15, "Power"
)</f>
        <v>Regular</v>
      </c>
      <c r="AB832" s="3">
        <f t="shared" si="52"/>
        <v>1.875</v>
      </c>
      <c r="AC832" t="str">
        <f t="shared" si="50"/>
        <v>Viewers</v>
      </c>
    </row>
    <row r="833" spans="1:29" x14ac:dyDescent="0.3">
      <c r="A833" s="6">
        <v>2697</v>
      </c>
      <c r="B833" s="7" t="s">
        <v>174</v>
      </c>
      <c r="C833" s="10">
        <v>45422</v>
      </c>
      <c r="D833" s="10">
        <v>45635</v>
      </c>
      <c r="E833" s="13">
        <v>15.99</v>
      </c>
      <c r="F833" s="6">
        <v>423</v>
      </c>
      <c r="G833" s="7" t="s">
        <v>36</v>
      </c>
      <c r="H833" s="6">
        <v>4</v>
      </c>
      <c r="I833" s="6">
        <v>3</v>
      </c>
      <c r="J833" s="7" t="b">
        <v>0</v>
      </c>
      <c r="K833" s="6">
        <v>648</v>
      </c>
      <c r="L833" s="6">
        <v>46</v>
      </c>
      <c r="M833" s="7" t="s">
        <v>27</v>
      </c>
      <c r="N833" s="7" t="s">
        <v>44</v>
      </c>
      <c r="O833" s="7" t="s">
        <v>57</v>
      </c>
      <c r="P833" s="6">
        <v>0</v>
      </c>
      <c r="Q833" s="11">
        <v>4.5</v>
      </c>
      <c r="R833" s="7" t="b">
        <v>0</v>
      </c>
      <c r="S833" s="7" t="s">
        <v>30</v>
      </c>
      <c r="T833" s="6">
        <v>3859</v>
      </c>
      <c r="U833" s="7" t="s">
        <v>31</v>
      </c>
      <c r="V833" s="12" t="s">
        <v>79</v>
      </c>
      <c r="W833" s="7" t="s">
        <v>33</v>
      </c>
      <c r="X833" s="6">
        <f t="shared" si="51"/>
        <v>213</v>
      </c>
      <c r="Y833" t="str" cm="1">
        <f t="array" ref="Y833">_xlfn.IFS(E833=7.99,"BASIC",E833=11.99,"STANDARD",E833=15.99,"PREMIUM")</f>
        <v>PREMIUM</v>
      </c>
      <c r="Z833" s="4">
        <f t="shared" si="49"/>
        <v>13.901408450704226</v>
      </c>
      <c r="AA833" s="3" t="str" cm="1">
        <f t="array" ref="AA833">_xlfn.IFS(
(F833/(X833/7)) &lt; 5, "Casual",
AND((F833/(X833/7)) &gt;= 5, (F833/(X833/7)) &lt; 15), "Regular",
(F833/(X833/7)) &gt;= 15, "Power"
)</f>
        <v>Regular</v>
      </c>
      <c r="AB833" s="3">
        <f t="shared" si="52"/>
        <v>0.60951008645533145</v>
      </c>
      <c r="AC833" t="str">
        <f t="shared" si="50"/>
        <v>Viewers</v>
      </c>
    </row>
    <row r="834" spans="1:29" x14ac:dyDescent="0.3">
      <c r="A834" s="6">
        <v>4488</v>
      </c>
      <c r="B834" s="7" t="s">
        <v>281</v>
      </c>
      <c r="C834" s="10">
        <v>45074</v>
      </c>
      <c r="D834" s="10">
        <v>45631</v>
      </c>
      <c r="E834" s="13">
        <v>7.99</v>
      </c>
      <c r="F834" s="6">
        <v>304</v>
      </c>
      <c r="G834" s="7" t="s">
        <v>100</v>
      </c>
      <c r="H834" s="6">
        <v>1</v>
      </c>
      <c r="I834" s="6">
        <v>3</v>
      </c>
      <c r="J834" s="7" t="b">
        <v>0</v>
      </c>
      <c r="K834" s="6">
        <v>975</v>
      </c>
      <c r="L834" s="6">
        <v>10</v>
      </c>
      <c r="M834" s="7" t="s">
        <v>43</v>
      </c>
      <c r="N834" s="7" t="s">
        <v>28</v>
      </c>
      <c r="O834" s="7" t="s">
        <v>64</v>
      </c>
      <c r="P834" s="6">
        <v>48</v>
      </c>
      <c r="Q834" s="11">
        <v>3.2</v>
      </c>
      <c r="R834" s="7" t="b">
        <v>0</v>
      </c>
      <c r="S834" s="7" t="s">
        <v>30</v>
      </c>
      <c r="T834" s="6">
        <v>3923</v>
      </c>
      <c r="U834" s="7" t="s">
        <v>58</v>
      </c>
      <c r="V834" s="12" t="s">
        <v>39</v>
      </c>
      <c r="W834" s="7" t="s">
        <v>33</v>
      </c>
      <c r="X834" s="6">
        <f t="shared" si="51"/>
        <v>557</v>
      </c>
      <c r="Y834" t="str" cm="1">
        <f t="array" ref="Y834">_xlfn.IFS(E834=7.99,"BASIC",E834=11.99,"STANDARD",E834=15.99,"PREMIUM")</f>
        <v>BASIC</v>
      </c>
      <c r="Z834" s="4">
        <f t="shared" ref="Z834:Z897" si="53">F834/(X834/7)</f>
        <v>3.820466786355476</v>
      </c>
      <c r="AA834" s="3" t="str" cm="1">
        <f t="array" ref="AA834">_xlfn.IFS(
(F834/(X834/7)) &lt; 5, "Casual",
AND((F834/(X834/7)) &gt;= 5, (F834/(X834/7)) &lt; 15), "Regular",
(F834/(X834/7)) &gt;= 15, "Power"
)</f>
        <v>Casual</v>
      </c>
      <c r="AB834" s="3">
        <f t="shared" si="52"/>
        <v>0.30862944162436551</v>
      </c>
      <c r="AC834" t="str">
        <f t="shared" ref="AC834:AC897" si="54">IF(F834/(K834+L834) &lt; 0.15," Browsers","Viewers")</f>
        <v>Viewers</v>
      </c>
    </row>
    <row r="835" spans="1:29" x14ac:dyDescent="0.3">
      <c r="A835" s="6">
        <v>5291</v>
      </c>
      <c r="B835" s="7" t="s">
        <v>686</v>
      </c>
      <c r="C835" s="10">
        <v>45346</v>
      </c>
      <c r="D835" s="10">
        <v>45643</v>
      </c>
      <c r="E835" s="13">
        <v>11.99</v>
      </c>
      <c r="F835" s="6">
        <v>455</v>
      </c>
      <c r="G835" s="7" t="s">
        <v>36</v>
      </c>
      <c r="H835" s="6">
        <v>3</v>
      </c>
      <c r="I835" s="6">
        <v>6</v>
      </c>
      <c r="J835" s="7" t="b">
        <v>1</v>
      </c>
      <c r="K835" s="6">
        <v>15</v>
      </c>
      <c r="L835" s="6">
        <v>36</v>
      </c>
      <c r="M835" s="7" t="s">
        <v>74</v>
      </c>
      <c r="N835" s="7" t="s">
        <v>44</v>
      </c>
      <c r="O835" s="7" t="s">
        <v>64</v>
      </c>
      <c r="P835" s="6">
        <v>37</v>
      </c>
      <c r="Q835" s="11">
        <v>4.2</v>
      </c>
      <c r="R835" s="7" t="b">
        <v>0</v>
      </c>
      <c r="S835" s="7" t="s">
        <v>30</v>
      </c>
      <c r="T835" s="6">
        <v>4486</v>
      </c>
      <c r="U835" s="7" t="s">
        <v>76</v>
      </c>
      <c r="V835" s="12" t="s">
        <v>59</v>
      </c>
      <c r="W835" s="7" t="s">
        <v>93</v>
      </c>
      <c r="X835" s="6">
        <f t="shared" ref="X835:X898" si="55">D835-C835</f>
        <v>297</v>
      </c>
      <c r="Y835" t="str" cm="1">
        <f t="array" ref="Y835">_xlfn.IFS(E835=7.99,"BASIC",E835=11.99,"STANDARD",E835=15.99,"PREMIUM")</f>
        <v>STANDARD</v>
      </c>
      <c r="Z835" s="4">
        <f t="shared" si="53"/>
        <v>10.723905723905723</v>
      </c>
      <c r="AA835" s="3" t="str" cm="1">
        <f t="array" ref="AA835">_xlfn.IFS(
(F835/(X835/7)) &lt; 5, "Casual",
AND((F835/(X835/7)) &gt;= 5, (F835/(X835/7)) &lt; 15), "Regular",
(F835/(X835/7)) &gt;= 15, "Power"
)</f>
        <v>Regular</v>
      </c>
      <c r="AB835" s="3">
        <f t="shared" si="52"/>
        <v>8.9215686274509807</v>
      </c>
      <c r="AC835" t="str">
        <f t="shared" si="54"/>
        <v>Viewers</v>
      </c>
    </row>
    <row r="836" spans="1:29" x14ac:dyDescent="0.3">
      <c r="A836" s="6">
        <v>6287</v>
      </c>
      <c r="B836" s="7" t="s">
        <v>491</v>
      </c>
      <c r="C836" s="10">
        <v>45045</v>
      </c>
      <c r="D836" s="10">
        <v>45626</v>
      </c>
      <c r="E836" s="13">
        <v>11.99</v>
      </c>
      <c r="F836" s="6">
        <v>449</v>
      </c>
      <c r="G836" s="7" t="s">
        <v>51</v>
      </c>
      <c r="H836" s="6">
        <v>1</v>
      </c>
      <c r="I836" s="6">
        <v>2</v>
      </c>
      <c r="J836" s="7" t="b">
        <v>1</v>
      </c>
      <c r="K836" s="6">
        <v>268</v>
      </c>
      <c r="L836" s="6">
        <v>11</v>
      </c>
      <c r="M836" s="7" t="s">
        <v>43</v>
      </c>
      <c r="N836" s="7" t="s">
        <v>44</v>
      </c>
      <c r="O836" s="7" t="s">
        <v>64</v>
      </c>
      <c r="P836" s="6">
        <v>62</v>
      </c>
      <c r="Q836" s="11">
        <v>5</v>
      </c>
      <c r="R836" s="7" t="b">
        <v>0</v>
      </c>
      <c r="S836" s="7" t="s">
        <v>30</v>
      </c>
      <c r="T836" s="6">
        <v>993</v>
      </c>
      <c r="U836" s="7" t="s">
        <v>38</v>
      </c>
      <c r="V836" s="12" t="s">
        <v>39</v>
      </c>
      <c r="W836" s="7" t="s">
        <v>40</v>
      </c>
      <c r="X836" s="6">
        <f t="shared" si="55"/>
        <v>581</v>
      </c>
      <c r="Y836" t="str" cm="1">
        <f t="array" ref="Y836">_xlfn.IFS(E836=7.99,"BASIC",E836=11.99,"STANDARD",E836=15.99,"PREMIUM")</f>
        <v>STANDARD</v>
      </c>
      <c r="Z836" s="4">
        <f t="shared" si="53"/>
        <v>5.4096385542168672</v>
      </c>
      <c r="AA836" s="3" t="str" cm="1">
        <f t="array" ref="AA836">_xlfn.IFS(
(F836/(X836/7)) &lt; 5, "Casual",
AND((F836/(X836/7)) &gt;= 5, (F836/(X836/7)) &lt; 15), "Regular",
(F836/(X836/7)) &gt;= 15, "Power"
)</f>
        <v>Regular</v>
      </c>
      <c r="AB836" s="3">
        <f t="shared" si="52"/>
        <v>1.6093189964157706</v>
      </c>
      <c r="AC836" t="str">
        <f t="shared" si="54"/>
        <v>Viewers</v>
      </c>
    </row>
    <row r="837" spans="1:29" x14ac:dyDescent="0.3">
      <c r="A837" s="6">
        <v>1953</v>
      </c>
      <c r="B837" s="7" t="s">
        <v>667</v>
      </c>
      <c r="C837" s="10">
        <v>45239</v>
      </c>
      <c r="D837" s="10">
        <v>45619</v>
      </c>
      <c r="E837" s="13">
        <v>15.99</v>
      </c>
      <c r="F837" s="6">
        <v>39</v>
      </c>
      <c r="G837" s="7" t="s">
        <v>36</v>
      </c>
      <c r="H837" s="6">
        <v>3</v>
      </c>
      <c r="I837" s="6">
        <v>1</v>
      </c>
      <c r="J837" s="7" t="b">
        <v>1</v>
      </c>
      <c r="K837" s="6">
        <v>791</v>
      </c>
      <c r="L837" s="6">
        <v>3</v>
      </c>
      <c r="M837" s="7" t="s">
        <v>74</v>
      </c>
      <c r="N837" s="7" t="s">
        <v>56</v>
      </c>
      <c r="O837" s="7" t="s">
        <v>57</v>
      </c>
      <c r="P837" s="6">
        <v>33</v>
      </c>
      <c r="Q837" s="11">
        <v>3.1</v>
      </c>
      <c r="R837" s="7" t="b">
        <v>1</v>
      </c>
      <c r="S837" s="7" t="s">
        <v>30</v>
      </c>
      <c r="T837" s="6">
        <v>631</v>
      </c>
      <c r="U837" s="7" t="s">
        <v>58</v>
      </c>
      <c r="V837" s="12" t="s">
        <v>39</v>
      </c>
      <c r="W837" s="7" t="s">
        <v>60</v>
      </c>
      <c r="X837" s="6">
        <f t="shared" si="55"/>
        <v>380</v>
      </c>
      <c r="Y837" t="str" cm="1">
        <f t="array" ref="Y837">_xlfn.IFS(E837=7.99,"BASIC",E837=11.99,"STANDARD",E837=15.99,"PREMIUM")</f>
        <v>PREMIUM</v>
      </c>
      <c r="Z837" s="4">
        <f t="shared" si="53"/>
        <v>0.71842105263157896</v>
      </c>
      <c r="AA837" s="3" t="str" cm="1">
        <f t="array" ref="AA837">_xlfn.IFS(
(F837/(X837/7)) &lt; 5, "Casual",
AND((F837/(X837/7)) &gt;= 5, (F837/(X837/7)) &lt; 15), "Regular",
(F837/(X837/7)) &gt;= 15, "Power"
)</f>
        <v>Casual</v>
      </c>
      <c r="AB837" s="3">
        <f t="shared" si="52"/>
        <v>4.9118387909319897E-2</v>
      </c>
      <c r="AC837" t="str">
        <f t="shared" si="54"/>
        <v xml:space="preserve"> Browsers</v>
      </c>
    </row>
    <row r="838" spans="1:29" x14ac:dyDescent="0.3">
      <c r="A838" s="6">
        <v>3457</v>
      </c>
      <c r="B838" s="7" t="s">
        <v>286</v>
      </c>
      <c r="C838" s="10">
        <v>45590</v>
      </c>
      <c r="D838" s="10">
        <v>45615</v>
      </c>
      <c r="E838" s="13">
        <v>15.99</v>
      </c>
      <c r="F838" s="6">
        <v>139</v>
      </c>
      <c r="G838" s="7" t="s">
        <v>73</v>
      </c>
      <c r="H838" s="6">
        <v>2</v>
      </c>
      <c r="I838" s="6">
        <v>1</v>
      </c>
      <c r="J838" s="7" t="b">
        <v>0</v>
      </c>
      <c r="K838" s="6">
        <v>257</v>
      </c>
      <c r="L838" s="6">
        <v>173</v>
      </c>
      <c r="M838" s="7" t="s">
        <v>68</v>
      </c>
      <c r="N838" s="7" t="s">
        <v>44</v>
      </c>
      <c r="O838" s="7" t="s">
        <v>64</v>
      </c>
      <c r="P838" s="6">
        <v>16</v>
      </c>
      <c r="Q838" s="11">
        <v>3.7</v>
      </c>
      <c r="R838" s="7" t="b">
        <v>1</v>
      </c>
      <c r="S838" s="7" t="s">
        <v>30</v>
      </c>
      <c r="T838" s="6">
        <v>214</v>
      </c>
      <c r="U838" s="7" t="s">
        <v>58</v>
      </c>
      <c r="V838" s="12" t="s">
        <v>39</v>
      </c>
      <c r="W838" s="7" t="s">
        <v>33</v>
      </c>
      <c r="X838" s="6">
        <f t="shared" si="55"/>
        <v>25</v>
      </c>
      <c r="Y838" t="str" cm="1">
        <f t="array" ref="Y838">_xlfn.IFS(E838=7.99,"BASIC",E838=11.99,"STANDARD",E838=15.99,"PREMIUM")</f>
        <v>PREMIUM</v>
      </c>
      <c r="Z838" s="4">
        <f t="shared" si="53"/>
        <v>38.919999999999995</v>
      </c>
      <c r="AA838" s="3" t="str" cm="1">
        <f t="array" ref="AA838">_xlfn.IFS(
(F838/(X838/7)) &lt; 5, "Casual",
AND((F838/(X838/7)) &gt;= 5, (F838/(X838/7)) &lt; 15), "Regular",
(F838/(X838/7)) &gt;= 15, "Power"
)</f>
        <v>Power</v>
      </c>
      <c r="AB838" s="3">
        <f t="shared" si="52"/>
        <v>0.32325581395348835</v>
      </c>
      <c r="AC838" t="str">
        <f t="shared" si="54"/>
        <v>Viewers</v>
      </c>
    </row>
    <row r="839" spans="1:29" x14ac:dyDescent="0.3">
      <c r="A839" s="6">
        <v>6504</v>
      </c>
      <c r="B839" s="7" t="s">
        <v>318</v>
      </c>
      <c r="C839" s="10">
        <v>45249</v>
      </c>
      <c r="D839" s="10">
        <v>45644</v>
      </c>
      <c r="E839" s="13">
        <v>7.99</v>
      </c>
      <c r="F839" s="6">
        <v>345</v>
      </c>
      <c r="G839" s="7" t="s">
        <v>48</v>
      </c>
      <c r="H839" s="6">
        <v>1</v>
      </c>
      <c r="I839" s="6">
        <v>4</v>
      </c>
      <c r="J839" s="7" t="b">
        <v>0</v>
      </c>
      <c r="K839" s="6">
        <v>767</v>
      </c>
      <c r="L839" s="6">
        <v>66</v>
      </c>
      <c r="M839" s="7" t="s">
        <v>43</v>
      </c>
      <c r="N839" s="7" t="s">
        <v>44</v>
      </c>
      <c r="O839" s="7" t="s">
        <v>45</v>
      </c>
      <c r="P839" s="6">
        <v>70</v>
      </c>
      <c r="Q839" s="11">
        <v>3.8</v>
      </c>
      <c r="R839" s="7" t="b">
        <v>0</v>
      </c>
      <c r="S839" s="7" t="s">
        <v>30</v>
      </c>
      <c r="T839" s="6">
        <v>2327</v>
      </c>
      <c r="U839" s="7" t="s">
        <v>38</v>
      </c>
      <c r="V839" s="12" t="s">
        <v>59</v>
      </c>
      <c r="W839" s="7" t="s">
        <v>33</v>
      </c>
      <c r="X839" s="6">
        <f t="shared" si="55"/>
        <v>395</v>
      </c>
      <c r="Y839" t="str" cm="1">
        <f t="array" ref="Y839">_xlfn.IFS(E839=7.99,"BASIC",E839=11.99,"STANDARD",E839=15.99,"PREMIUM")</f>
        <v>BASIC</v>
      </c>
      <c r="Z839" s="4">
        <f t="shared" si="53"/>
        <v>6.1139240506329111</v>
      </c>
      <c r="AA839" s="3" t="str" cm="1">
        <f t="array" ref="AA839">_xlfn.IFS(
(F839/(X839/7)) &lt; 5, "Casual",
AND((F839/(X839/7)) &gt;= 5, (F839/(X839/7)) &lt; 15), "Regular",
(F839/(X839/7)) &gt;= 15, "Power"
)</f>
        <v>Regular</v>
      </c>
      <c r="AB839" s="3">
        <f t="shared" si="52"/>
        <v>0.41416566626650658</v>
      </c>
      <c r="AC839" t="str">
        <f t="shared" si="54"/>
        <v>Viewers</v>
      </c>
    </row>
    <row r="840" spans="1:29" x14ac:dyDescent="0.3">
      <c r="A840" s="6">
        <v>7463</v>
      </c>
      <c r="B840" s="7" t="s">
        <v>389</v>
      </c>
      <c r="C840" s="10">
        <v>45184</v>
      </c>
      <c r="D840" s="10">
        <v>45632</v>
      </c>
      <c r="E840" s="13">
        <v>11.99</v>
      </c>
      <c r="F840" s="6">
        <v>500</v>
      </c>
      <c r="G840" s="7" t="s">
        <v>51</v>
      </c>
      <c r="H840" s="6">
        <v>3</v>
      </c>
      <c r="I840" s="6">
        <v>5</v>
      </c>
      <c r="J840" s="7" t="b">
        <v>1</v>
      </c>
      <c r="K840" s="6">
        <v>362</v>
      </c>
      <c r="L840" s="6">
        <v>38</v>
      </c>
      <c r="M840" s="7" t="s">
        <v>92</v>
      </c>
      <c r="N840" s="7" t="s">
        <v>44</v>
      </c>
      <c r="O840" s="7" t="s">
        <v>29</v>
      </c>
      <c r="P840" s="6">
        <v>100</v>
      </c>
      <c r="Q840" s="11">
        <v>4</v>
      </c>
      <c r="R840" s="7" t="b">
        <v>0</v>
      </c>
      <c r="S840" s="7" t="s">
        <v>30</v>
      </c>
      <c r="T840" s="6">
        <v>3679</v>
      </c>
      <c r="U840" s="7" t="s">
        <v>58</v>
      </c>
      <c r="V840" s="12" t="s">
        <v>79</v>
      </c>
      <c r="W840" s="7" t="s">
        <v>40</v>
      </c>
      <c r="X840" s="6">
        <f t="shared" si="55"/>
        <v>448</v>
      </c>
      <c r="Y840" t="str" cm="1">
        <f t="array" ref="Y840">_xlfn.IFS(E840=7.99,"BASIC",E840=11.99,"STANDARD",E840=15.99,"PREMIUM")</f>
        <v>STANDARD</v>
      </c>
      <c r="Z840" s="4">
        <f t="shared" si="53"/>
        <v>7.8125</v>
      </c>
      <c r="AA840" s="3" t="str" cm="1">
        <f t="array" ref="AA840">_xlfn.IFS(
(F840/(X840/7)) &lt; 5, "Casual",
AND((F840/(X840/7)) &gt;= 5, (F840/(X840/7)) &lt; 15), "Regular",
(F840/(X840/7)) &gt;= 15, "Power"
)</f>
        <v>Regular</v>
      </c>
      <c r="AB840" s="3">
        <f t="shared" si="52"/>
        <v>1.25</v>
      </c>
      <c r="AC840" t="str">
        <f t="shared" si="54"/>
        <v>Viewers</v>
      </c>
    </row>
    <row r="841" spans="1:29" x14ac:dyDescent="0.3">
      <c r="A841" s="6">
        <v>3898</v>
      </c>
      <c r="B841" s="7" t="s">
        <v>98</v>
      </c>
      <c r="C841" s="10">
        <v>45358</v>
      </c>
      <c r="D841" s="10">
        <v>45624</v>
      </c>
      <c r="E841" s="13">
        <v>11.99</v>
      </c>
      <c r="F841" s="6">
        <v>365</v>
      </c>
      <c r="G841" s="7" t="s">
        <v>73</v>
      </c>
      <c r="H841" s="6">
        <v>5</v>
      </c>
      <c r="I841" s="6">
        <v>5</v>
      </c>
      <c r="J841" s="7" t="b">
        <v>1</v>
      </c>
      <c r="K841" s="6">
        <v>779</v>
      </c>
      <c r="L841" s="6">
        <v>113</v>
      </c>
      <c r="M841" s="7" t="s">
        <v>49</v>
      </c>
      <c r="N841" s="7" t="s">
        <v>28</v>
      </c>
      <c r="O841" s="7" t="s">
        <v>37</v>
      </c>
      <c r="P841" s="6">
        <v>65</v>
      </c>
      <c r="Q841" s="11">
        <v>4.2</v>
      </c>
      <c r="R841" s="7" t="b">
        <v>0</v>
      </c>
      <c r="S841" s="7" t="s">
        <v>30</v>
      </c>
      <c r="T841" s="6">
        <v>2238</v>
      </c>
      <c r="U841" s="7" t="s">
        <v>31</v>
      </c>
      <c r="V841" s="12" t="s">
        <v>79</v>
      </c>
      <c r="W841" s="7" t="s">
        <v>93</v>
      </c>
      <c r="X841" s="6">
        <f t="shared" si="55"/>
        <v>266</v>
      </c>
      <c r="Y841" t="str" cm="1">
        <f t="array" ref="Y841">_xlfn.IFS(E841=7.99,"BASIC",E841=11.99,"STANDARD",E841=15.99,"PREMIUM")</f>
        <v>STANDARD</v>
      </c>
      <c r="Z841" s="4">
        <f t="shared" si="53"/>
        <v>9.6052631578947363</v>
      </c>
      <c r="AA841" s="3" t="str" cm="1">
        <f t="array" ref="AA841">_xlfn.IFS(
(F841/(X841/7)) &lt; 5, "Casual",
AND((F841/(X841/7)) &gt;= 5, (F841/(X841/7)) &lt; 15), "Regular",
(F841/(X841/7)) &gt;= 15, "Power"
)</f>
        <v>Regular</v>
      </c>
      <c r="AB841" s="3">
        <f t="shared" ref="AB841:AB904" si="56">(F841/(K841+L841))</f>
        <v>0.40919282511210764</v>
      </c>
      <c r="AC841" t="str">
        <f t="shared" si="54"/>
        <v>Viewers</v>
      </c>
    </row>
    <row r="842" spans="1:29" x14ac:dyDescent="0.3">
      <c r="A842" s="6">
        <v>8481</v>
      </c>
      <c r="B842" s="7" t="s">
        <v>130</v>
      </c>
      <c r="C842" s="10">
        <v>45581</v>
      </c>
      <c r="D842" s="10">
        <v>45634</v>
      </c>
      <c r="E842" s="13">
        <v>7.99</v>
      </c>
      <c r="F842" s="6">
        <v>479</v>
      </c>
      <c r="G842" s="7" t="s">
        <v>100</v>
      </c>
      <c r="H842" s="6">
        <v>4</v>
      </c>
      <c r="I842" s="6">
        <v>5</v>
      </c>
      <c r="J842" s="7" t="b">
        <v>0</v>
      </c>
      <c r="K842" s="6">
        <v>159</v>
      </c>
      <c r="L842" s="6">
        <v>136</v>
      </c>
      <c r="M842" s="7" t="s">
        <v>43</v>
      </c>
      <c r="N842" s="7" t="s">
        <v>75</v>
      </c>
      <c r="O842" s="7" t="s">
        <v>37</v>
      </c>
      <c r="P842" s="6">
        <v>7</v>
      </c>
      <c r="Q842" s="11">
        <v>4.2</v>
      </c>
      <c r="R842" s="7" t="b">
        <v>1</v>
      </c>
      <c r="S842" s="7" t="s">
        <v>30</v>
      </c>
      <c r="T842" s="6">
        <v>3655</v>
      </c>
      <c r="U842" s="7" t="s">
        <v>58</v>
      </c>
      <c r="V842" s="12" t="s">
        <v>59</v>
      </c>
      <c r="W842" s="7" t="s">
        <v>40</v>
      </c>
      <c r="X842" s="6">
        <f t="shared" si="55"/>
        <v>53</v>
      </c>
      <c r="Y842" t="str" cm="1">
        <f t="array" ref="Y842">_xlfn.IFS(E842=7.99,"BASIC",E842=11.99,"STANDARD",E842=15.99,"PREMIUM")</f>
        <v>BASIC</v>
      </c>
      <c r="Z842" s="4">
        <f t="shared" si="53"/>
        <v>63.264150943396231</v>
      </c>
      <c r="AA842" s="3" t="str" cm="1">
        <f t="array" ref="AA842">_xlfn.IFS(
(F842/(X842/7)) &lt; 5, "Casual",
AND((F842/(X842/7)) &gt;= 5, (F842/(X842/7)) &lt; 15), "Regular",
(F842/(X842/7)) &gt;= 15, "Power"
)</f>
        <v>Power</v>
      </c>
      <c r="AB842" s="3">
        <f t="shared" si="56"/>
        <v>1.623728813559322</v>
      </c>
      <c r="AC842" t="str">
        <f t="shared" si="54"/>
        <v>Viewers</v>
      </c>
    </row>
    <row r="843" spans="1:29" x14ac:dyDescent="0.3">
      <c r="A843" s="6">
        <v>7810</v>
      </c>
      <c r="B843" s="7" t="s">
        <v>41</v>
      </c>
      <c r="C843" s="10">
        <v>45193</v>
      </c>
      <c r="D843" s="10">
        <v>45633</v>
      </c>
      <c r="E843" s="13">
        <v>7.99</v>
      </c>
      <c r="F843" s="6">
        <v>63</v>
      </c>
      <c r="G843" s="7" t="s">
        <v>63</v>
      </c>
      <c r="H843" s="6">
        <v>4</v>
      </c>
      <c r="I843" s="6">
        <v>2</v>
      </c>
      <c r="J843" s="7" t="b">
        <v>1</v>
      </c>
      <c r="K843" s="6">
        <v>104</v>
      </c>
      <c r="L843" s="6">
        <v>72</v>
      </c>
      <c r="M843" s="7" t="s">
        <v>92</v>
      </c>
      <c r="N843" s="7" t="s">
        <v>75</v>
      </c>
      <c r="O843" s="7" t="s">
        <v>45</v>
      </c>
      <c r="P843" s="6">
        <v>17</v>
      </c>
      <c r="Q843" s="11">
        <v>4.9000000000000004</v>
      </c>
      <c r="R843" s="7" t="b">
        <v>1</v>
      </c>
      <c r="S843" s="7" t="s">
        <v>30</v>
      </c>
      <c r="T843" s="6">
        <v>1587</v>
      </c>
      <c r="U843" s="7" t="s">
        <v>65</v>
      </c>
      <c r="V843" s="12" t="s">
        <v>59</v>
      </c>
      <c r="W843" s="7" t="s">
        <v>93</v>
      </c>
      <c r="X843" s="6">
        <f t="shared" si="55"/>
        <v>440</v>
      </c>
      <c r="Y843" t="str" cm="1">
        <f t="array" ref="Y843">_xlfn.IFS(E843=7.99,"BASIC",E843=11.99,"STANDARD",E843=15.99,"PREMIUM")</f>
        <v>BASIC</v>
      </c>
      <c r="Z843" s="4">
        <f t="shared" si="53"/>
        <v>1.0022727272727274</v>
      </c>
      <c r="AA843" s="3" t="str" cm="1">
        <f t="array" ref="AA843">_xlfn.IFS(
(F843/(X843/7)) &lt; 5, "Casual",
AND((F843/(X843/7)) &gt;= 5, (F843/(X843/7)) &lt; 15), "Regular",
(F843/(X843/7)) &gt;= 15, "Power"
)</f>
        <v>Casual</v>
      </c>
      <c r="AB843" s="3">
        <f t="shared" si="56"/>
        <v>0.35795454545454547</v>
      </c>
      <c r="AC843" t="str">
        <f t="shared" si="54"/>
        <v>Viewers</v>
      </c>
    </row>
    <row r="844" spans="1:29" x14ac:dyDescent="0.3">
      <c r="A844" s="6">
        <v>6534</v>
      </c>
      <c r="B844" s="7" t="s">
        <v>434</v>
      </c>
      <c r="C844" s="10">
        <v>45021</v>
      </c>
      <c r="D844" s="10">
        <v>45637</v>
      </c>
      <c r="E844" s="13">
        <v>11.99</v>
      </c>
      <c r="F844" s="6">
        <v>104</v>
      </c>
      <c r="G844" s="7" t="s">
        <v>51</v>
      </c>
      <c r="H844" s="6">
        <v>2</v>
      </c>
      <c r="I844" s="6">
        <v>6</v>
      </c>
      <c r="J844" s="7" t="b">
        <v>0</v>
      </c>
      <c r="K844" s="6">
        <v>570</v>
      </c>
      <c r="L844" s="6">
        <v>29</v>
      </c>
      <c r="M844" s="7" t="s">
        <v>49</v>
      </c>
      <c r="N844" s="7" t="s">
        <v>28</v>
      </c>
      <c r="O844" s="7" t="s">
        <v>37</v>
      </c>
      <c r="P844" s="6">
        <v>56</v>
      </c>
      <c r="Q844" s="11">
        <v>3.9</v>
      </c>
      <c r="R844" s="7" t="b">
        <v>1</v>
      </c>
      <c r="S844" s="7" t="s">
        <v>30</v>
      </c>
      <c r="T844" s="6">
        <v>4501</v>
      </c>
      <c r="U844" s="7" t="s">
        <v>38</v>
      </c>
      <c r="V844" s="12" t="s">
        <v>32</v>
      </c>
      <c r="W844" s="7" t="s">
        <v>33</v>
      </c>
      <c r="X844" s="6">
        <f t="shared" si="55"/>
        <v>616</v>
      </c>
      <c r="Y844" t="str" cm="1">
        <f t="array" ref="Y844">_xlfn.IFS(E844=7.99,"BASIC",E844=11.99,"STANDARD",E844=15.99,"PREMIUM")</f>
        <v>STANDARD</v>
      </c>
      <c r="Z844" s="4">
        <f t="shared" si="53"/>
        <v>1.1818181818181819</v>
      </c>
      <c r="AA844" s="3" t="str" cm="1">
        <f t="array" ref="AA844">_xlfn.IFS(
(F844/(X844/7)) &lt; 5, "Casual",
AND((F844/(X844/7)) &gt;= 5, (F844/(X844/7)) &lt; 15), "Regular",
(F844/(X844/7)) &gt;= 15, "Power"
)</f>
        <v>Casual</v>
      </c>
      <c r="AB844" s="3">
        <f t="shared" si="56"/>
        <v>0.17362270450751252</v>
      </c>
      <c r="AC844" t="str">
        <f t="shared" si="54"/>
        <v>Viewers</v>
      </c>
    </row>
    <row r="845" spans="1:29" x14ac:dyDescent="0.3">
      <c r="A845" s="6">
        <v>6025</v>
      </c>
      <c r="B845" s="7" t="s">
        <v>290</v>
      </c>
      <c r="C845" s="10">
        <v>45275</v>
      </c>
      <c r="D845" s="10">
        <v>45621</v>
      </c>
      <c r="E845" s="13">
        <v>15.99</v>
      </c>
      <c r="F845" s="6">
        <v>380</v>
      </c>
      <c r="G845" s="7" t="s">
        <v>63</v>
      </c>
      <c r="H845" s="6">
        <v>5</v>
      </c>
      <c r="I845" s="6">
        <v>5</v>
      </c>
      <c r="J845" s="7" t="b">
        <v>1</v>
      </c>
      <c r="K845" s="6">
        <v>112</v>
      </c>
      <c r="L845" s="6">
        <v>149</v>
      </c>
      <c r="M845" s="7" t="s">
        <v>68</v>
      </c>
      <c r="N845" s="7" t="s">
        <v>75</v>
      </c>
      <c r="O845" s="7" t="s">
        <v>45</v>
      </c>
      <c r="P845" s="6">
        <v>74</v>
      </c>
      <c r="Q845" s="11">
        <v>3.4</v>
      </c>
      <c r="R845" s="7" t="b">
        <v>1</v>
      </c>
      <c r="S845" s="7" t="s">
        <v>30</v>
      </c>
      <c r="T845" s="6">
        <v>1910</v>
      </c>
      <c r="U845" s="7" t="s">
        <v>76</v>
      </c>
      <c r="V845" s="12" t="s">
        <v>69</v>
      </c>
      <c r="W845" s="7" t="s">
        <v>60</v>
      </c>
      <c r="X845" s="6">
        <f t="shared" si="55"/>
        <v>346</v>
      </c>
      <c r="Y845" t="str" cm="1">
        <f t="array" ref="Y845">_xlfn.IFS(E845=7.99,"BASIC",E845=11.99,"STANDARD",E845=15.99,"PREMIUM")</f>
        <v>PREMIUM</v>
      </c>
      <c r="Z845" s="4">
        <f t="shared" si="53"/>
        <v>7.6878612716763</v>
      </c>
      <c r="AA845" s="3" t="str" cm="1">
        <f t="array" ref="AA845">_xlfn.IFS(
(F845/(X845/7)) &lt; 5, "Casual",
AND((F845/(X845/7)) &gt;= 5, (F845/(X845/7)) &lt; 15), "Regular",
(F845/(X845/7)) &gt;= 15, "Power"
)</f>
        <v>Regular</v>
      </c>
      <c r="AB845" s="3">
        <f t="shared" si="56"/>
        <v>1.4559386973180077</v>
      </c>
      <c r="AC845" t="str">
        <f t="shared" si="54"/>
        <v>Viewers</v>
      </c>
    </row>
    <row r="846" spans="1:29" x14ac:dyDescent="0.3">
      <c r="A846" s="6">
        <v>5825</v>
      </c>
      <c r="B846" s="7" t="s">
        <v>689</v>
      </c>
      <c r="C846" s="10">
        <v>45334</v>
      </c>
      <c r="D846" s="10">
        <v>45639</v>
      </c>
      <c r="E846" s="13">
        <v>7.99</v>
      </c>
      <c r="F846" s="6">
        <v>500</v>
      </c>
      <c r="G846" s="7" t="s">
        <v>36</v>
      </c>
      <c r="H846" s="6">
        <v>5</v>
      </c>
      <c r="I846" s="6">
        <v>4</v>
      </c>
      <c r="J846" s="7" t="b">
        <v>1</v>
      </c>
      <c r="K846" s="6">
        <v>568</v>
      </c>
      <c r="L846" s="6">
        <v>151</v>
      </c>
      <c r="M846" s="7" t="s">
        <v>74</v>
      </c>
      <c r="N846" s="7" t="s">
        <v>75</v>
      </c>
      <c r="O846" s="7" t="s">
        <v>78</v>
      </c>
      <c r="P846" s="6">
        <v>11</v>
      </c>
      <c r="Q846" s="11">
        <v>3.6</v>
      </c>
      <c r="R846" s="7" t="b">
        <v>0</v>
      </c>
      <c r="S846" s="7" t="s">
        <v>30</v>
      </c>
      <c r="T846" s="6">
        <v>2731</v>
      </c>
      <c r="U846" s="7" t="s">
        <v>31</v>
      </c>
      <c r="V846" s="12" t="s">
        <v>69</v>
      </c>
      <c r="W846" s="7" t="s">
        <v>33</v>
      </c>
      <c r="X846" s="6">
        <f t="shared" si="55"/>
        <v>305</v>
      </c>
      <c r="Y846" t="str" cm="1">
        <f t="array" ref="Y846">_xlfn.IFS(E846=7.99,"BASIC",E846=11.99,"STANDARD",E846=15.99,"PREMIUM")</f>
        <v>BASIC</v>
      </c>
      <c r="Z846" s="4">
        <f t="shared" si="53"/>
        <v>11.475409836065575</v>
      </c>
      <c r="AA846" s="3" t="str" cm="1">
        <f t="array" ref="AA846">_xlfn.IFS(
(F846/(X846/7)) &lt; 5, "Casual",
AND((F846/(X846/7)) &gt;= 5, (F846/(X846/7)) &lt; 15), "Regular",
(F846/(X846/7)) &gt;= 15, "Power"
)</f>
        <v>Regular</v>
      </c>
      <c r="AB846" s="3">
        <f t="shared" si="56"/>
        <v>0.69541029207232263</v>
      </c>
      <c r="AC846" t="str">
        <f t="shared" si="54"/>
        <v>Viewers</v>
      </c>
    </row>
    <row r="847" spans="1:29" x14ac:dyDescent="0.3">
      <c r="A847" s="6">
        <v>1185</v>
      </c>
      <c r="B847" s="7" t="s">
        <v>355</v>
      </c>
      <c r="C847" s="10">
        <v>44956</v>
      </c>
      <c r="D847" s="10">
        <v>45641</v>
      </c>
      <c r="E847" s="13">
        <v>15.99</v>
      </c>
      <c r="F847" s="6">
        <v>247</v>
      </c>
      <c r="G847" s="7" t="s">
        <v>100</v>
      </c>
      <c r="H847" s="6">
        <v>2</v>
      </c>
      <c r="I847" s="6">
        <v>2</v>
      </c>
      <c r="J847" s="7" t="b">
        <v>0</v>
      </c>
      <c r="K847" s="6">
        <v>943</v>
      </c>
      <c r="L847" s="6">
        <v>42</v>
      </c>
      <c r="M847" s="7" t="s">
        <v>49</v>
      </c>
      <c r="N847" s="7" t="s">
        <v>28</v>
      </c>
      <c r="O847" s="7" t="s">
        <v>57</v>
      </c>
      <c r="P847" s="6">
        <v>85</v>
      </c>
      <c r="Q847" s="11">
        <v>3.5</v>
      </c>
      <c r="R847" s="7" t="b">
        <v>1</v>
      </c>
      <c r="S847" s="7" t="s">
        <v>30</v>
      </c>
      <c r="T847" s="6">
        <v>4517</v>
      </c>
      <c r="U847" s="7" t="s">
        <v>31</v>
      </c>
      <c r="V847" s="12" t="s">
        <v>32</v>
      </c>
      <c r="W847" s="7" t="s">
        <v>40</v>
      </c>
      <c r="X847" s="6">
        <f t="shared" si="55"/>
        <v>685</v>
      </c>
      <c r="Y847" t="str" cm="1">
        <f t="array" ref="Y847">_xlfn.IFS(E847=7.99,"BASIC",E847=11.99,"STANDARD",E847=15.99,"PREMIUM")</f>
        <v>PREMIUM</v>
      </c>
      <c r="Z847" s="4">
        <f t="shared" si="53"/>
        <v>2.524087591240876</v>
      </c>
      <c r="AA847" s="3" t="str" cm="1">
        <f t="array" ref="AA847">_xlfn.IFS(
(F847/(X847/7)) &lt; 5, "Casual",
AND((F847/(X847/7)) &gt;= 5, (F847/(X847/7)) &lt; 15), "Regular",
(F847/(X847/7)) &gt;= 15, "Power"
)</f>
        <v>Casual</v>
      </c>
      <c r="AB847" s="3">
        <f t="shared" si="56"/>
        <v>0.25076142131979695</v>
      </c>
      <c r="AC847" t="str">
        <f t="shared" si="54"/>
        <v>Viewers</v>
      </c>
    </row>
    <row r="848" spans="1:29" x14ac:dyDescent="0.3">
      <c r="A848" s="6">
        <v>4392</v>
      </c>
      <c r="B848" s="7" t="s">
        <v>395</v>
      </c>
      <c r="C848" s="10">
        <v>44976</v>
      </c>
      <c r="D848" s="10">
        <v>45631</v>
      </c>
      <c r="E848" s="13">
        <v>11.99</v>
      </c>
      <c r="F848" s="6">
        <v>486</v>
      </c>
      <c r="G848" s="7" t="s">
        <v>48</v>
      </c>
      <c r="H848" s="6">
        <v>2</v>
      </c>
      <c r="I848" s="6">
        <v>6</v>
      </c>
      <c r="J848" s="7" t="b">
        <v>0</v>
      </c>
      <c r="K848" s="6">
        <v>887</v>
      </c>
      <c r="L848" s="6">
        <v>128</v>
      </c>
      <c r="M848" s="7" t="s">
        <v>27</v>
      </c>
      <c r="N848" s="7" t="s">
        <v>56</v>
      </c>
      <c r="O848" s="7" t="s">
        <v>37</v>
      </c>
      <c r="P848" s="6">
        <v>59</v>
      </c>
      <c r="Q848" s="11">
        <v>4.4000000000000004</v>
      </c>
      <c r="R848" s="7" t="b">
        <v>0</v>
      </c>
      <c r="S848" s="7" t="s">
        <v>30</v>
      </c>
      <c r="T848" s="6">
        <v>1238</v>
      </c>
      <c r="U848" s="7" t="s">
        <v>65</v>
      </c>
      <c r="V848" s="12" t="s">
        <v>32</v>
      </c>
      <c r="W848" s="7" t="s">
        <v>60</v>
      </c>
      <c r="X848" s="6">
        <f t="shared" si="55"/>
        <v>655</v>
      </c>
      <c r="Y848" t="str" cm="1">
        <f t="array" ref="Y848">_xlfn.IFS(E848=7.99,"BASIC",E848=11.99,"STANDARD",E848=15.99,"PREMIUM")</f>
        <v>STANDARD</v>
      </c>
      <c r="Z848" s="4">
        <f t="shared" si="53"/>
        <v>5.1938931297709923</v>
      </c>
      <c r="AA848" s="3" t="str" cm="1">
        <f t="array" ref="AA848">_xlfn.IFS(
(F848/(X848/7)) &lt; 5, "Casual",
AND((F848/(X848/7)) &gt;= 5, (F848/(X848/7)) &lt; 15), "Regular",
(F848/(X848/7)) &gt;= 15, "Power"
)</f>
        <v>Regular</v>
      </c>
      <c r="AB848" s="3">
        <f t="shared" si="56"/>
        <v>0.47881773399014776</v>
      </c>
      <c r="AC848" t="str">
        <f t="shared" si="54"/>
        <v>Viewers</v>
      </c>
    </row>
    <row r="849" spans="1:29" x14ac:dyDescent="0.3">
      <c r="A849" s="6">
        <v>5785</v>
      </c>
      <c r="B849" s="7" t="s">
        <v>101</v>
      </c>
      <c r="C849" s="10">
        <v>45361</v>
      </c>
      <c r="D849" s="10">
        <v>45615</v>
      </c>
      <c r="E849" s="13">
        <v>7.99</v>
      </c>
      <c r="F849" s="6">
        <v>220</v>
      </c>
      <c r="G849" s="7" t="s">
        <v>26</v>
      </c>
      <c r="H849" s="6">
        <v>2</v>
      </c>
      <c r="I849" s="6">
        <v>1</v>
      </c>
      <c r="J849" s="7" t="b">
        <v>0</v>
      </c>
      <c r="K849" s="6">
        <v>998</v>
      </c>
      <c r="L849" s="6">
        <v>187</v>
      </c>
      <c r="M849" s="7" t="s">
        <v>55</v>
      </c>
      <c r="N849" s="7" t="s">
        <v>44</v>
      </c>
      <c r="O849" s="7" t="s">
        <v>64</v>
      </c>
      <c r="P849" s="6">
        <v>17</v>
      </c>
      <c r="Q849" s="11">
        <v>4.4000000000000004</v>
      </c>
      <c r="R849" s="7" t="b">
        <v>0</v>
      </c>
      <c r="S849" s="7" t="s">
        <v>30</v>
      </c>
      <c r="T849" s="6">
        <v>1786</v>
      </c>
      <c r="U849" s="7" t="s">
        <v>58</v>
      </c>
      <c r="V849" s="12" t="s">
        <v>79</v>
      </c>
      <c r="W849" s="7" t="s">
        <v>60</v>
      </c>
      <c r="X849" s="6">
        <f t="shared" si="55"/>
        <v>254</v>
      </c>
      <c r="Y849" t="str" cm="1">
        <f t="array" ref="Y849">_xlfn.IFS(E849=7.99,"BASIC",E849=11.99,"STANDARD",E849=15.99,"PREMIUM")</f>
        <v>BASIC</v>
      </c>
      <c r="Z849" s="4">
        <f t="shared" si="53"/>
        <v>6.0629921259842519</v>
      </c>
      <c r="AA849" s="3" t="str" cm="1">
        <f t="array" ref="AA849">_xlfn.IFS(
(F849/(X849/7)) &lt; 5, "Casual",
AND((F849/(X849/7)) &gt;= 5, (F849/(X849/7)) &lt; 15), "Regular",
(F849/(X849/7)) &gt;= 15, "Power"
)</f>
        <v>Regular</v>
      </c>
      <c r="AB849" s="3">
        <f t="shared" si="56"/>
        <v>0.18565400843881857</v>
      </c>
      <c r="AC849" t="str">
        <f t="shared" si="54"/>
        <v>Viewers</v>
      </c>
    </row>
    <row r="850" spans="1:29" x14ac:dyDescent="0.3">
      <c r="A850" s="6">
        <v>4718</v>
      </c>
      <c r="B850" s="7" t="s">
        <v>130</v>
      </c>
      <c r="C850" s="10">
        <v>45190</v>
      </c>
      <c r="D850" s="10">
        <v>45621</v>
      </c>
      <c r="E850" s="13">
        <v>15.99</v>
      </c>
      <c r="F850" s="6">
        <v>21</v>
      </c>
      <c r="G850" s="7" t="s">
        <v>36</v>
      </c>
      <c r="H850" s="6">
        <v>5</v>
      </c>
      <c r="I850" s="6">
        <v>1</v>
      </c>
      <c r="J850" s="7" t="b">
        <v>1</v>
      </c>
      <c r="K850" s="6">
        <v>484</v>
      </c>
      <c r="L850" s="6">
        <v>112</v>
      </c>
      <c r="M850" s="7" t="s">
        <v>55</v>
      </c>
      <c r="N850" s="7" t="s">
        <v>56</v>
      </c>
      <c r="O850" s="7" t="s">
        <v>29</v>
      </c>
      <c r="P850" s="6">
        <v>88</v>
      </c>
      <c r="Q850" s="11">
        <v>3.5</v>
      </c>
      <c r="R850" s="7" t="b">
        <v>1</v>
      </c>
      <c r="S850" s="7" t="s">
        <v>30</v>
      </c>
      <c r="T850" s="6">
        <v>1683</v>
      </c>
      <c r="U850" s="7" t="s">
        <v>76</v>
      </c>
      <c r="V850" s="12" t="s">
        <v>79</v>
      </c>
      <c r="W850" s="7" t="s">
        <v>60</v>
      </c>
      <c r="X850" s="6">
        <f t="shared" si="55"/>
        <v>431</v>
      </c>
      <c r="Y850" t="str" cm="1">
        <f t="array" ref="Y850">_xlfn.IFS(E850=7.99,"BASIC",E850=11.99,"STANDARD",E850=15.99,"PREMIUM")</f>
        <v>PREMIUM</v>
      </c>
      <c r="Z850" s="4">
        <f t="shared" si="53"/>
        <v>0.34106728538283065</v>
      </c>
      <c r="AA850" s="3" t="str" cm="1">
        <f t="array" ref="AA850">_xlfn.IFS(
(F850/(X850/7)) &lt; 5, "Casual",
AND((F850/(X850/7)) &gt;= 5, (F850/(X850/7)) &lt; 15), "Regular",
(F850/(X850/7)) &gt;= 15, "Power"
)</f>
        <v>Casual</v>
      </c>
      <c r="AB850" s="3">
        <f t="shared" si="56"/>
        <v>3.5234899328859058E-2</v>
      </c>
      <c r="AC850" t="str">
        <f t="shared" si="54"/>
        <v xml:space="preserve"> Browsers</v>
      </c>
    </row>
    <row r="851" spans="1:29" x14ac:dyDescent="0.3">
      <c r="A851" s="6">
        <v>3992</v>
      </c>
      <c r="B851" s="7" t="s">
        <v>224</v>
      </c>
      <c r="C851" s="10">
        <v>45529</v>
      </c>
      <c r="D851" s="10">
        <v>45621</v>
      </c>
      <c r="E851" s="13">
        <v>11.99</v>
      </c>
      <c r="F851" s="6">
        <v>417</v>
      </c>
      <c r="G851" s="7" t="s">
        <v>26</v>
      </c>
      <c r="H851" s="6">
        <v>2</v>
      </c>
      <c r="I851" s="6">
        <v>5</v>
      </c>
      <c r="J851" s="7" t="b">
        <v>1</v>
      </c>
      <c r="K851" s="6">
        <v>458</v>
      </c>
      <c r="L851" s="6">
        <v>145</v>
      </c>
      <c r="M851" s="7" t="s">
        <v>74</v>
      </c>
      <c r="N851" s="7" t="s">
        <v>44</v>
      </c>
      <c r="O851" s="7" t="s">
        <v>57</v>
      </c>
      <c r="P851" s="6">
        <v>91</v>
      </c>
      <c r="Q851" s="11">
        <v>3.3</v>
      </c>
      <c r="R851" s="7" t="b">
        <v>1</v>
      </c>
      <c r="S851" s="7" t="s">
        <v>30</v>
      </c>
      <c r="T851" s="6">
        <v>996</v>
      </c>
      <c r="U851" s="7" t="s">
        <v>65</v>
      </c>
      <c r="V851" s="12" t="s">
        <v>39</v>
      </c>
      <c r="W851" s="7" t="s">
        <v>40</v>
      </c>
      <c r="X851" s="6">
        <f t="shared" si="55"/>
        <v>92</v>
      </c>
      <c r="Y851" t="str" cm="1">
        <f t="array" ref="Y851">_xlfn.IFS(E851=7.99,"BASIC",E851=11.99,"STANDARD",E851=15.99,"PREMIUM")</f>
        <v>STANDARD</v>
      </c>
      <c r="Z851" s="4">
        <f t="shared" si="53"/>
        <v>31.728260869565219</v>
      </c>
      <c r="AA851" s="3" t="str" cm="1">
        <f t="array" ref="AA851">_xlfn.IFS(
(F851/(X851/7)) &lt; 5, "Casual",
AND((F851/(X851/7)) &gt;= 5, (F851/(X851/7)) &lt; 15), "Regular",
(F851/(X851/7)) &gt;= 15, "Power"
)</f>
        <v>Power</v>
      </c>
      <c r="AB851" s="3">
        <f t="shared" si="56"/>
        <v>0.69154228855721389</v>
      </c>
      <c r="AC851" t="str">
        <f t="shared" si="54"/>
        <v>Viewers</v>
      </c>
    </row>
    <row r="852" spans="1:29" x14ac:dyDescent="0.3">
      <c r="A852" s="6">
        <v>6100</v>
      </c>
      <c r="B852" s="7" t="s">
        <v>517</v>
      </c>
      <c r="C852" s="10">
        <v>45467</v>
      </c>
      <c r="D852" s="10">
        <v>45616</v>
      </c>
      <c r="E852" s="13">
        <v>11.99</v>
      </c>
      <c r="F852" s="6">
        <v>191</v>
      </c>
      <c r="G852" s="7" t="s">
        <v>73</v>
      </c>
      <c r="H852" s="6">
        <v>1</v>
      </c>
      <c r="I852" s="6">
        <v>4</v>
      </c>
      <c r="J852" s="7" t="b">
        <v>0</v>
      </c>
      <c r="K852" s="6">
        <v>925</v>
      </c>
      <c r="L852" s="6">
        <v>124</v>
      </c>
      <c r="M852" s="7" t="s">
        <v>74</v>
      </c>
      <c r="N852" s="7" t="s">
        <v>75</v>
      </c>
      <c r="O852" s="7" t="s">
        <v>29</v>
      </c>
      <c r="P852" s="6">
        <v>37</v>
      </c>
      <c r="Q852" s="11">
        <v>4.0999999999999996</v>
      </c>
      <c r="R852" s="7" t="b">
        <v>0</v>
      </c>
      <c r="S852" s="7" t="s">
        <v>30</v>
      </c>
      <c r="T852" s="6">
        <v>608</v>
      </c>
      <c r="U852" s="7" t="s">
        <v>31</v>
      </c>
      <c r="V852" s="12" t="s">
        <v>59</v>
      </c>
      <c r="W852" s="7" t="s">
        <v>40</v>
      </c>
      <c r="X852" s="6">
        <f t="shared" si="55"/>
        <v>149</v>
      </c>
      <c r="Y852" t="str" cm="1">
        <f t="array" ref="Y852">_xlfn.IFS(E852=7.99,"BASIC",E852=11.99,"STANDARD",E852=15.99,"PREMIUM")</f>
        <v>STANDARD</v>
      </c>
      <c r="Z852" s="4">
        <f t="shared" si="53"/>
        <v>8.973154362416107</v>
      </c>
      <c r="AA852" s="3" t="str" cm="1">
        <f t="array" ref="AA852">_xlfn.IFS(
(F852/(X852/7)) &lt; 5, "Casual",
AND((F852/(X852/7)) &gt;= 5, (F852/(X852/7)) &lt; 15), "Regular",
(F852/(X852/7)) &gt;= 15, "Power"
)</f>
        <v>Regular</v>
      </c>
      <c r="AB852" s="3">
        <f t="shared" si="56"/>
        <v>0.18207816968541468</v>
      </c>
      <c r="AC852" t="str">
        <f t="shared" si="54"/>
        <v>Viewers</v>
      </c>
    </row>
    <row r="853" spans="1:29" x14ac:dyDescent="0.3">
      <c r="A853" s="6">
        <v>8495</v>
      </c>
      <c r="B853" s="7" t="s">
        <v>691</v>
      </c>
      <c r="C853" s="10">
        <v>45300</v>
      </c>
      <c r="D853" s="10">
        <v>45622</v>
      </c>
      <c r="E853" s="13">
        <v>7.99</v>
      </c>
      <c r="F853" s="6">
        <v>460</v>
      </c>
      <c r="G853" s="7" t="s">
        <v>73</v>
      </c>
      <c r="H853" s="6">
        <v>5</v>
      </c>
      <c r="I853" s="6">
        <v>2</v>
      </c>
      <c r="J853" s="7" t="b">
        <v>0</v>
      </c>
      <c r="K853" s="6">
        <v>559</v>
      </c>
      <c r="L853" s="6">
        <v>136</v>
      </c>
      <c r="M853" s="7" t="s">
        <v>92</v>
      </c>
      <c r="N853" s="7" t="s">
        <v>56</v>
      </c>
      <c r="O853" s="7" t="s">
        <v>37</v>
      </c>
      <c r="P853" s="6">
        <v>58</v>
      </c>
      <c r="Q853" s="11">
        <v>3.6</v>
      </c>
      <c r="R853" s="7" t="b">
        <v>0</v>
      </c>
      <c r="S853" s="7" t="s">
        <v>30</v>
      </c>
      <c r="T853" s="6">
        <v>4650</v>
      </c>
      <c r="U853" s="7" t="s">
        <v>38</v>
      </c>
      <c r="V853" s="12" t="s">
        <v>79</v>
      </c>
      <c r="W853" s="7" t="s">
        <v>60</v>
      </c>
      <c r="X853" s="6">
        <f t="shared" si="55"/>
        <v>322</v>
      </c>
      <c r="Y853" t="str" cm="1">
        <f t="array" ref="Y853">_xlfn.IFS(E853=7.99,"BASIC",E853=11.99,"STANDARD",E853=15.99,"PREMIUM")</f>
        <v>BASIC</v>
      </c>
      <c r="Z853" s="4">
        <f t="shared" si="53"/>
        <v>10</v>
      </c>
      <c r="AA853" s="3" t="str" cm="1">
        <f t="array" ref="AA853">_xlfn.IFS(
(F853/(X853/7)) &lt; 5, "Casual",
AND((F853/(X853/7)) &gt;= 5, (F853/(X853/7)) &lt; 15), "Regular",
(F853/(X853/7)) &gt;= 15, "Power"
)</f>
        <v>Regular</v>
      </c>
      <c r="AB853" s="3">
        <f t="shared" si="56"/>
        <v>0.66187050359712229</v>
      </c>
      <c r="AC853" t="str">
        <f t="shared" si="54"/>
        <v>Viewers</v>
      </c>
    </row>
    <row r="854" spans="1:29" x14ac:dyDescent="0.3">
      <c r="A854" s="6">
        <v>3083</v>
      </c>
      <c r="B854" s="7" t="s">
        <v>631</v>
      </c>
      <c r="C854" s="10">
        <v>45174</v>
      </c>
      <c r="D854" s="10">
        <v>45639</v>
      </c>
      <c r="E854" s="13">
        <v>7.99</v>
      </c>
      <c r="F854" s="6">
        <v>413</v>
      </c>
      <c r="G854" s="7" t="s">
        <v>51</v>
      </c>
      <c r="H854" s="6">
        <v>5</v>
      </c>
      <c r="I854" s="6">
        <v>5</v>
      </c>
      <c r="J854" s="7" t="b">
        <v>1</v>
      </c>
      <c r="K854" s="6">
        <v>895</v>
      </c>
      <c r="L854" s="6">
        <v>3</v>
      </c>
      <c r="M854" s="7" t="s">
        <v>27</v>
      </c>
      <c r="N854" s="7" t="s">
        <v>56</v>
      </c>
      <c r="O854" s="7" t="s">
        <v>37</v>
      </c>
      <c r="P854" s="6">
        <v>87</v>
      </c>
      <c r="Q854" s="11">
        <v>3.2</v>
      </c>
      <c r="R854" s="7" t="b">
        <v>1</v>
      </c>
      <c r="S854" s="7" t="s">
        <v>30</v>
      </c>
      <c r="T854" s="6">
        <v>1340</v>
      </c>
      <c r="U854" s="7" t="s">
        <v>65</v>
      </c>
      <c r="V854" s="12" t="s">
        <v>32</v>
      </c>
      <c r="W854" s="7" t="s">
        <v>33</v>
      </c>
      <c r="X854" s="6">
        <f t="shared" si="55"/>
        <v>465</v>
      </c>
      <c r="Y854" t="str" cm="1">
        <f t="array" ref="Y854">_xlfn.IFS(E854=7.99,"BASIC",E854=11.99,"STANDARD",E854=15.99,"PREMIUM")</f>
        <v>BASIC</v>
      </c>
      <c r="Z854" s="4">
        <f t="shared" si="53"/>
        <v>6.2172043010752684</v>
      </c>
      <c r="AA854" s="3" t="str" cm="1">
        <f t="array" ref="AA854">_xlfn.IFS(
(F854/(X854/7)) &lt; 5, "Casual",
AND((F854/(X854/7)) &gt;= 5, (F854/(X854/7)) &lt; 15), "Regular",
(F854/(X854/7)) &gt;= 15, "Power"
)</f>
        <v>Regular</v>
      </c>
      <c r="AB854" s="3">
        <f t="shared" si="56"/>
        <v>0.45991091314031179</v>
      </c>
      <c r="AC854" t="str">
        <f t="shared" si="54"/>
        <v>Viewers</v>
      </c>
    </row>
    <row r="855" spans="1:29" x14ac:dyDescent="0.3">
      <c r="A855" s="6">
        <v>9936</v>
      </c>
      <c r="B855" s="7" t="s">
        <v>147</v>
      </c>
      <c r="C855" s="10">
        <v>45057</v>
      </c>
      <c r="D855" s="10">
        <v>45643</v>
      </c>
      <c r="E855" s="13">
        <v>7.99</v>
      </c>
      <c r="F855" s="6">
        <v>484</v>
      </c>
      <c r="G855" s="7" t="s">
        <v>26</v>
      </c>
      <c r="H855" s="6">
        <v>1</v>
      </c>
      <c r="I855" s="6">
        <v>6</v>
      </c>
      <c r="J855" s="7" t="b">
        <v>1</v>
      </c>
      <c r="K855" s="6">
        <v>570</v>
      </c>
      <c r="L855" s="6">
        <v>18</v>
      </c>
      <c r="M855" s="7" t="s">
        <v>74</v>
      </c>
      <c r="N855" s="7" t="s">
        <v>56</v>
      </c>
      <c r="O855" s="7" t="s">
        <v>29</v>
      </c>
      <c r="P855" s="6">
        <v>5</v>
      </c>
      <c r="Q855" s="11">
        <v>4.5999999999999996</v>
      </c>
      <c r="R855" s="7" t="b">
        <v>1</v>
      </c>
      <c r="S855" s="7" t="s">
        <v>30</v>
      </c>
      <c r="T855" s="6">
        <v>1821</v>
      </c>
      <c r="U855" s="7" t="s">
        <v>31</v>
      </c>
      <c r="V855" s="12" t="s">
        <v>39</v>
      </c>
      <c r="W855" s="7" t="s">
        <v>60</v>
      </c>
      <c r="X855" s="6">
        <f t="shared" si="55"/>
        <v>586</v>
      </c>
      <c r="Y855" t="str" cm="1">
        <f t="array" ref="Y855">_xlfn.IFS(E855=7.99,"BASIC",E855=11.99,"STANDARD",E855=15.99,"PREMIUM")</f>
        <v>BASIC</v>
      </c>
      <c r="Z855" s="4">
        <f t="shared" si="53"/>
        <v>5.7815699658703075</v>
      </c>
      <c r="AA855" s="3" t="str" cm="1">
        <f t="array" ref="AA855">_xlfn.IFS(
(F855/(X855/7)) &lt; 5, "Casual",
AND((F855/(X855/7)) &gt;= 5, (F855/(X855/7)) &lt; 15), "Regular",
(F855/(X855/7)) &gt;= 15, "Power"
)</f>
        <v>Regular</v>
      </c>
      <c r="AB855" s="3">
        <f t="shared" si="56"/>
        <v>0.8231292517006803</v>
      </c>
      <c r="AC855" t="str">
        <f t="shared" si="54"/>
        <v>Viewers</v>
      </c>
    </row>
    <row r="856" spans="1:29" x14ac:dyDescent="0.3">
      <c r="A856" s="6">
        <v>2418</v>
      </c>
      <c r="B856" s="7" t="s">
        <v>186</v>
      </c>
      <c r="C856" s="10">
        <v>45539</v>
      </c>
      <c r="D856" s="10">
        <v>45615</v>
      </c>
      <c r="E856" s="13">
        <v>15.99</v>
      </c>
      <c r="F856" s="6">
        <v>227</v>
      </c>
      <c r="G856" s="7" t="s">
        <v>100</v>
      </c>
      <c r="H856" s="6">
        <v>1</v>
      </c>
      <c r="I856" s="6">
        <v>4</v>
      </c>
      <c r="J856" s="7" t="b">
        <v>1</v>
      </c>
      <c r="K856" s="6">
        <v>187</v>
      </c>
      <c r="L856" s="6">
        <v>48</v>
      </c>
      <c r="M856" s="7" t="s">
        <v>27</v>
      </c>
      <c r="N856" s="7" t="s">
        <v>56</v>
      </c>
      <c r="O856" s="7" t="s">
        <v>78</v>
      </c>
      <c r="P856" s="6">
        <v>6</v>
      </c>
      <c r="Q856" s="11">
        <v>3.4</v>
      </c>
      <c r="R856" s="7" t="b">
        <v>1</v>
      </c>
      <c r="S856" s="7" t="s">
        <v>30</v>
      </c>
      <c r="T856" s="6">
        <v>3020</v>
      </c>
      <c r="U856" s="7" t="s">
        <v>65</v>
      </c>
      <c r="V856" s="12" t="s">
        <v>69</v>
      </c>
      <c r="W856" s="7" t="s">
        <v>40</v>
      </c>
      <c r="X856" s="6">
        <f t="shared" si="55"/>
        <v>76</v>
      </c>
      <c r="Y856" t="str" cm="1">
        <f t="array" ref="Y856">_xlfn.IFS(E856=7.99,"BASIC",E856=11.99,"STANDARD",E856=15.99,"PREMIUM")</f>
        <v>PREMIUM</v>
      </c>
      <c r="Z856" s="4">
        <f t="shared" si="53"/>
        <v>20.907894736842103</v>
      </c>
      <c r="AA856" s="3" t="str" cm="1">
        <f t="array" ref="AA856">_xlfn.IFS(
(F856/(X856/7)) &lt; 5, "Casual",
AND((F856/(X856/7)) &gt;= 5, (F856/(X856/7)) &lt; 15), "Regular",
(F856/(X856/7)) &gt;= 15, "Power"
)</f>
        <v>Power</v>
      </c>
      <c r="AB856" s="3">
        <f t="shared" si="56"/>
        <v>0.96595744680851059</v>
      </c>
      <c r="AC856" t="str">
        <f t="shared" si="54"/>
        <v>Viewers</v>
      </c>
    </row>
    <row r="857" spans="1:29" x14ac:dyDescent="0.3">
      <c r="A857" s="6">
        <v>4089</v>
      </c>
      <c r="B857" s="7" t="s">
        <v>120</v>
      </c>
      <c r="C857" s="10">
        <v>45634</v>
      </c>
      <c r="D857" s="10">
        <v>45643</v>
      </c>
      <c r="E857" s="13">
        <v>11.99</v>
      </c>
      <c r="F857" s="6">
        <v>313</v>
      </c>
      <c r="G857" s="7" t="s">
        <v>48</v>
      </c>
      <c r="H857" s="6">
        <v>5</v>
      </c>
      <c r="I857" s="6">
        <v>6</v>
      </c>
      <c r="J857" s="7" t="b">
        <v>1</v>
      </c>
      <c r="K857" s="6">
        <v>900</v>
      </c>
      <c r="L857" s="6">
        <v>135</v>
      </c>
      <c r="M857" s="7" t="s">
        <v>43</v>
      </c>
      <c r="N857" s="7" t="s">
        <v>44</v>
      </c>
      <c r="O857" s="7" t="s">
        <v>78</v>
      </c>
      <c r="P857" s="6">
        <v>87</v>
      </c>
      <c r="Q857" s="11">
        <v>4.8</v>
      </c>
      <c r="R857" s="7" t="b">
        <v>0</v>
      </c>
      <c r="S857" s="7" t="s">
        <v>30</v>
      </c>
      <c r="T857" s="6">
        <v>1243</v>
      </c>
      <c r="U857" s="7" t="s">
        <v>31</v>
      </c>
      <c r="V857" s="12" t="s">
        <v>79</v>
      </c>
      <c r="W857" s="7" t="s">
        <v>93</v>
      </c>
      <c r="X857" s="6">
        <f t="shared" si="55"/>
        <v>9</v>
      </c>
      <c r="Y857" t="str" cm="1">
        <f t="array" ref="Y857">_xlfn.IFS(E857=7.99,"BASIC",E857=11.99,"STANDARD",E857=15.99,"PREMIUM")</f>
        <v>STANDARD</v>
      </c>
      <c r="Z857" s="4">
        <f t="shared" si="53"/>
        <v>243.44444444444443</v>
      </c>
      <c r="AA857" s="3" t="str" cm="1">
        <f t="array" ref="AA857">_xlfn.IFS(
(F857/(X857/7)) &lt; 5, "Casual",
AND((F857/(X857/7)) &gt;= 5, (F857/(X857/7)) &lt; 15), "Regular",
(F857/(X857/7)) &gt;= 15, "Power"
)</f>
        <v>Power</v>
      </c>
      <c r="AB857" s="3">
        <f t="shared" si="56"/>
        <v>0.30241545893719807</v>
      </c>
      <c r="AC857" t="str">
        <f t="shared" si="54"/>
        <v>Viewers</v>
      </c>
    </row>
    <row r="858" spans="1:29" x14ac:dyDescent="0.3">
      <c r="A858" s="6">
        <v>8876</v>
      </c>
      <c r="B858" s="7" t="s">
        <v>692</v>
      </c>
      <c r="C858" s="10">
        <v>45033</v>
      </c>
      <c r="D858" s="10">
        <v>45619</v>
      </c>
      <c r="E858" s="13">
        <v>11.99</v>
      </c>
      <c r="F858" s="6">
        <v>491</v>
      </c>
      <c r="G858" s="7" t="s">
        <v>63</v>
      </c>
      <c r="H858" s="6">
        <v>2</v>
      </c>
      <c r="I858" s="6">
        <v>3</v>
      </c>
      <c r="J858" s="7" t="b">
        <v>1</v>
      </c>
      <c r="K858" s="6">
        <v>194</v>
      </c>
      <c r="L858" s="6">
        <v>187</v>
      </c>
      <c r="M858" s="7" t="s">
        <v>55</v>
      </c>
      <c r="N858" s="7" t="s">
        <v>28</v>
      </c>
      <c r="O858" s="7" t="s">
        <v>78</v>
      </c>
      <c r="P858" s="6">
        <v>44</v>
      </c>
      <c r="Q858" s="11">
        <v>4.4000000000000004</v>
      </c>
      <c r="R858" s="7" t="b">
        <v>1</v>
      </c>
      <c r="S858" s="7" t="s">
        <v>30</v>
      </c>
      <c r="T858" s="6">
        <v>540</v>
      </c>
      <c r="U858" s="7" t="s">
        <v>31</v>
      </c>
      <c r="V858" s="12" t="s">
        <v>39</v>
      </c>
      <c r="W858" s="7" t="s">
        <v>93</v>
      </c>
      <c r="X858" s="6">
        <f t="shared" si="55"/>
        <v>586</v>
      </c>
      <c r="Y858" t="str" cm="1">
        <f t="array" ref="Y858">_xlfn.IFS(E858=7.99,"BASIC",E858=11.99,"STANDARD",E858=15.99,"PREMIUM")</f>
        <v>STANDARD</v>
      </c>
      <c r="Z858" s="4">
        <f t="shared" si="53"/>
        <v>5.865187713310581</v>
      </c>
      <c r="AA858" s="3" t="str" cm="1">
        <f t="array" ref="AA858">_xlfn.IFS(
(F858/(X858/7)) &lt; 5, "Casual",
AND((F858/(X858/7)) &gt;= 5, (F858/(X858/7)) &lt; 15), "Regular",
(F858/(X858/7)) &gt;= 15, "Power"
)</f>
        <v>Regular</v>
      </c>
      <c r="AB858" s="3">
        <f t="shared" si="56"/>
        <v>1.2887139107611549</v>
      </c>
      <c r="AC858" t="str">
        <f t="shared" si="54"/>
        <v>Viewers</v>
      </c>
    </row>
    <row r="859" spans="1:29" x14ac:dyDescent="0.3">
      <c r="A859" s="6">
        <v>3959</v>
      </c>
      <c r="B859" s="7" t="s">
        <v>373</v>
      </c>
      <c r="C859" s="10">
        <v>45286</v>
      </c>
      <c r="D859" s="10">
        <v>45642</v>
      </c>
      <c r="E859" s="13">
        <v>15.99</v>
      </c>
      <c r="F859" s="6">
        <v>50</v>
      </c>
      <c r="G859" s="7" t="s">
        <v>48</v>
      </c>
      <c r="H859" s="6">
        <v>4</v>
      </c>
      <c r="I859" s="6">
        <v>2</v>
      </c>
      <c r="J859" s="7" t="b">
        <v>1</v>
      </c>
      <c r="K859" s="6">
        <v>155</v>
      </c>
      <c r="L859" s="6">
        <v>115</v>
      </c>
      <c r="M859" s="7" t="s">
        <v>27</v>
      </c>
      <c r="N859" s="7" t="s">
        <v>44</v>
      </c>
      <c r="O859" s="7" t="s">
        <v>37</v>
      </c>
      <c r="P859" s="6">
        <v>92</v>
      </c>
      <c r="Q859" s="11">
        <v>4.3</v>
      </c>
      <c r="R859" s="7" t="b">
        <v>0</v>
      </c>
      <c r="S859" s="7" t="s">
        <v>30</v>
      </c>
      <c r="T859" s="6">
        <v>2583</v>
      </c>
      <c r="U859" s="7" t="s">
        <v>38</v>
      </c>
      <c r="V859" s="12" t="s">
        <v>69</v>
      </c>
      <c r="W859" s="7" t="s">
        <v>93</v>
      </c>
      <c r="X859" s="6">
        <f t="shared" si="55"/>
        <v>356</v>
      </c>
      <c r="Y859" t="str" cm="1">
        <f t="array" ref="Y859">_xlfn.IFS(E859=7.99,"BASIC",E859=11.99,"STANDARD",E859=15.99,"PREMIUM")</f>
        <v>PREMIUM</v>
      </c>
      <c r="Z859" s="4">
        <f t="shared" si="53"/>
        <v>0.98314606741573041</v>
      </c>
      <c r="AA859" s="3" t="str" cm="1">
        <f t="array" ref="AA859">_xlfn.IFS(
(F859/(X859/7)) &lt; 5, "Casual",
AND((F859/(X859/7)) &gt;= 5, (F859/(X859/7)) &lt; 15), "Regular",
(F859/(X859/7)) &gt;= 15, "Power"
)</f>
        <v>Casual</v>
      </c>
      <c r="AB859" s="3">
        <f t="shared" si="56"/>
        <v>0.18518518518518517</v>
      </c>
      <c r="AC859" t="str">
        <f t="shared" si="54"/>
        <v>Viewers</v>
      </c>
    </row>
    <row r="860" spans="1:29" x14ac:dyDescent="0.3">
      <c r="A860" s="6">
        <v>2011</v>
      </c>
      <c r="B860" s="7" t="s">
        <v>693</v>
      </c>
      <c r="C860" s="10">
        <v>45060</v>
      </c>
      <c r="D860" s="10">
        <v>45630</v>
      </c>
      <c r="E860" s="13">
        <v>7.99</v>
      </c>
      <c r="F860" s="6">
        <v>73</v>
      </c>
      <c r="G860" s="7" t="s">
        <v>100</v>
      </c>
      <c r="H860" s="6">
        <v>2</v>
      </c>
      <c r="I860" s="6">
        <v>1</v>
      </c>
      <c r="J860" s="7" t="b">
        <v>1</v>
      </c>
      <c r="K860" s="6">
        <v>184</v>
      </c>
      <c r="L860" s="6">
        <v>172</v>
      </c>
      <c r="M860" s="7" t="s">
        <v>55</v>
      </c>
      <c r="N860" s="7" t="s">
        <v>75</v>
      </c>
      <c r="O860" s="7" t="s">
        <v>64</v>
      </c>
      <c r="P860" s="6">
        <v>41</v>
      </c>
      <c r="Q860" s="11">
        <v>4.8</v>
      </c>
      <c r="R860" s="7" t="b">
        <v>0</v>
      </c>
      <c r="S860" s="7" t="s">
        <v>30</v>
      </c>
      <c r="T860" s="6">
        <v>3463</v>
      </c>
      <c r="U860" s="7" t="s">
        <v>31</v>
      </c>
      <c r="V860" s="12" t="s">
        <v>32</v>
      </c>
      <c r="W860" s="7" t="s">
        <v>60</v>
      </c>
      <c r="X860" s="6">
        <f t="shared" si="55"/>
        <v>570</v>
      </c>
      <c r="Y860" t="str" cm="1">
        <f t="array" ref="Y860">_xlfn.IFS(E860=7.99,"BASIC",E860=11.99,"STANDARD",E860=15.99,"PREMIUM")</f>
        <v>BASIC</v>
      </c>
      <c r="Z860" s="4">
        <f t="shared" si="53"/>
        <v>0.89649122807017545</v>
      </c>
      <c r="AA860" s="3" t="str" cm="1">
        <f t="array" ref="AA860">_xlfn.IFS(
(F860/(X860/7)) &lt; 5, "Casual",
AND((F860/(X860/7)) &gt;= 5, (F860/(X860/7)) &lt; 15), "Regular",
(F860/(X860/7)) &gt;= 15, "Power"
)</f>
        <v>Casual</v>
      </c>
      <c r="AB860" s="3">
        <f t="shared" si="56"/>
        <v>0.2050561797752809</v>
      </c>
      <c r="AC860" t="str">
        <f t="shared" si="54"/>
        <v>Viewers</v>
      </c>
    </row>
    <row r="861" spans="1:29" x14ac:dyDescent="0.3">
      <c r="A861" s="6">
        <v>7896</v>
      </c>
      <c r="B861" s="7" t="s">
        <v>157</v>
      </c>
      <c r="C861" s="10">
        <v>45462</v>
      </c>
      <c r="D861" s="10">
        <v>45625</v>
      </c>
      <c r="E861" s="13">
        <v>11.99</v>
      </c>
      <c r="F861" s="6">
        <v>139</v>
      </c>
      <c r="G861" s="7" t="s">
        <v>48</v>
      </c>
      <c r="H861" s="6">
        <v>4</v>
      </c>
      <c r="I861" s="6">
        <v>5</v>
      </c>
      <c r="J861" s="7" t="b">
        <v>1</v>
      </c>
      <c r="K861" s="6">
        <v>539</v>
      </c>
      <c r="L861" s="6">
        <v>152</v>
      </c>
      <c r="M861" s="7" t="s">
        <v>43</v>
      </c>
      <c r="N861" s="7" t="s">
        <v>44</v>
      </c>
      <c r="O861" s="7" t="s">
        <v>37</v>
      </c>
      <c r="P861" s="6">
        <v>48</v>
      </c>
      <c r="Q861" s="11">
        <v>3.8</v>
      </c>
      <c r="R861" s="7" t="b">
        <v>1</v>
      </c>
      <c r="S861" s="7" t="s">
        <v>30</v>
      </c>
      <c r="T861" s="6">
        <v>4130</v>
      </c>
      <c r="U861" s="7" t="s">
        <v>38</v>
      </c>
      <c r="V861" s="12" t="s">
        <v>32</v>
      </c>
      <c r="W861" s="7" t="s">
        <v>93</v>
      </c>
      <c r="X861" s="6">
        <f t="shared" si="55"/>
        <v>163</v>
      </c>
      <c r="Y861" t="str" cm="1">
        <f t="array" ref="Y861">_xlfn.IFS(E861=7.99,"BASIC",E861=11.99,"STANDARD",E861=15.99,"PREMIUM")</f>
        <v>STANDARD</v>
      </c>
      <c r="Z861" s="4">
        <f t="shared" si="53"/>
        <v>5.9693251533742338</v>
      </c>
      <c r="AA861" s="3" t="str" cm="1">
        <f t="array" ref="AA861">_xlfn.IFS(
(F861/(X861/7)) &lt; 5, "Casual",
AND((F861/(X861/7)) &gt;= 5, (F861/(X861/7)) &lt; 15), "Regular",
(F861/(X861/7)) &gt;= 15, "Power"
)</f>
        <v>Regular</v>
      </c>
      <c r="AB861" s="3">
        <f t="shared" si="56"/>
        <v>0.20115774240231549</v>
      </c>
      <c r="AC861" t="str">
        <f t="shared" si="54"/>
        <v>Viewers</v>
      </c>
    </row>
    <row r="862" spans="1:29" x14ac:dyDescent="0.3">
      <c r="A862" s="6">
        <v>5495</v>
      </c>
      <c r="B862" s="7" t="s">
        <v>695</v>
      </c>
      <c r="C862" s="10">
        <v>45308</v>
      </c>
      <c r="D862" s="10">
        <v>45625</v>
      </c>
      <c r="E862" s="13">
        <v>11.99</v>
      </c>
      <c r="F862" s="6">
        <v>327</v>
      </c>
      <c r="G862" s="7" t="s">
        <v>51</v>
      </c>
      <c r="H862" s="6">
        <v>2</v>
      </c>
      <c r="I862" s="6">
        <v>6</v>
      </c>
      <c r="J862" s="7" t="b">
        <v>1</v>
      </c>
      <c r="K862" s="6">
        <v>182</v>
      </c>
      <c r="L862" s="6">
        <v>14</v>
      </c>
      <c r="M862" s="7" t="s">
        <v>27</v>
      </c>
      <c r="N862" s="7" t="s">
        <v>44</v>
      </c>
      <c r="O862" s="7" t="s">
        <v>78</v>
      </c>
      <c r="P862" s="6">
        <v>90</v>
      </c>
      <c r="Q862" s="11">
        <v>3.4</v>
      </c>
      <c r="R862" s="7" t="b">
        <v>0</v>
      </c>
      <c r="S862" s="7" t="s">
        <v>30</v>
      </c>
      <c r="T862" s="6">
        <v>3918</v>
      </c>
      <c r="U862" s="7" t="s">
        <v>65</v>
      </c>
      <c r="V862" s="12" t="s">
        <v>59</v>
      </c>
      <c r="W862" s="7" t="s">
        <v>33</v>
      </c>
      <c r="X862" s="6">
        <f t="shared" si="55"/>
        <v>317</v>
      </c>
      <c r="Y862" t="str" cm="1">
        <f t="array" ref="Y862">_xlfn.IFS(E862=7.99,"BASIC",E862=11.99,"STANDARD",E862=15.99,"PREMIUM")</f>
        <v>STANDARD</v>
      </c>
      <c r="Z862" s="4">
        <f t="shared" si="53"/>
        <v>7.2208201892744484</v>
      </c>
      <c r="AA862" s="3" t="str" cm="1">
        <f t="array" ref="AA862">_xlfn.IFS(
(F862/(X862/7)) &lt; 5, "Casual",
AND((F862/(X862/7)) &gt;= 5, (F862/(X862/7)) &lt; 15), "Regular",
(F862/(X862/7)) &gt;= 15, "Power"
)</f>
        <v>Regular</v>
      </c>
      <c r="AB862" s="3">
        <f t="shared" si="56"/>
        <v>1.6683673469387754</v>
      </c>
      <c r="AC862" t="str">
        <f t="shared" si="54"/>
        <v>Viewers</v>
      </c>
    </row>
    <row r="863" spans="1:29" x14ac:dyDescent="0.3">
      <c r="A863" s="6">
        <v>6219</v>
      </c>
      <c r="B863" s="7" t="s">
        <v>318</v>
      </c>
      <c r="C863" s="10">
        <v>45495</v>
      </c>
      <c r="D863" s="10">
        <v>45642</v>
      </c>
      <c r="E863" s="13">
        <v>11.99</v>
      </c>
      <c r="F863" s="6">
        <v>206</v>
      </c>
      <c r="G863" s="7" t="s">
        <v>36</v>
      </c>
      <c r="H863" s="6">
        <v>4</v>
      </c>
      <c r="I863" s="6">
        <v>1</v>
      </c>
      <c r="J863" s="7" t="b">
        <v>0</v>
      </c>
      <c r="K863" s="6">
        <v>981</v>
      </c>
      <c r="L863" s="6">
        <v>60</v>
      </c>
      <c r="M863" s="7" t="s">
        <v>49</v>
      </c>
      <c r="N863" s="7" t="s">
        <v>28</v>
      </c>
      <c r="O863" s="7" t="s">
        <v>64</v>
      </c>
      <c r="P863" s="6">
        <v>41</v>
      </c>
      <c r="Q863" s="11">
        <v>4.4000000000000004</v>
      </c>
      <c r="R863" s="7" t="b">
        <v>1</v>
      </c>
      <c r="S863" s="7" t="s">
        <v>30</v>
      </c>
      <c r="T863" s="6">
        <v>4264</v>
      </c>
      <c r="U863" s="7" t="s">
        <v>38</v>
      </c>
      <c r="V863" s="12" t="s">
        <v>39</v>
      </c>
      <c r="W863" s="7" t="s">
        <v>33</v>
      </c>
      <c r="X863" s="6">
        <f t="shared" si="55"/>
        <v>147</v>
      </c>
      <c r="Y863" t="str" cm="1">
        <f t="array" ref="Y863">_xlfn.IFS(E863=7.99,"BASIC",E863=11.99,"STANDARD",E863=15.99,"PREMIUM")</f>
        <v>STANDARD</v>
      </c>
      <c r="Z863" s="4">
        <f t="shared" si="53"/>
        <v>9.8095238095238102</v>
      </c>
      <c r="AA863" s="3" t="str" cm="1">
        <f t="array" ref="AA863">_xlfn.IFS(
(F863/(X863/7)) &lt; 5, "Casual",
AND((F863/(X863/7)) &gt;= 5, (F863/(X863/7)) &lt; 15), "Regular",
(F863/(X863/7)) &gt;= 15, "Power"
)</f>
        <v>Regular</v>
      </c>
      <c r="AB863" s="3">
        <f t="shared" si="56"/>
        <v>0.19788664745437079</v>
      </c>
      <c r="AC863" t="str">
        <f t="shared" si="54"/>
        <v>Viewers</v>
      </c>
    </row>
    <row r="864" spans="1:29" x14ac:dyDescent="0.3">
      <c r="A864" s="6">
        <v>4458</v>
      </c>
      <c r="B864" s="7" t="s">
        <v>696</v>
      </c>
      <c r="C864" s="10">
        <v>45225</v>
      </c>
      <c r="D864" s="10">
        <v>45616</v>
      </c>
      <c r="E864" s="13">
        <v>15.99</v>
      </c>
      <c r="F864" s="6">
        <v>23</v>
      </c>
      <c r="G864" s="7" t="s">
        <v>48</v>
      </c>
      <c r="H864" s="6">
        <v>3</v>
      </c>
      <c r="I864" s="6">
        <v>3</v>
      </c>
      <c r="J864" s="7" t="b">
        <v>1</v>
      </c>
      <c r="K864" s="6">
        <v>489</v>
      </c>
      <c r="L864" s="6">
        <v>7</v>
      </c>
      <c r="M864" s="7" t="s">
        <v>55</v>
      </c>
      <c r="N864" s="7" t="s">
        <v>44</v>
      </c>
      <c r="O864" s="7" t="s">
        <v>45</v>
      </c>
      <c r="P864" s="6">
        <v>54</v>
      </c>
      <c r="Q864" s="11">
        <v>4.5</v>
      </c>
      <c r="R864" s="7" t="b">
        <v>1</v>
      </c>
      <c r="S864" s="7" t="s">
        <v>30</v>
      </c>
      <c r="T864" s="6">
        <v>1485</v>
      </c>
      <c r="U864" s="7" t="s">
        <v>76</v>
      </c>
      <c r="V864" s="12" t="s">
        <v>59</v>
      </c>
      <c r="W864" s="7" t="s">
        <v>40</v>
      </c>
      <c r="X864" s="6">
        <f t="shared" si="55"/>
        <v>391</v>
      </c>
      <c r="Y864" t="str" cm="1">
        <f t="array" ref="Y864">_xlfn.IFS(E864=7.99,"BASIC",E864=11.99,"STANDARD",E864=15.99,"PREMIUM")</f>
        <v>PREMIUM</v>
      </c>
      <c r="Z864" s="4">
        <f t="shared" si="53"/>
        <v>0.41176470588235298</v>
      </c>
      <c r="AA864" s="3" t="str" cm="1">
        <f t="array" ref="AA864">_xlfn.IFS(
(F864/(X864/7)) &lt; 5, "Casual",
AND((F864/(X864/7)) &gt;= 5, (F864/(X864/7)) &lt; 15), "Regular",
(F864/(X864/7)) &gt;= 15, "Power"
)</f>
        <v>Casual</v>
      </c>
      <c r="AB864" s="3">
        <f t="shared" si="56"/>
        <v>4.6370967741935484E-2</v>
      </c>
      <c r="AC864" t="str">
        <f t="shared" si="54"/>
        <v xml:space="preserve"> Browsers</v>
      </c>
    </row>
    <row r="865" spans="1:30" x14ac:dyDescent="0.3">
      <c r="A865" s="6">
        <v>4115</v>
      </c>
      <c r="B865" s="7" t="s">
        <v>698</v>
      </c>
      <c r="C865" s="10">
        <v>45620</v>
      </c>
      <c r="D865" s="10">
        <v>45650</v>
      </c>
      <c r="E865" s="13">
        <v>15.99</v>
      </c>
      <c r="F865" s="6">
        <v>158</v>
      </c>
      <c r="G865" s="7" t="s">
        <v>73</v>
      </c>
      <c r="H865" s="6">
        <v>1</v>
      </c>
      <c r="I865" s="6">
        <v>5</v>
      </c>
      <c r="J865" s="7" t="b">
        <v>1</v>
      </c>
      <c r="K865" s="6">
        <v>603</v>
      </c>
      <c r="L865" s="6">
        <v>72</v>
      </c>
      <c r="M865" s="7" t="s">
        <v>55</v>
      </c>
      <c r="N865" s="7" t="s">
        <v>56</v>
      </c>
      <c r="O865" s="7" t="s">
        <v>29</v>
      </c>
      <c r="P865" s="6">
        <v>88</v>
      </c>
      <c r="Q865" s="11">
        <v>3.3</v>
      </c>
      <c r="R865" s="7" t="b">
        <v>0</v>
      </c>
      <c r="S865" s="7" t="s">
        <v>30</v>
      </c>
      <c r="T865" s="6">
        <v>3508</v>
      </c>
      <c r="U865" s="7" t="s">
        <v>58</v>
      </c>
      <c r="V865" s="12" t="s">
        <v>79</v>
      </c>
      <c r="W865" s="7" t="s">
        <v>93</v>
      </c>
      <c r="X865" s="6">
        <f t="shared" si="55"/>
        <v>30</v>
      </c>
      <c r="Y865" t="str" cm="1">
        <f t="array" ref="Y865">_xlfn.IFS(E865=7.99,"BASIC",E865=11.99,"STANDARD",E865=15.99,"PREMIUM")</f>
        <v>PREMIUM</v>
      </c>
      <c r="Z865" s="4">
        <f t="shared" si="53"/>
        <v>36.866666666666667</v>
      </c>
      <c r="AA865" s="3" t="str" cm="1">
        <f t="array" ref="AA865">_xlfn.IFS(
(F865/(X865/7)) &lt; 5, "Casual",
AND((F865/(X865/7)) &gt;= 5, (F865/(X865/7)) &lt; 15), "Regular",
(F865/(X865/7)) &gt;= 15, "Power"
)</f>
        <v>Power</v>
      </c>
      <c r="AB865" s="3">
        <f t="shared" si="56"/>
        <v>0.23407407407407407</v>
      </c>
      <c r="AC865" t="str">
        <f t="shared" si="54"/>
        <v>Viewers</v>
      </c>
      <c r="AD865" t="s">
        <v>783</v>
      </c>
    </row>
    <row r="866" spans="1:30" x14ac:dyDescent="0.3">
      <c r="A866" s="6">
        <v>6586</v>
      </c>
      <c r="B866" s="7" t="s">
        <v>677</v>
      </c>
      <c r="C866" s="10">
        <v>44952</v>
      </c>
      <c r="D866" s="10">
        <v>45641</v>
      </c>
      <c r="E866" s="13">
        <v>15.99</v>
      </c>
      <c r="F866" s="6">
        <v>459</v>
      </c>
      <c r="G866" s="7" t="s">
        <v>73</v>
      </c>
      <c r="H866" s="6">
        <v>2</v>
      </c>
      <c r="I866" s="6">
        <v>1</v>
      </c>
      <c r="J866" s="7" t="b">
        <v>0</v>
      </c>
      <c r="K866" s="6">
        <v>445</v>
      </c>
      <c r="L866" s="6">
        <v>153</v>
      </c>
      <c r="M866" s="7" t="s">
        <v>92</v>
      </c>
      <c r="N866" s="7" t="s">
        <v>28</v>
      </c>
      <c r="O866" s="7" t="s">
        <v>29</v>
      </c>
      <c r="P866" s="6">
        <v>13</v>
      </c>
      <c r="Q866" s="11">
        <v>4.2</v>
      </c>
      <c r="R866" s="7" t="b">
        <v>0</v>
      </c>
      <c r="S866" s="7" t="s">
        <v>30</v>
      </c>
      <c r="T866" s="6">
        <v>3433</v>
      </c>
      <c r="U866" s="7" t="s">
        <v>38</v>
      </c>
      <c r="V866" s="12" t="s">
        <v>69</v>
      </c>
      <c r="W866" s="7" t="s">
        <v>40</v>
      </c>
      <c r="X866" s="6">
        <f t="shared" si="55"/>
        <v>689</v>
      </c>
      <c r="Y866" t="str" cm="1">
        <f t="array" ref="Y866">_xlfn.IFS(E866=7.99,"BASIC",E866=11.99,"STANDARD",E866=15.99,"PREMIUM")</f>
        <v>PREMIUM</v>
      </c>
      <c r="Z866" s="4">
        <f t="shared" si="53"/>
        <v>4.6632801161103048</v>
      </c>
      <c r="AA866" s="3" t="str" cm="1">
        <f t="array" ref="AA866">_xlfn.IFS(
(F866/(X866/7)) &lt; 5, "Casual",
AND((F866/(X866/7)) &gt;= 5, (F866/(X866/7)) &lt; 15), "Regular",
(F866/(X866/7)) &gt;= 15, "Power"
)</f>
        <v>Casual</v>
      </c>
      <c r="AB866" s="3">
        <f t="shared" si="56"/>
        <v>0.76755852842809369</v>
      </c>
      <c r="AC866" t="str">
        <f t="shared" si="54"/>
        <v>Viewers</v>
      </c>
    </row>
    <row r="867" spans="1:30" x14ac:dyDescent="0.3">
      <c r="A867" s="6">
        <v>3985</v>
      </c>
      <c r="B867" s="7" t="s">
        <v>290</v>
      </c>
      <c r="C867" s="10">
        <v>45455</v>
      </c>
      <c r="D867" s="10">
        <v>45638</v>
      </c>
      <c r="E867" s="13">
        <v>15.99</v>
      </c>
      <c r="F867" s="6">
        <v>30</v>
      </c>
      <c r="G867" s="7" t="s">
        <v>51</v>
      </c>
      <c r="H867" s="6">
        <v>4</v>
      </c>
      <c r="I867" s="6">
        <v>6</v>
      </c>
      <c r="J867" s="7" t="b">
        <v>0</v>
      </c>
      <c r="K867" s="6">
        <v>233</v>
      </c>
      <c r="L867" s="6">
        <v>10</v>
      </c>
      <c r="M867" s="7" t="s">
        <v>74</v>
      </c>
      <c r="N867" s="7" t="s">
        <v>75</v>
      </c>
      <c r="O867" s="7" t="s">
        <v>57</v>
      </c>
      <c r="P867" s="6">
        <v>71</v>
      </c>
      <c r="Q867" s="11">
        <v>4.5999999999999996</v>
      </c>
      <c r="R867" s="7" t="b">
        <v>0</v>
      </c>
      <c r="S867" s="7" t="s">
        <v>30</v>
      </c>
      <c r="T867" s="6">
        <v>3610</v>
      </c>
      <c r="U867" s="7" t="s">
        <v>31</v>
      </c>
      <c r="V867" s="12" t="s">
        <v>69</v>
      </c>
      <c r="W867" s="7" t="s">
        <v>33</v>
      </c>
      <c r="X867" s="6">
        <f t="shared" si="55"/>
        <v>183</v>
      </c>
      <c r="Y867" t="str" cm="1">
        <f t="array" ref="Y867">_xlfn.IFS(E867=7.99,"BASIC",E867=11.99,"STANDARD",E867=15.99,"PREMIUM")</f>
        <v>PREMIUM</v>
      </c>
      <c r="Z867" s="4">
        <f t="shared" si="53"/>
        <v>1.1475409836065573</v>
      </c>
      <c r="AA867" s="3" t="str" cm="1">
        <f t="array" ref="AA867">_xlfn.IFS(
(F867/(X867/7)) &lt; 5, "Casual",
AND((F867/(X867/7)) &gt;= 5, (F867/(X867/7)) &lt; 15), "Regular",
(F867/(X867/7)) &gt;= 15, "Power"
)</f>
        <v>Casual</v>
      </c>
      <c r="AB867" s="3">
        <f t="shared" si="56"/>
        <v>0.12345679012345678</v>
      </c>
      <c r="AC867" t="str">
        <f t="shared" si="54"/>
        <v xml:space="preserve"> Browsers</v>
      </c>
    </row>
    <row r="868" spans="1:30" x14ac:dyDescent="0.3">
      <c r="A868" s="6">
        <v>8501</v>
      </c>
      <c r="B868" s="7" t="s">
        <v>106</v>
      </c>
      <c r="C868" s="10">
        <v>45390</v>
      </c>
      <c r="D868" s="10">
        <v>45615</v>
      </c>
      <c r="E868" s="13">
        <v>11.99</v>
      </c>
      <c r="F868" s="6">
        <v>42</v>
      </c>
      <c r="G868" s="7" t="s">
        <v>51</v>
      </c>
      <c r="H868" s="6">
        <v>5</v>
      </c>
      <c r="I868" s="6">
        <v>2</v>
      </c>
      <c r="J868" s="7" t="b">
        <v>1</v>
      </c>
      <c r="K868" s="6">
        <v>464</v>
      </c>
      <c r="L868" s="6">
        <v>171</v>
      </c>
      <c r="M868" s="7" t="s">
        <v>27</v>
      </c>
      <c r="N868" s="7" t="s">
        <v>75</v>
      </c>
      <c r="O868" s="7" t="s">
        <v>64</v>
      </c>
      <c r="P868" s="6">
        <v>88</v>
      </c>
      <c r="Q868" s="11">
        <v>4.5999999999999996</v>
      </c>
      <c r="R868" s="7" t="b">
        <v>1</v>
      </c>
      <c r="S868" s="7" t="s">
        <v>30</v>
      </c>
      <c r="T868" s="6">
        <v>3307</v>
      </c>
      <c r="U868" s="7" t="s">
        <v>58</v>
      </c>
      <c r="V868" s="12" t="s">
        <v>59</v>
      </c>
      <c r="W868" s="7" t="s">
        <v>60</v>
      </c>
      <c r="X868" s="6">
        <f t="shared" si="55"/>
        <v>225</v>
      </c>
      <c r="Y868" t="str" cm="1">
        <f t="array" ref="Y868">_xlfn.IFS(E868=7.99,"BASIC",E868=11.99,"STANDARD",E868=15.99,"PREMIUM")</f>
        <v>STANDARD</v>
      </c>
      <c r="Z868" s="4">
        <f t="shared" si="53"/>
        <v>1.3066666666666666</v>
      </c>
      <c r="AA868" s="3" t="str" cm="1">
        <f t="array" ref="AA868">_xlfn.IFS(
(F868/(X868/7)) &lt; 5, "Casual",
AND((F868/(X868/7)) &gt;= 5, (F868/(X868/7)) &lt; 15), "Regular",
(F868/(X868/7)) &gt;= 15, "Power"
)</f>
        <v>Casual</v>
      </c>
      <c r="AB868" s="3">
        <f t="shared" si="56"/>
        <v>6.6141732283464566E-2</v>
      </c>
      <c r="AC868" t="str">
        <f t="shared" si="54"/>
        <v xml:space="preserve"> Browsers</v>
      </c>
    </row>
    <row r="869" spans="1:30" x14ac:dyDescent="0.3">
      <c r="A869" s="6">
        <v>4048</v>
      </c>
      <c r="B869" s="7" t="s">
        <v>186</v>
      </c>
      <c r="C869" s="10">
        <v>45445</v>
      </c>
      <c r="D869" s="10">
        <v>45643</v>
      </c>
      <c r="E869" s="13">
        <v>11.99</v>
      </c>
      <c r="F869" s="6">
        <v>242</v>
      </c>
      <c r="G869" s="7" t="s">
        <v>63</v>
      </c>
      <c r="H869" s="6">
        <v>3</v>
      </c>
      <c r="I869" s="6">
        <v>1</v>
      </c>
      <c r="J869" s="7" t="b">
        <v>0</v>
      </c>
      <c r="K869" s="6">
        <v>273</v>
      </c>
      <c r="L869" s="6">
        <v>96</v>
      </c>
      <c r="M869" s="7" t="s">
        <v>74</v>
      </c>
      <c r="N869" s="7" t="s">
        <v>56</v>
      </c>
      <c r="O869" s="7" t="s">
        <v>78</v>
      </c>
      <c r="P869" s="6">
        <v>34</v>
      </c>
      <c r="Q869" s="11">
        <v>4.9000000000000004</v>
      </c>
      <c r="R869" s="7" t="b">
        <v>1</v>
      </c>
      <c r="S869" s="7" t="s">
        <v>30</v>
      </c>
      <c r="T869" s="6">
        <v>868</v>
      </c>
      <c r="U869" s="7" t="s">
        <v>58</v>
      </c>
      <c r="V869" s="12" t="s">
        <v>59</v>
      </c>
      <c r="W869" s="7" t="s">
        <v>60</v>
      </c>
      <c r="X869" s="6">
        <f t="shared" si="55"/>
        <v>198</v>
      </c>
      <c r="Y869" t="str" cm="1">
        <f t="array" ref="Y869">_xlfn.IFS(E869=7.99,"BASIC",E869=11.99,"STANDARD",E869=15.99,"PREMIUM")</f>
        <v>STANDARD</v>
      </c>
      <c r="Z869" s="4">
        <f t="shared" si="53"/>
        <v>8.5555555555555554</v>
      </c>
      <c r="AA869" s="3" t="str" cm="1">
        <f t="array" ref="AA869">_xlfn.IFS(
(F869/(X869/7)) &lt; 5, "Casual",
AND((F869/(X869/7)) &gt;= 5, (F869/(X869/7)) &lt; 15), "Regular",
(F869/(X869/7)) &gt;= 15, "Power"
)</f>
        <v>Regular</v>
      </c>
      <c r="AB869" s="3">
        <f t="shared" si="56"/>
        <v>0.65582655826558267</v>
      </c>
      <c r="AC869" t="str">
        <f t="shared" si="54"/>
        <v>Viewers</v>
      </c>
    </row>
    <row r="870" spans="1:30" x14ac:dyDescent="0.3">
      <c r="A870" s="6">
        <v>4466</v>
      </c>
      <c r="B870" s="7" t="s">
        <v>138</v>
      </c>
      <c r="C870" s="10">
        <v>45571</v>
      </c>
      <c r="D870" s="10">
        <v>45623</v>
      </c>
      <c r="E870" s="13">
        <v>11.99</v>
      </c>
      <c r="F870" s="6">
        <v>25</v>
      </c>
      <c r="G870" s="7" t="s">
        <v>36</v>
      </c>
      <c r="H870" s="6">
        <v>5</v>
      </c>
      <c r="I870" s="6">
        <v>2</v>
      </c>
      <c r="J870" s="7" t="b">
        <v>0</v>
      </c>
      <c r="K870" s="6">
        <v>162</v>
      </c>
      <c r="L870" s="6">
        <v>147</v>
      </c>
      <c r="M870" s="7" t="s">
        <v>74</v>
      </c>
      <c r="N870" s="7" t="s">
        <v>44</v>
      </c>
      <c r="O870" s="7" t="s">
        <v>64</v>
      </c>
      <c r="P870" s="6">
        <v>82</v>
      </c>
      <c r="Q870" s="11">
        <v>4.3</v>
      </c>
      <c r="R870" s="7" t="b">
        <v>0</v>
      </c>
      <c r="S870" s="7" t="s">
        <v>30</v>
      </c>
      <c r="T870" s="6">
        <v>4358</v>
      </c>
      <c r="U870" s="7" t="s">
        <v>58</v>
      </c>
      <c r="V870" s="12" t="s">
        <v>39</v>
      </c>
      <c r="W870" s="7" t="s">
        <v>33</v>
      </c>
      <c r="X870" s="6">
        <f t="shared" si="55"/>
        <v>52</v>
      </c>
      <c r="Y870" t="str" cm="1">
        <f t="array" ref="Y870">_xlfn.IFS(E870=7.99,"BASIC",E870=11.99,"STANDARD",E870=15.99,"PREMIUM")</f>
        <v>STANDARD</v>
      </c>
      <c r="Z870" s="4">
        <f t="shared" si="53"/>
        <v>3.3653846153846154</v>
      </c>
      <c r="AA870" s="3" t="str" cm="1">
        <f t="array" ref="AA870">_xlfn.IFS(
(F870/(X870/7)) &lt; 5, "Casual",
AND((F870/(X870/7)) &gt;= 5, (F870/(X870/7)) &lt; 15), "Regular",
(F870/(X870/7)) &gt;= 15, "Power"
)</f>
        <v>Casual</v>
      </c>
      <c r="AB870" s="3">
        <f t="shared" si="56"/>
        <v>8.0906148867313912E-2</v>
      </c>
      <c r="AC870" t="str">
        <f t="shared" si="54"/>
        <v xml:space="preserve"> Browsers</v>
      </c>
    </row>
    <row r="871" spans="1:30" x14ac:dyDescent="0.3">
      <c r="A871" s="6">
        <v>5479</v>
      </c>
      <c r="B871" s="7" t="s">
        <v>179</v>
      </c>
      <c r="C871" s="10">
        <v>44989</v>
      </c>
      <c r="D871" s="10">
        <v>45634</v>
      </c>
      <c r="E871" s="13">
        <v>7.99</v>
      </c>
      <c r="F871" s="6">
        <v>140</v>
      </c>
      <c r="G871" s="7" t="s">
        <v>100</v>
      </c>
      <c r="H871" s="6">
        <v>4</v>
      </c>
      <c r="I871" s="6">
        <v>4</v>
      </c>
      <c r="J871" s="7" t="b">
        <v>0</v>
      </c>
      <c r="K871" s="6">
        <v>218</v>
      </c>
      <c r="L871" s="6">
        <v>5</v>
      </c>
      <c r="M871" s="7" t="s">
        <v>55</v>
      </c>
      <c r="N871" s="7" t="s">
        <v>28</v>
      </c>
      <c r="O871" s="7" t="s">
        <v>78</v>
      </c>
      <c r="P871" s="6">
        <v>86</v>
      </c>
      <c r="Q871" s="11">
        <v>3.6</v>
      </c>
      <c r="R871" s="7" t="b">
        <v>0</v>
      </c>
      <c r="S871" s="7" t="s">
        <v>30</v>
      </c>
      <c r="T871" s="6">
        <v>4552</v>
      </c>
      <c r="U871" s="7" t="s">
        <v>38</v>
      </c>
      <c r="V871" s="12" t="s">
        <v>79</v>
      </c>
      <c r="W871" s="7" t="s">
        <v>33</v>
      </c>
      <c r="X871" s="6">
        <f t="shared" si="55"/>
        <v>645</v>
      </c>
      <c r="Y871" t="str" cm="1">
        <f t="array" ref="Y871">_xlfn.IFS(E871=7.99,"BASIC",E871=11.99,"STANDARD",E871=15.99,"PREMIUM")</f>
        <v>BASIC</v>
      </c>
      <c r="Z871" s="4">
        <f t="shared" si="53"/>
        <v>1.5193798449612403</v>
      </c>
      <c r="AA871" s="3" t="str" cm="1">
        <f t="array" ref="AA871">_xlfn.IFS(
(F871/(X871/7)) &lt; 5, "Casual",
AND((F871/(X871/7)) &gt;= 5, (F871/(X871/7)) &lt; 15), "Regular",
(F871/(X871/7)) &gt;= 15, "Power"
)</f>
        <v>Casual</v>
      </c>
      <c r="AB871" s="3">
        <f t="shared" si="56"/>
        <v>0.62780269058295968</v>
      </c>
      <c r="AC871" t="str">
        <f t="shared" si="54"/>
        <v>Viewers</v>
      </c>
    </row>
    <row r="872" spans="1:30" x14ac:dyDescent="0.3">
      <c r="A872" s="6">
        <v>2480</v>
      </c>
      <c r="B872" s="7" t="s">
        <v>618</v>
      </c>
      <c r="C872" s="10">
        <v>45164</v>
      </c>
      <c r="D872" s="10">
        <v>45643</v>
      </c>
      <c r="E872" s="13">
        <v>15.99</v>
      </c>
      <c r="F872" s="6">
        <v>192</v>
      </c>
      <c r="G872" s="7" t="s">
        <v>73</v>
      </c>
      <c r="H872" s="6">
        <v>5</v>
      </c>
      <c r="I872" s="6">
        <v>3</v>
      </c>
      <c r="J872" s="7" t="b">
        <v>0</v>
      </c>
      <c r="K872" s="6">
        <v>39</v>
      </c>
      <c r="L872" s="6">
        <v>18</v>
      </c>
      <c r="M872" s="7" t="s">
        <v>49</v>
      </c>
      <c r="N872" s="7" t="s">
        <v>75</v>
      </c>
      <c r="O872" s="7" t="s">
        <v>37</v>
      </c>
      <c r="P872" s="6">
        <v>75</v>
      </c>
      <c r="Q872" s="11">
        <v>3.3</v>
      </c>
      <c r="R872" s="7" t="b">
        <v>1</v>
      </c>
      <c r="S872" s="7" t="s">
        <v>30</v>
      </c>
      <c r="T872" s="6">
        <v>3003</v>
      </c>
      <c r="U872" s="7" t="s">
        <v>38</v>
      </c>
      <c r="V872" s="12" t="s">
        <v>59</v>
      </c>
      <c r="W872" s="7" t="s">
        <v>60</v>
      </c>
      <c r="X872" s="6">
        <f t="shared" si="55"/>
        <v>479</v>
      </c>
      <c r="Y872" t="str" cm="1">
        <f t="array" ref="Y872">_xlfn.IFS(E872=7.99,"BASIC",E872=11.99,"STANDARD",E872=15.99,"PREMIUM")</f>
        <v>PREMIUM</v>
      </c>
      <c r="Z872" s="4">
        <f t="shared" si="53"/>
        <v>2.8058455114822545</v>
      </c>
      <c r="AA872" s="3" t="str" cm="1">
        <f t="array" ref="AA872">_xlfn.IFS(
(F872/(X872/7)) &lt; 5, "Casual",
AND((F872/(X872/7)) &gt;= 5, (F872/(X872/7)) &lt; 15), "Regular",
(F872/(X872/7)) &gt;= 15, "Power"
)</f>
        <v>Casual</v>
      </c>
      <c r="AB872" s="3">
        <f t="shared" si="56"/>
        <v>3.3684210526315788</v>
      </c>
      <c r="AC872" t="str">
        <f t="shared" si="54"/>
        <v>Viewers</v>
      </c>
    </row>
    <row r="873" spans="1:30" x14ac:dyDescent="0.3">
      <c r="A873" s="6">
        <v>6288</v>
      </c>
      <c r="B873" s="7" t="s">
        <v>271</v>
      </c>
      <c r="C873" s="10">
        <v>45384</v>
      </c>
      <c r="D873" s="10">
        <v>45637</v>
      </c>
      <c r="E873" s="13">
        <v>15.99</v>
      </c>
      <c r="F873" s="6">
        <v>267</v>
      </c>
      <c r="G873" s="7" t="s">
        <v>100</v>
      </c>
      <c r="H873" s="6">
        <v>1</v>
      </c>
      <c r="I873" s="6">
        <v>2</v>
      </c>
      <c r="J873" s="7" t="b">
        <v>0</v>
      </c>
      <c r="K873" s="6">
        <v>107</v>
      </c>
      <c r="L873" s="6">
        <v>140</v>
      </c>
      <c r="M873" s="7" t="s">
        <v>68</v>
      </c>
      <c r="N873" s="7" t="s">
        <v>28</v>
      </c>
      <c r="O873" s="7" t="s">
        <v>78</v>
      </c>
      <c r="P873" s="6">
        <v>7</v>
      </c>
      <c r="Q873" s="11">
        <v>4.8</v>
      </c>
      <c r="R873" s="7" t="b">
        <v>0</v>
      </c>
      <c r="S873" s="7" t="s">
        <v>30</v>
      </c>
      <c r="T873" s="6">
        <v>783</v>
      </c>
      <c r="U873" s="7" t="s">
        <v>58</v>
      </c>
      <c r="V873" s="12" t="s">
        <v>39</v>
      </c>
      <c r="W873" s="7" t="s">
        <v>40</v>
      </c>
      <c r="X873" s="6">
        <f t="shared" si="55"/>
        <v>253</v>
      </c>
      <c r="Y873" t="str" cm="1">
        <f t="array" ref="Y873">_xlfn.IFS(E873=7.99,"BASIC",E873=11.99,"STANDARD",E873=15.99,"PREMIUM")</f>
        <v>PREMIUM</v>
      </c>
      <c r="Z873" s="4">
        <f t="shared" si="53"/>
        <v>7.387351778656126</v>
      </c>
      <c r="AA873" s="3" t="str" cm="1">
        <f t="array" ref="AA873">_xlfn.IFS(
(F873/(X873/7)) &lt; 5, "Casual",
AND((F873/(X873/7)) &gt;= 5, (F873/(X873/7)) &lt; 15), "Regular",
(F873/(X873/7)) &gt;= 15, "Power"
)</f>
        <v>Regular</v>
      </c>
      <c r="AB873" s="3">
        <f t="shared" si="56"/>
        <v>1.0809716599190284</v>
      </c>
      <c r="AC873" t="str">
        <f t="shared" si="54"/>
        <v>Viewers</v>
      </c>
    </row>
    <row r="874" spans="1:30" x14ac:dyDescent="0.3">
      <c r="A874" s="6">
        <v>9973</v>
      </c>
      <c r="B874" s="7" t="s">
        <v>224</v>
      </c>
      <c r="C874" s="10">
        <v>45030</v>
      </c>
      <c r="D874" s="10">
        <v>45641</v>
      </c>
      <c r="E874" s="13">
        <v>11.99</v>
      </c>
      <c r="F874" s="6">
        <v>410</v>
      </c>
      <c r="G874" s="7" t="s">
        <v>100</v>
      </c>
      <c r="H874" s="6">
        <v>4</v>
      </c>
      <c r="I874" s="6">
        <v>4</v>
      </c>
      <c r="J874" s="7" t="b">
        <v>0</v>
      </c>
      <c r="K874" s="6">
        <v>513</v>
      </c>
      <c r="L874" s="6">
        <v>52</v>
      </c>
      <c r="M874" s="7" t="s">
        <v>43</v>
      </c>
      <c r="N874" s="7" t="s">
        <v>44</v>
      </c>
      <c r="O874" s="7" t="s">
        <v>78</v>
      </c>
      <c r="P874" s="6">
        <v>19</v>
      </c>
      <c r="Q874" s="11">
        <v>4.7</v>
      </c>
      <c r="R874" s="7" t="b">
        <v>0</v>
      </c>
      <c r="S874" s="7" t="s">
        <v>30</v>
      </c>
      <c r="T874" s="6">
        <v>3578</v>
      </c>
      <c r="U874" s="7" t="s">
        <v>58</v>
      </c>
      <c r="V874" s="12" t="s">
        <v>39</v>
      </c>
      <c r="W874" s="7" t="s">
        <v>33</v>
      </c>
      <c r="X874" s="6">
        <f t="shared" si="55"/>
        <v>611</v>
      </c>
      <c r="Y874" t="str" cm="1">
        <f t="array" ref="Y874">_xlfn.IFS(E874=7.99,"BASIC",E874=11.99,"STANDARD",E874=15.99,"PREMIUM")</f>
        <v>STANDARD</v>
      </c>
      <c r="Z874" s="4">
        <f t="shared" si="53"/>
        <v>4.6972176759410802</v>
      </c>
      <c r="AA874" s="3" t="str" cm="1">
        <f t="array" ref="AA874">_xlfn.IFS(
(F874/(X874/7)) &lt; 5, "Casual",
AND((F874/(X874/7)) &gt;= 5, (F874/(X874/7)) &lt; 15), "Regular",
(F874/(X874/7)) &gt;= 15, "Power"
)</f>
        <v>Casual</v>
      </c>
      <c r="AB874" s="3">
        <f t="shared" si="56"/>
        <v>0.72566371681415931</v>
      </c>
      <c r="AC874" t="str">
        <f t="shared" si="54"/>
        <v>Viewers</v>
      </c>
    </row>
    <row r="875" spans="1:30" x14ac:dyDescent="0.3">
      <c r="A875" s="6">
        <v>6078</v>
      </c>
      <c r="B875" s="7" t="s">
        <v>606</v>
      </c>
      <c r="C875" s="10">
        <v>45558</v>
      </c>
      <c r="D875" s="10">
        <v>45641</v>
      </c>
      <c r="E875" s="13">
        <v>7.99</v>
      </c>
      <c r="F875" s="6">
        <v>281</v>
      </c>
      <c r="G875" s="7" t="s">
        <v>73</v>
      </c>
      <c r="H875" s="6">
        <v>4</v>
      </c>
      <c r="I875" s="6">
        <v>5</v>
      </c>
      <c r="J875" s="7" t="b">
        <v>0</v>
      </c>
      <c r="K875" s="6">
        <v>905</v>
      </c>
      <c r="L875" s="6">
        <v>128</v>
      </c>
      <c r="M875" s="7" t="s">
        <v>74</v>
      </c>
      <c r="N875" s="7" t="s">
        <v>75</v>
      </c>
      <c r="O875" s="7" t="s">
        <v>37</v>
      </c>
      <c r="P875" s="6">
        <v>70</v>
      </c>
      <c r="Q875" s="11">
        <v>4.3</v>
      </c>
      <c r="R875" s="7" t="b">
        <v>0</v>
      </c>
      <c r="S875" s="7" t="s">
        <v>30</v>
      </c>
      <c r="T875" s="6">
        <v>1952</v>
      </c>
      <c r="U875" s="7" t="s">
        <v>65</v>
      </c>
      <c r="V875" s="12" t="s">
        <v>59</v>
      </c>
      <c r="W875" s="7" t="s">
        <v>40</v>
      </c>
      <c r="X875" s="6">
        <f t="shared" si="55"/>
        <v>83</v>
      </c>
      <c r="Y875" t="str" cm="1">
        <f t="array" ref="Y875">_xlfn.IFS(E875=7.99,"BASIC",E875=11.99,"STANDARD",E875=15.99,"PREMIUM")</f>
        <v>BASIC</v>
      </c>
      <c r="Z875" s="4">
        <f t="shared" si="53"/>
        <v>23.69879518072289</v>
      </c>
      <c r="AA875" s="3" t="str" cm="1">
        <f t="array" ref="AA875">_xlfn.IFS(
(F875/(X875/7)) &lt; 5, "Casual",
AND((F875/(X875/7)) &gt;= 5, (F875/(X875/7)) &lt; 15), "Regular",
(F875/(X875/7)) &gt;= 15, "Power"
)</f>
        <v>Power</v>
      </c>
      <c r="AB875" s="3">
        <f t="shared" si="56"/>
        <v>0.27202323330106487</v>
      </c>
      <c r="AC875" t="str">
        <f t="shared" si="54"/>
        <v>Viewers</v>
      </c>
    </row>
    <row r="876" spans="1:30" x14ac:dyDescent="0.3">
      <c r="A876" s="6">
        <v>5362</v>
      </c>
      <c r="B876" s="7" t="s">
        <v>332</v>
      </c>
      <c r="C876" s="10">
        <v>45358</v>
      </c>
      <c r="D876" s="10">
        <v>45623</v>
      </c>
      <c r="E876" s="13">
        <v>15.99</v>
      </c>
      <c r="F876" s="6">
        <v>478</v>
      </c>
      <c r="G876" s="7" t="s">
        <v>73</v>
      </c>
      <c r="H876" s="6">
        <v>4</v>
      </c>
      <c r="I876" s="6">
        <v>3</v>
      </c>
      <c r="J876" s="7" t="b">
        <v>1</v>
      </c>
      <c r="K876" s="6">
        <v>551</v>
      </c>
      <c r="L876" s="6">
        <v>96</v>
      </c>
      <c r="M876" s="7" t="s">
        <v>49</v>
      </c>
      <c r="N876" s="7" t="s">
        <v>75</v>
      </c>
      <c r="O876" s="7" t="s">
        <v>57</v>
      </c>
      <c r="P876" s="6">
        <v>65</v>
      </c>
      <c r="Q876" s="11">
        <v>4.5999999999999996</v>
      </c>
      <c r="R876" s="7" t="b">
        <v>1</v>
      </c>
      <c r="S876" s="7" t="s">
        <v>30</v>
      </c>
      <c r="T876" s="6">
        <v>860</v>
      </c>
      <c r="U876" s="7" t="s">
        <v>65</v>
      </c>
      <c r="V876" s="12" t="s">
        <v>79</v>
      </c>
      <c r="W876" s="7" t="s">
        <v>60</v>
      </c>
      <c r="X876" s="6">
        <f t="shared" si="55"/>
        <v>265</v>
      </c>
      <c r="Y876" t="str" cm="1">
        <f t="array" ref="Y876">_xlfn.IFS(E876=7.99,"BASIC",E876=11.99,"STANDARD",E876=15.99,"PREMIUM")</f>
        <v>PREMIUM</v>
      </c>
      <c r="Z876" s="4">
        <f t="shared" si="53"/>
        <v>12.626415094339624</v>
      </c>
      <c r="AA876" s="3" t="str" cm="1">
        <f t="array" ref="AA876">_xlfn.IFS(
(F876/(X876/7)) &lt; 5, "Casual",
AND((F876/(X876/7)) &gt;= 5, (F876/(X876/7)) &lt; 15), "Regular",
(F876/(X876/7)) &gt;= 15, "Power"
)</f>
        <v>Regular</v>
      </c>
      <c r="AB876" s="3">
        <f t="shared" si="56"/>
        <v>0.73879443585780524</v>
      </c>
      <c r="AC876" t="str">
        <f t="shared" si="54"/>
        <v>Viewers</v>
      </c>
    </row>
    <row r="877" spans="1:30" x14ac:dyDescent="0.3">
      <c r="A877" s="6">
        <v>1687</v>
      </c>
      <c r="B877" s="7" t="s">
        <v>126</v>
      </c>
      <c r="C877" s="10">
        <v>45401</v>
      </c>
      <c r="D877" s="10">
        <v>45620</v>
      </c>
      <c r="E877" s="13">
        <v>7.99</v>
      </c>
      <c r="F877" s="6">
        <v>44</v>
      </c>
      <c r="G877" s="7" t="s">
        <v>26</v>
      </c>
      <c r="H877" s="6">
        <v>4</v>
      </c>
      <c r="I877" s="6">
        <v>5</v>
      </c>
      <c r="J877" s="7" t="b">
        <v>1</v>
      </c>
      <c r="K877" s="6">
        <v>190</v>
      </c>
      <c r="L877" s="6">
        <v>193</v>
      </c>
      <c r="M877" s="7" t="s">
        <v>92</v>
      </c>
      <c r="N877" s="7" t="s">
        <v>28</v>
      </c>
      <c r="O877" s="7" t="s">
        <v>29</v>
      </c>
      <c r="P877" s="6">
        <v>13</v>
      </c>
      <c r="Q877" s="11">
        <v>3.1</v>
      </c>
      <c r="R877" s="7" t="b">
        <v>0</v>
      </c>
      <c r="S877" s="7" t="s">
        <v>30</v>
      </c>
      <c r="T877" s="6">
        <v>3</v>
      </c>
      <c r="U877" s="7" t="s">
        <v>65</v>
      </c>
      <c r="V877" s="12" t="s">
        <v>59</v>
      </c>
      <c r="W877" s="7" t="s">
        <v>33</v>
      </c>
      <c r="X877" s="6">
        <f t="shared" si="55"/>
        <v>219</v>
      </c>
      <c r="Y877" t="str" cm="1">
        <f t="array" ref="Y877">_xlfn.IFS(E877=7.99,"BASIC",E877=11.99,"STANDARD",E877=15.99,"PREMIUM")</f>
        <v>BASIC</v>
      </c>
      <c r="Z877" s="4">
        <f t="shared" si="53"/>
        <v>1.4063926940639271</v>
      </c>
      <c r="AA877" s="3" t="str" cm="1">
        <f t="array" ref="AA877">_xlfn.IFS(
(F877/(X877/7)) &lt; 5, "Casual",
AND((F877/(X877/7)) &gt;= 5, (F877/(X877/7)) &lt; 15), "Regular",
(F877/(X877/7)) &gt;= 15, "Power"
)</f>
        <v>Casual</v>
      </c>
      <c r="AB877" s="3">
        <f t="shared" si="56"/>
        <v>0.11488250652741515</v>
      </c>
      <c r="AC877" t="str">
        <f t="shared" si="54"/>
        <v xml:space="preserve"> Browsers</v>
      </c>
    </row>
    <row r="878" spans="1:30" x14ac:dyDescent="0.3">
      <c r="A878" s="6">
        <v>8986</v>
      </c>
      <c r="B878" s="7" t="s">
        <v>409</v>
      </c>
      <c r="C878" s="10">
        <v>45627</v>
      </c>
      <c r="D878" s="10">
        <v>45642</v>
      </c>
      <c r="E878" s="13">
        <v>15.99</v>
      </c>
      <c r="F878" s="6">
        <v>250</v>
      </c>
      <c r="G878" s="7" t="s">
        <v>26</v>
      </c>
      <c r="H878" s="6">
        <v>1</v>
      </c>
      <c r="I878" s="6">
        <v>2</v>
      </c>
      <c r="J878" s="7" t="b">
        <v>1</v>
      </c>
      <c r="K878" s="6">
        <v>69</v>
      </c>
      <c r="L878" s="6">
        <v>35</v>
      </c>
      <c r="M878" s="7" t="s">
        <v>43</v>
      </c>
      <c r="N878" s="7" t="s">
        <v>56</v>
      </c>
      <c r="O878" s="7" t="s">
        <v>37</v>
      </c>
      <c r="P878" s="6">
        <v>13</v>
      </c>
      <c r="Q878" s="11">
        <v>3.3</v>
      </c>
      <c r="R878" s="7" t="b">
        <v>1</v>
      </c>
      <c r="S878" s="7" t="s">
        <v>30</v>
      </c>
      <c r="T878" s="6">
        <v>1836</v>
      </c>
      <c r="U878" s="7" t="s">
        <v>58</v>
      </c>
      <c r="V878" s="12" t="s">
        <v>39</v>
      </c>
      <c r="W878" s="7" t="s">
        <v>40</v>
      </c>
      <c r="X878" s="6">
        <f t="shared" si="55"/>
        <v>15</v>
      </c>
      <c r="Y878" t="str" cm="1">
        <f t="array" ref="Y878">_xlfn.IFS(E878=7.99,"BASIC",E878=11.99,"STANDARD",E878=15.99,"PREMIUM")</f>
        <v>PREMIUM</v>
      </c>
      <c r="Z878" s="4">
        <f t="shared" si="53"/>
        <v>116.66666666666667</v>
      </c>
      <c r="AA878" s="3" t="str" cm="1">
        <f t="array" ref="AA878">_xlfn.IFS(
(F878/(X878/7)) &lt; 5, "Casual",
AND((F878/(X878/7)) &gt;= 5, (F878/(X878/7)) &lt; 15), "Regular",
(F878/(X878/7)) &gt;= 15, "Power"
)</f>
        <v>Power</v>
      </c>
      <c r="AB878" s="3">
        <f t="shared" si="56"/>
        <v>2.4038461538461537</v>
      </c>
      <c r="AC878" t="str">
        <f t="shared" si="54"/>
        <v>Viewers</v>
      </c>
    </row>
    <row r="879" spans="1:30" x14ac:dyDescent="0.3">
      <c r="A879" s="6">
        <v>5994</v>
      </c>
      <c r="B879" s="7" t="s">
        <v>492</v>
      </c>
      <c r="C879" s="10">
        <v>45220</v>
      </c>
      <c r="D879" s="10">
        <v>45630</v>
      </c>
      <c r="E879" s="13">
        <v>7.99</v>
      </c>
      <c r="F879" s="6">
        <v>225</v>
      </c>
      <c r="G879" s="7" t="s">
        <v>36</v>
      </c>
      <c r="H879" s="6">
        <v>5</v>
      </c>
      <c r="I879" s="6">
        <v>5</v>
      </c>
      <c r="J879" s="7" t="b">
        <v>0</v>
      </c>
      <c r="K879" s="6">
        <v>274</v>
      </c>
      <c r="L879" s="6">
        <v>83</v>
      </c>
      <c r="M879" s="7" t="s">
        <v>49</v>
      </c>
      <c r="N879" s="7" t="s">
        <v>56</v>
      </c>
      <c r="O879" s="7" t="s">
        <v>37</v>
      </c>
      <c r="P879" s="6">
        <v>45</v>
      </c>
      <c r="Q879" s="11">
        <v>3.9</v>
      </c>
      <c r="R879" s="7" t="b">
        <v>0</v>
      </c>
      <c r="S879" s="7" t="s">
        <v>30</v>
      </c>
      <c r="T879" s="6">
        <v>808</v>
      </c>
      <c r="U879" s="7" t="s">
        <v>31</v>
      </c>
      <c r="V879" s="12" t="s">
        <v>32</v>
      </c>
      <c r="W879" s="7" t="s">
        <v>93</v>
      </c>
      <c r="X879" s="6">
        <f t="shared" si="55"/>
        <v>410</v>
      </c>
      <c r="Y879" t="str" cm="1">
        <f t="array" ref="Y879">_xlfn.IFS(E879=7.99,"BASIC",E879=11.99,"STANDARD",E879=15.99,"PREMIUM")</f>
        <v>BASIC</v>
      </c>
      <c r="Z879" s="4">
        <f t="shared" si="53"/>
        <v>3.8414634146341466</v>
      </c>
      <c r="AA879" s="3" t="str" cm="1">
        <f t="array" ref="AA879">_xlfn.IFS(
(F879/(X879/7)) &lt; 5, "Casual",
AND((F879/(X879/7)) &gt;= 5, (F879/(X879/7)) &lt; 15), "Regular",
(F879/(X879/7)) &gt;= 15, "Power"
)</f>
        <v>Casual</v>
      </c>
      <c r="AB879" s="3">
        <f t="shared" si="56"/>
        <v>0.63025210084033612</v>
      </c>
      <c r="AC879" t="str">
        <f t="shared" si="54"/>
        <v>Viewers</v>
      </c>
    </row>
    <row r="880" spans="1:30" x14ac:dyDescent="0.3">
      <c r="A880" s="6">
        <v>6293</v>
      </c>
      <c r="B880" s="7" t="s">
        <v>224</v>
      </c>
      <c r="C880" s="10">
        <v>45551</v>
      </c>
      <c r="D880" s="10">
        <v>45617</v>
      </c>
      <c r="E880" s="13">
        <v>15.99</v>
      </c>
      <c r="F880" s="6">
        <v>473</v>
      </c>
      <c r="G880" s="7" t="s">
        <v>48</v>
      </c>
      <c r="H880" s="6">
        <v>4</v>
      </c>
      <c r="I880" s="6">
        <v>4</v>
      </c>
      <c r="J880" s="7" t="b">
        <v>0</v>
      </c>
      <c r="K880" s="6">
        <v>605</v>
      </c>
      <c r="L880" s="6">
        <v>93</v>
      </c>
      <c r="M880" s="7" t="s">
        <v>74</v>
      </c>
      <c r="N880" s="7" t="s">
        <v>44</v>
      </c>
      <c r="O880" s="7" t="s">
        <v>45</v>
      </c>
      <c r="P880" s="6">
        <v>13</v>
      </c>
      <c r="Q880" s="11">
        <v>4.8</v>
      </c>
      <c r="R880" s="7" t="b">
        <v>0</v>
      </c>
      <c r="S880" s="7" t="s">
        <v>30</v>
      </c>
      <c r="T880" s="6">
        <v>2141</v>
      </c>
      <c r="U880" s="7" t="s">
        <v>38</v>
      </c>
      <c r="V880" s="12" t="s">
        <v>32</v>
      </c>
      <c r="W880" s="7" t="s">
        <v>33</v>
      </c>
      <c r="X880" s="6">
        <f t="shared" si="55"/>
        <v>66</v>
      </c>
      <c r="Y880" t="str" cm="1">
        <f t="array" ref="Y880">_xlfn.IFS(E880=7.99,"BASIC",E880=11.99,"STANDARD",E880=15.99,"PREMIUM")</f>
        <v>PREMIUM</v>
      </c>
      <c r="Z880" s="4">
        <f t="shared" si="53"/>
        <v>50.166666666666664</v>
      </c>
      <c r="AA880" s="3" t="str" cm="1">
        <f t="array" ref="AA880">_xlfn.IFS(
(F880/(X880/7)) &lt; 5, "Casual",
AND((F880/(X880/7)) &gt;= 5, (F880/(X880/7)) &lt; 15), "Regular",
(F880/(X880/7)) &gt;= 15, "Power"
)</f>
        <v>Power</v>
      </c>
      <c r="AB880" s="3">
        <f t="shared" si="56"/>
        <v>0.67765042979942691</v>
      </c>
      <c r="AC880" t="str">
        <f t="shared" si="54"/>
        <v>Viewers</v>
      </c>
    </row>
    <row r="881" spans="1:29" x14ac:dyDescent="0.3">
      <c r="A881" s="6">
        <v>7558</v>
      </c>
      <c r="B881" s="7" t="s">
        <v>369</v>
      </c>
      <c r="C881" s="10">
        <v>45609</v>
      </c>
      <c r="D881" s="10">
        <v>45634</v>
      </c>
      <c r="E881" s="13">
        <v>11.99</v>
      </c>
      <c r="F881" s="6">
        <v>236</v>
      </c>
      <c r="G881" s="7" t="s">
        <v>48</v>
      </c>
      <c r="H881" s="6">
        <v>1</v>
      </c>
      <c r="I881" s="6">
        <v>5</v>
      </c>
      <c r="J881" s="7" t="b">
        <v>1</v>
      </c>
      <c r="K881" s="6">
        <v>225</v>
      </c>
      <c r="L881" s="6">
        <v>94</v>
      </c>
      <c r="M881" s="7" t="s">
        <v>74</v>
      </c>
      <c r="N881" s="7" t="s">
        <v>44</v>
      </c>
      <c r="O881" s="7" t="s">
        <v>64</v>
      </c>
      <c r="P881" s="6">
        <v>61</v>
      </c>
      <c r="Q881" s="11">
        <v>3.7</v>
      </c>
      <c r="R881" s="7" t="b">
        <v>0</v>
      </c>
      <c r="S881" s="7" t="s">
        <v>30</v>
      </c>
      <c r="T881" s="6">
        <v>1254</v>
      </c>
      <c r="U881" s="7" t="s">
        <v>65</v>
      </c>
      <c r="V881" s="12" t="s">
        <v>32</v>
      </c>
      <c r="W881" s="7" t="s">
        <v>40</v>
      </c>
      <c r="X881" s="6">
        <f t="shared" si="55"/>
        <v>25</v>
      </c>
      <c r="Y881" t="str" cm="1">
        <f t="array" ref="Y881">_xlfn.IFS(E881=7.99,"BASIC",E881=11.99,"STANDARD",E881=15.99,"PREMIUM")</f>
        <v>STANDARD</v>
      </c>
      <c r="Z881" s="4">
        <f t="shared" si="53"/>
        <v>66.08</v>
      </c>
      <c r="AA881" s="3" t="str" cm="1">
        <f t="array" ref="AA881">_xlfn.IFS(
(F881/(X881/7)) &lt; 5, "Casual",
AND((F881/(X881/7)) &gt;= 5, (F881/(X881/7)) &lt; 15), "Regular",
(F881/(X881/7)) &gt;= 15, "Power"
)</f>
        <v>Power</v>
      </c>
      <c r="AB881" s="3">
        <f t="shared" si="56"/>
        <v>0.7398119122257053</v>
      </c>
      <c r="AC881" t="str">
        <f t="shared" si="54"/>
        <v>Viewers</v>
      </c>
    </row>
    <row r="882" spans="1:29" x14ac:dyDescent="0.3">
      <c r="A882" s="6">
        <v>1805</v>
      </c>
      <c r="B882" s="7" t="s">
        <v>88</v>
      </c>
      <c r="C882" s="10">
        <v>44961</v>
      </c>
      <c r="D882" s="10">
        <v>45626</v>
      </c>
      <c r="E882" s="13">
        <v>11.99</v>
      </c>
      <c r="F882" s="6">
        <v>349</v>
      </c>
      <c r="G882" s="7" t="s">
        <v>73</v>
      </c>
      <c r="H882" s="6">
        <v>4</v>
      </c>
      <c r="I882" s="6">
        <v>4</v>
      </c>
      <c r="J882" s="7" t="b">
        <v>1</v>
      </c>
      <c r="K882" s="6">
        <v>386</v>
      </c>
      <c r="L882" s="6">
        <v>195</v>
      </c>
      <c r="M882" s="7" t="s">
        <v>27</v>
      </c>
      <c r="N882" s="7" t="s">
        <v>75</v>
      </c>
      <c r="O882" s="7" t="s">
        <v>37</v>
      </c>
      <c r="P882" s="6">
        <v>59</v>
      </c>
      <c r="Q882" s="11">
        <v>4.5999999999999996</v>
      </c>
      <c r="R882" s="7" t="b">
        <v>0</v>
      </c>
      <c r="S882" s="7" t="s">
        <v>30</v>
      </c>
      <c r="T882" s="6">
        <v>2864</v>
      </c>
      <c r="U882" s="7" t="s">
        <v>65</v>
      </c>
      <c r="V882" s="12" t="s">
        <v>32</v>
      </c>
      <c r="W882" s="7" t="s">
        <v>33</v>
      </c>
      <c r="X882" s="6">
        <f t="shared" si="55"/>
        <v>665</v>
      </c>
      <c r="Y882" t="str" cm="1">
        <f t="array" ref="Y882">_xlfn.IFS(E882=7.99,"BASIC",E882=11.99,"STANDARD",E882=15.99,"PREMIUM")</f>
        <v>STANDARD</v>
      </c>
      <c r="Z882" s="4">
        <f t="shared" si="53"/>
        <v>3.6736842105263157</v>
      </c>
      <c r="AA882" s="3" t="str" cm="1">
        <f t="array" ref="AA882">_xlfn.IFS(
(F882/(X882/7)) &lt; 5, "Casual",
AND((F882/(X882/7)) &gt;= 5, (F882/(X882/7)) &lt; 15), "Regular",
(F882/(X882/7)) &gt;= 15, "Power"
)</f>
        <v>Casual</v>
      </c>
      <c r="AB882" s="3">
        <f t="shared" si="56"/>
        <v>0.60068846815834764</v>
      </c>
      <c r="AC882" t="str">
        <f t="shared" si="54"/>
        <v>Viewers</v>
      </c>
    </row>
    <row r="883" spans="1:29" x14ac:dyDescent="0.3">
      <c r="A883" s="6">
        <v>1661</v>
      </c>
      <c r="B883" s="7" t="s">
        <v>374</v>
      </c>
      <c r="C883" s="10">
        <v>45032</v>
      </c>
      <c r="D883" s="10">
        <v>45634</v>
      </c>
      <c r="E883" s="13">
        <v>15.99</v>
      </c>
      <c r="F883" s="6">
        <v>139</v>
      </c>
      <c r="G883" s="7" t="s">
        <v>73</v>
      </c>
      <c r="H883" s="6">
        <v>4</v>
      </c>
      <c r="I883" s="6">
        <v>5</v>
      </c>
      <c r="J883" s="7" t="b">
        <v>1</v>
      </c>
      <c r="K883" s="6">
        <v>442</v>
      </c>
      <c r="L883" s="6">
        <v>110</v>
      </c>
      <c r="M883" s="7" t="s">
        <v>43</v>
      </c>
      <c r="N883" s="7" t="s">
        <v>56</v>
      </c>
      <c r="O883" s="7" t="s">
        <v>29</v>
      </c>
      <c r="P883" s="6">
        <v>91</v>
      </c>
      <c r="Q883" s="11">
        <v>4.7</v>
      </c>
      <c r="R883" s="7" t="b">
        <v>1</v>
      </c>
      <c r="S883" s="7" t="s">
        <v>30</v>
      </c>
      <c r="T883" s="6">
        <v>4589</v>
      </c>
      <c r="U883" s="7" t="s">
        <v>31</v>
      </c>
      <c r="V883" s="12" t="s">
        <v>79</v>
      </c>
      <c r="W883" s="7" t="s">
        <v>40</v>
      </c>
      <c r="X883" s="6">
        <f t="shared" si="55"/>
        <v>602</v>
      </c>
      <c r="Y883" t="str" cm="1">
        <f t="array" ref="Y883">_xlfn.IFS(E883=7.99,"BASIC",E883=11.99,"STANDARD",E883=15.99,"PREMIUM")</f>
        <v>PREMIUM</v>
      </c>
      <c r="Z883" s="4">
        <f t="shared" si="53"/>
        <v>1.6162790697674418</v>
      </c>
      <c r="AA883" s="3" t="str" cm="1">
        <f t="array" ref="AA883">_xlfn.IFS(
(F883/(X883/7)) &lt; 5, "Casual",
AND((F883/(X883/7)) &gt;= 5, (F883/(X883/7)) &lt; 15), "Regular",
(F883/(X883/7)) &gt;= 15, "Power"
)</f>
        <v>Casual</v>
      </c>
      <c r="AB883" s="3">
        <f t="shared" si="56"/>
        <v>0.25181159420289856</v>
      </c>
      <c r="AC883" t="str">
        <f t="shared" si="54"/>
        <v>Viewers</v>
      </c>
    </row>
    <row r="884" spans="1:29" x14ac:dyDescent="0.3">
      <c r="A884" s="6">
        <v>8960</v>
      </c>
      <c r="B884" s="7" t="s">
        <v>631</v>
      </c>
      <c r="C884" s="10">
        <v>45307</v>
      </c>
      <c r="D884" s="10">
        <v>45628</v>
      </c>
      <c r="E884" s="13">
        <v>15.99</v>
      </c>
      <c r="F884" s="6">
        <v>278</v>
      </c>
      <c r="G884" s="7" t="s">
        <v>100</v>
      </c>
      <c r="H884" s="6">
        <v>3</v>
      </c>
      <c r="I884" s="6">
        <v>2</v>
      </c>
      <c r="J884" s="7" t="b">
        <v>1</v>
      </c>
      <c r="K884" s="6">
        <v>382</v>
      </c>
      <c r="L884" s="6">
        <v>25</v>
      </c>
      <c r="M884" s="7" t="s">
        <v>49</v>
      </c>
      <c r="N884" s="7" t="s">
        <v>28</v>
      </c>
      <c r="O884" s="7" t="s">
        <v>78</v>
      </c>
      <c r="P884" s="6">
        <v>72</v>
      </c>
      <c r="Q884" s="11">
        <v>4.4000000000000004</v>
      </c>
      <c r="R884" s="7" t="b">
        <v>0</v>
      </c>
      <c r="S884" s="7" t="s">
        <v>30</v>
      </c>
      <c r="T884" s="6">
        <v>2932</v>
      </c>
      <c r="U884" s="7" t="s">
        <v>31</v>
      </c>
      <c r="V884" s="12" t="s">
        <v>79</v>
      </c>
      <c r="W884" s="7" t="s">
        <v>93</v>
      </c>
      <c r="X884" s="6">
        <f t="shared" si="55"/>
        <v>321</v>
      </c>
      <c r="Y884" t="str" cm="1">
        <f t="array" ref="Y884">_xlfn.IFS(E884=7.99,"BASIC",E884=11.99,"STANDARD",E884=15.99,"PREMIUM")</f>
        <v>PREMIUM</v>
      </c>
      <c r="Z884" s="4">
        <f t="shared" si="53"/>
        <v>6.0623052959501562</v>
      </c>
      <c r="AA884" s="3" t="str" cm="1">
        <f t="array" ref="AA884">_xlfn.IFS(
(F884/(X884/7)) &lt; 5, "Casual",
AND((F884/(X884/7)) &gt;= 5, (F884/(X884/7)) &lt; 15), "Regular",
(F884/(X884/7)) &gt;= 15, "Power"
)</f>
        <v>Regular</v>
      </c>
      <c r="AB884" s="3">
        <f t="shared" si="56"/>
        <v>0.68304668304668303</v>
      </c>
      <c r="AC884" t="str">
        <f t="shared" si="54"/>
        <v>Viewers</v>
      </c>
    </row>
    <row r="885" spans="1:29" x14ac:dyDescent="0.3">
      <c r="A885" s="6">
        <v>6131</v>
      </c>
      <c r="B885" s="7" t="s">
        <v>80</v>
      </c>
      <c r="C885" s="10">
        <v>45503</v>
      </c>
      <c r="D885" s="10">
        <v>45643</v>
      </c>
      <c r="E885" s="13">
        <v>7.99</v>
      </c>
      <c r="F885" s="6">
        <v>242</v>
      </c>
      <c r="G885" s="7" t="s">
        <v>63</v>
      </c>
      <c r="H885" s="6">
        <v>5</v>
      </c>
      <c r="I885" s="6">
        <v>2</v>
      </c>
      <c r="J885" s="7" t="b">
        <v>1</v>
      </c>
      <c r="K885" s="6">
        <v>156</v>
      </c>
      <c r="L885" s="6">
        <v>166</v>
      </c>
      <c r="M885" s="7" t="s">
        <v>92</v>
      </c>
      <c r="N885" s="7" t="s">
        <v>75</v>
      </c>
      <c r="O885" s="7" t="s">
        <v>29</v>
      </c>
      <c r="P885" s="6">
        <v>53</v>
      </c>
      <c r="Q885" s="11">
        <v>5</v>
      </c>
      <c r="R885" s="7" t="b">
        <v>0</v>
      </c>
      <c r="S885" s="7" t="s">
        <v>30</v>
      </c>
      <c r="T885" s="6">
        <v>1697</v>
      </c>
      <c r="U885" s="7" t="s">
        <v>76</v>
      </c>
      <c r="V885" s="12" t="s">
        <v>59</v>
      </c>
      <c r="W885" s="7" t="s">
        <v>33</v>
      </c>
      <c r="X885" s="6">
        <f t="shared" si="55"/>
        <v>140</v>
      </c>
      <c r="Y885" t="str" cm="1">
        <f t="array" ref="Y885">_xlfn.IFS(E885=7.99,"BASIC",E885=11.99,"STANDARD",E885=15.99,"PREMIUM")</f>
        <v>BASIC</v>
      </c>
      <c r="Z885" s="4">
        <f t="shared" si="53"/>
        <v>12.1</v>
      </c>
      <c r="AA885" s="3" t="str" cm="1">
        <f t="array" ref="AA885">_xlfn.IFS(
(F885/(X885/7)) &lt; 5, "Casual",
AND((F885/(X885/7)) &gt;= 5, (F885/(X885/7)) &lt; 15), "Regular",
(F885/(X885/7)) &gt;= 15, "Power"
)</f>
        <v>Regular</v>
      </c>
      <c r="AB885" s="3">
        <f t="shared" si="56"/>
        <v>0.75155279503105588</v>
      </c>
      <c r="AC885" t="str">
        <f t="shared" si="54"/>
        <v>Viewers</v>
      </c>
    </row>
    <row r="886" spans="1:29" x14ac:dyDescent="0.3">
      <c r="A886" s="6">
        <v>4114</v>
      </c>
      <c r="B886" s="7" t="s">
        <v>344</v>
      </c>
      <c r="C886" s="10">
        <v>45260</v>
      </c>
      <c r="D886" s="10">
        <v>45640</v>
      </c>
      <c r="E886" s="13">
        <v>11.99</v>
      </c>
      <c r="F886" s="6">
        <v>251</v>
      </c>
      <c r="G886" s="7" t="s">
        <v>63</v>
      </c>
      <c r="H886" s="6">
        <v>5</v>
      </c>
      <c r="I886" s="6">
        <v>6</v>
      </c>
      <c r="J886" s="7" t="b">
        <v>1</v>
      </c>
      <c r="K886" s="6">
        <v>687</v>
      </c>
      <c r="L886" s="6">
        <v>160</v>
      </c>
      <c r="M886" s="7" t="s">
        <v>55</v>
      </c>
      <c r="N886" s="7" t="s">
        <v>44</v>
      </c>
      <c r="O886" s="7" t="s">
        <v>64</v>
      </c>
      <c r="P886" s="6">
        <v>88</v>
      </c>
      <c r="Q886" s="11">
        <v>4.5</v>
      </c>
      <c r="R886" s="7" t="b">
        <v>0</v>
      </c>
      <c r="S886" s="7" t="s">
        <v>30</v>
      </c>
      <c r="T886" s="6">
        <v>1411</v>
      </c>
      <c r="U886" s="7" t="s">
        <v>76</v>
      </c>
      <c r="V886" s="12" t="s">
        <v>59</v>
      </c>
      <c r="W886" s="7" t="s">
        <v>40</v>
      </c>
      <c r="X886" s="6">
        <f t="shared" si="55"/>
        <v>380</v>
      </c>
      <c r="Y886" t="str" cm="1">
        <f t="array" ref="Y886">_xlfn.IFS(E886=7.99,"BASIC",E886=11.99,"STANDARD",E886=15.99,"PREMIUM")</f>
        <v>STANDARD</v>
      </c>
      <c r="Z886" s="4">
        <f t="shared" si="53"/>
        <v>4.6236842105263163</v>
      </c>
      <c r="AA886" s="3" t="str" cm="1">
        <f t="array" ref="AA886">_xlfn.IFS(
(F886/(X886/7)) &lt; 5, "Casual",
AND((F886/(X886/7)) &gt;= 5, (F886/(X886/7)) &lt; 15), "Regular",
(F886/(X886/7)) &gt;= 15, "Power"
)</f>
        <v>Casual</v>
      </c>
      <c r="AB886" s="3">
        <f t="shared" si="56"/>
        <v>0.29634002361275086</v>
      </c>
      <c r="AC886" t="str">
        <f t="shared" si="54"/>
        <v>Viewers</v>
      </c>
    </row>
    <row r="887" spans="1:29" x14ac:dyDescent="0.3">
      <c r="A887" s="6">
        <v>4833</v>
      </c>
      <c r="B887" s="7" t="s">
        <v>137</v>
      </c>
      <c r="C887" s="10">
        <v>45395</v>
      </c>
      <c r="D887" s="10">
        <v>45636</v>
      </c>
      <c r="E887" s="13">
        <v>7.99</v>
      </c>
      <c r="F887" s="6">
        <v>268</v>
      </c>
      <c r="G887" s="7" t="s">
        <v>36</v>
      </c>
      <c r="H887" s="6">
        <v>4</v>
      </c>
      <c r="I887" s="6">
        <v>4</v>
      </c>
      <c r="J887" s="7" t="b">
        <v>1</v>
      </c>
      <c r="K887" s="6">
        <v>778</v>
      </c>
      <c r="L887" s="6">
        <v>122</v>
      </c>
      <c r="M887" s="7" t="s">
        <v>43</v>
      </c>
      <c r="N887" s="7" t="s">
        <v>56</v>
      </c>
      <c r="O887" s="7" t="s">
        <v>29</v>
      </c>
      <c r="P887" s="6">
        <v>12</v>
      </c>
      <c r="Q887" s="11">
        <v>3.8</v>
      </c>
      <c r="R887" s="7" t="b">
        <v>1</v>
      </c>
      <c r="S887" s="7" t="s">
        <v>30</v>
      </c>
      <c r="T887" s="6">
        <v>3437</v>
      </c>
      <c r="U887" s="7" t="s">
        <v>65</v>
      </c>
      <c r="V887" s="12" t="s">
        <v>39</v>
      </c>
      <c r="W887" s="7" t="s">
        <v>40</v>
      </c>
      <c r="X887" s="6">
        <f t="shared" si="55"/>
        <v>241</v>
      </c>
      <c r="Y887" t="str" cm="1">
        <f t="array" ref="Y887">_xlfn.IFS(E887=7.99,"BASIC",E887=11.99,"STANDARD",E887=15.99,"PREMIUM")</f>
        <v>BASIC</v>
      </c>
      <c r="Z887" s="4">
        <f t="shared" si="53"/>
        <v>7.7842323651452281</v>
      </c>
      <c r="AA887" s="3" t="str" cm="1">
        <f t="array" ref="AA887">_xlfn.IFS(
(F887/(X887/7)) &lt; 5, "Casual",
AND((F887/(X887/7)) &gt;= 5, (F887/(X887/7)) &lt; 15), "Regular",
(F887/(X887/7)) &gt;= 15, "Power"
)</f>
        <v>Regular</v>
      </c>
      <c r="AB887" s="3">
        <f t="shared" si="56"/>
        <v>0.29777777777777775</v>
      </c>
      <c r="AC887" t="str">
        <f t="shared" si="54"/>
        <v>Viewers</v>
      </c>
    </row>
    <row r="888" spans="1:29" x14ac:dyDescent="0.3">
      <c r="A888" s="6">
        <v>2401</v>
      </c>
      <c r="B888" s="7" t="s">
        <v>404</v>
      </c>
      <c r="C888" s="10">
        <v>45571</v>
      </c>
      <c r="D888" s="10">
        <v>45628</v>
      </c>
      <c r="E888" s="13">
        <v>7.99</v>
      </c>
      <c r="F888" s="6">
        <v>322</v>
      </c>
      <c r="G888" s="7" t="s">
        <v>73</v>
      </c>
      <c r="H888" s="6">
        <v>4</v>
      </c>
      <c r="I888" s="6">
        <v>6</v>
      </c>
      <c r="J888" s="7" t="b">
        <v>0</v>
      </c>
      <c r="K888" s="6">
        <v>616</v>
      </c>
      <c r="L888" s="6">
        <v>45</v>
      </c>
      <c r="M888" s="7" t="s">
        <v>74</v>
      </c>
      <c r="N888" s="7" t="s">
        <v>28</v>
      </c>
      <c r="O888" s="7" t="s">
        <v>57</v>
      </c>
      <c r="P888" s="6">
        <v>22</v>
      </c>
      <c r="Q888" s="11">
        <v>4.9000000000000004</v>
      </c>
      <c r="R888" s="7" t="b">
        <v>1</v>
      </c>
      <c r="S888" s="7" t="s">
        <v>30</v>
      </c>
      <c r="T888" s="6">
        <v>4509</v>
      </c>
      <c r="U888" s="7" t="s">
        <v>58</v>
      </c>
      <c r="V888" s="12" t="s">
        <v>32</v>
      </c>
      <c r="W888" s="7" t="s">
        <v>40</v>
      </c>
      <c r="X888" s="6">
        <f t="shared" si="55"/>
        <v>57</v>
      </c>
      <c r="Y888" t="str" cm="1">
        <f t="array" ref="Y888">_xlfn.IFS(E888=7.99,"BASIC",E888=11.99,"STANDARD",E888=15.99,"PREMIUM")</f>
        <v>BASIC</v>
      </c>
      <c r="Z888" s="4">
        <f t="shared" si="53"/>
        <v>39.543859649122808</v>
      </c>
      <c r="AA888" s="3" t="str" cm="1">
        <f t="array" ref="AA888">_xlfn.IFS(
(F888/(X888/7)) &lt; 5, "Casual",
AND((F888/(X888/7)) &gt;= 5, (F888/(X888/7)) &lt; 15), "Regular",
(F888/(X888/7)) &gt;= 15, "Power"
)</f>
        <v>Power</v>
      </c>
      <c r="AB888" s="3">
        <f t="shared" si="56"/>
        <v>0.48714069591527986</v>
      </c>
      <c r="AC888" t="str">
        <f t="shared" si="54"/>
        <v>Viewers</v>
      </c>
    </row>
    <row r="889" spans="1:29" x14ac:dyDescent="0.3">
      <c r="A889" s="6">
        <v>1037</v>
      </c>
      <c r="B889" s="7" t="s">
        <v>150</v>
      </c>
      <c r="C889" s="10">
        <v>45102</v>
      </c>
      <c r="D889" s="10">
        <v>45626</v>
      </c>
      <c r="E889" s="13">
        <v>7.99</v>
      </c>
      <c r="F889" s="6">
        <v>356</v>
      </c>
      <c r="G889" s="7" t="s">
        <v>51</v>
      </c>
      <c r="H889" s="6">
        <v>3</v>
      </c>
      <c r="I889" s="6">
        <v>3</v>
      </c>
      <c r="J889" s="7" t="b">
        <v>1</v>
      </c>
      <c r="K889" s="6">
        <v>314</v>
      </c>
      <c r="L889" s="6">
        <v>50</v>
      </c>
      <c r="M889" s="7" t="s">
        <v>43</v>
      </c>
      <c r="N889" s="7" t="s">
        <v>56</v>
      </c>
      <c r="O889" s="7" t="s">
        <v>45</v>
      </c>
      <c r="P889" s="6">
        <v>7</v>
      </c>
      <c r="Q889" s="11">
        <v>4.9000000000000004</v>
      </c>
      <c r="R889" s="7" t="b">
        <v>1</v>
      </c>
      <c r="S889" s="7" t="s">
        <v>30</v>
      </c>
      <c r="T889" s="6">
        <v>3165</v>
      </c>
      <c r="U889" s="7" t="s">
        <v>58</v>
      </c>
      <c r="V889" s="12" t="s">
        <v>39</v>
      </c>
      <c r="W889" s="7" t="s">
        <v>60</v>
      </c>
      <c r="X889" s="6">
        <f t="shared" si="55"/>
        <v>524</v>
      </c>
      <c r="Y889" t="str" cm="1">
        <f t="array" ref="Y889">_xlfn.IFS(E889=7.99,"BASIC",E889=11.99,"STANDARD",E889=15.99,"PREMIUM")</f>
        <v>BASIC</v>
      </c>
      <c r="Z889" s="4">
        <f t="shared" si="53"/>
        <v>4.7557251908396942</v>
      </c>
      <c r="AA889" s="3" t="str" cm="1">
        <f t="array" ref="AA889">_xlfn.IFS(
(F889/(X889/7)) &lt; 5, "Casual",
AND((F889/(X889/7)) &gt;= 5, (F889/(X889/7)) &lt; 15), "Regular",
(F889/(X889/7)) &gt;= 15, "Power"
)</f>
        <v>Casual</v>
      </c>
      <c r="AB889" s="3">
        <f t="shared" si="56"/>
        <v>0.97802197802197799</v>
      </c>
      <c r="AC889" t="str">
        <f t="shared" si="54"/>
        <v>Viewers</v>
      </c>
    </row>
    <row r="890" spans="1:29" x14ac:dyDescent="0.3">
      <c r="A890" s="6">
        <v>2675</v>
      </c>
      <c r="B890" s="7" t="s">
        <v>701</v>
      </c>
      <c r="C890" s="10">
        <v>44975</v>
      </c>
      <c r="D890" s="10">
        <v>45630</v>
      </c>
      <c r="E890" s="13">
        <v>15.99</v>
      </c>
      <c r="F890" s="6">
        <v>28</v>
      </c>
      <c r="G890" s="7" t="s">
        <v>51</v>
      </c>
      <c r="H890" s="6">
        <v>2</v>
      </c>
      <c r="I890" s="6">
        <v>1</v>
      </c>
      <c r="J890" s="7" t="b">
        <v>1</v>
      </c>
      <c r="K890" s="6">
        <v>666</v>
      </c>
      <c r="L890" s="6">
        <v>65</v>
      </c>
      <c r="M890" s="7" t="s">
        <v>92</v>
      </c>
      <c r="N890" s="7" t="s">
        <v>28</v>
      </c>
      <c r="O890" s="7" t="s">
        <v>37</v>
      </c>
      <c r="P890" s="6">
        <v>21</v>
      </c>
      <c r="Q890" s="11">
        <v>4.3</v>
      </c>
      <c r="R890" s="7" t="b">
        <v>0</v>
      </c>
      <c r="S890" s="7" t="s">
        <v>30</v>
      </c>
      <c r="T890" s="6">
        <v>2538</v>
      </c>
      <c r="U890" s="7" t="s">
        <v>38</v>
      </c>
      <c r="V890" s="12" t="s">
        <v>59</v>
      </c>
      <c r="W890" s="7" t="s">
        <v>33</v>
      </c>
      <c r="X890" s="6">
        <f t="shared" si="55"/>
        <v>655</v>
      </c>
      <c r="Y890" t="str" cm="1">
        <f t="array" ref="Y890">_xlfn.IFS(E890=7.99,"BASIC",E890=11.99,"STANDARD",E890=15.99,"PREMIUM")</f>
        <v>PREMIUM</v>
      </c>
      <c r="Z890" s="4">
        <f t="shared" si="53"/>
        <v>0.29923664122137406</v>
      </c>
      <c r="AA890" s="3" t="str" cm="1">
        <f t="array" ref="AA890">_xlfn.IFS(
(F890/(X890/7)) &lt; 5, "Casual",
AND((F890/(X890/7)) &gt;= 5, (F890/(X890/7)) &lt; 15), "Regular",
(F890/(X890/7)) &gt;= 15, "Power"
)</f>
        <v>Casual</v>
      </c>
      <c r="AB890" s="3">
        <f t="shared" si="56"/>
        <v>3.8303693570451436E-2</v>
      </c>
      <c r="AC890" t="str">
        <f t="shared" si="54"/>
        <v xml:space="preserve"> Browsers</v>
      </c>
    </row>
    <row r="891" spans="1:29" x14ac:dyDescent="0.3">
      <c r="A891" s="6">
        <v>1665</v>
      </c>
      <c r="B891" s="7" t="s">
        <v>128</v>
      </c>
      <c r="C891" s="10">
        <v>45350</v>
      </c>
      <c r="D891" s="10">
        <v>45643</v>
      </c>
      <c r="E891" s="13">
        <v>11.99</v>
      </c>
      <c r="F891" s="6">
        <v>43</v>
      </c>
      <c r="G891" s="7" t="s">
        <v>73</v>
      </c>
      <c r="H891" s="6">
        <v>5</v>
      </c>
      <c r="I891" s="6">
        <v>2</v>
      </c>
      <c r="J891" s="7" t="b">
        <v>0</v>
      </c>
      <c r="K891" s="6">
        <v>767</v>
      </c>
      <c r="L891" s="6">
        <v>83</v>
      </c>
      <c r="M891" s="7" t="s">
        <v>68</v>
      </c>
      <c r="N891" s="7" t="s">
        <v>75</v>
      </c>
      <c r="O891" s="7" t="s">
        <v>37</v>
      </c>
      <c r="P891" s="6">
        <v>58</v>
      </c>
      <c r="Q891" s="11">
        <v>3</v>
      </c>
      <c r="R891" s="7" t="b">
        <v>1</v>
      </c>
      <c r="S891" s="7" t="s">
        <v>30</v>
      </c>
      <c r="T891" s="6">
        <v>245</v>
      </c>
      <c r="U891" s="7" t="s">
        <v>38</v>
      </c>
      <c r="V891" s="12" t="s">
        <v>32</v>
      </c>
      <c r="W891" s="7" t="s">
        <v>93</v>
      </c>
      <c r="X891" s="6">
        <f t="shared" si="55"/>
        <v>293</v>
      </c>
      <c r="Y891" t="str" cm="1">
        <f t="array" ref="Y891">_xlfn.IFS(E891=7.99,"BASIC",E891=11.99,"STANDARD",E891=15.99,"PREMIUM")</f>
        <v>STANDARD</v>
      </c>
      <c r="Z891" s="4">
        <f t="shared" si="53"/>
        <v>1.0273037542662118</v>
      </c>
      <c r="AA891" s="3" t="str" cm="1">
        <f t="array" ref="AA891">_xlfn.IFS(
(F891/(X891/7)) &lt; 5, "Casual",
AND((F891/(X891/7)) &gt;= 5, (F891/(X891/7)) &lt; 15), "Regular",
(F891/(X891/7)) &gt;= 15, "Power"
)</f>
        <v>Casual</v>
      </c>
      <c r="AB891" s="3">
        <f t="shared" si="56"/>
        <v>5.0588235294117649E-2</v>
      </c>
      <c r="AC891" t="str">
        <f t="shared" si="54"/>
        <v xml:space="preserve"> Browsers</v>
      </c>
    </row>
    <row r="892" spans="1:29" x14ac:dyDescent="0.3">
      <c r="A892" s="6">
        <v>5671</v>
      </c>
      <c r="B892" s="7" t="s">
        <v>274</v>
      </c>
      <c r="C892" s="10">
        <v>45073</v>
      </c>
      <c r="D892" s="10">
        <v>45625</v>
      </c>
      <c r="E892" s="13">
        <v>11.99</v>
      </c>
      <c r="F892" s="6">
        <v>391</v>
      </c>
      <c r="G892" s="7" t="s">
        <v>36</v>
      </c>
      <c r="H892" s="6">
        <v>3</v>
      </c>
      <c r="I892" s="6">
        <v>3</v>
      </c>
      <c r="J892" s="7" t="b">
        <v>1</v>
      </c>
      <c r="K892" s="6">
        <v>811</v>
      </c>
      <c r="L892" s="6">
        <v>3</v>
      </c>
      <c r="M892" s="7" t="s">
        <v>27</v>
      </c>
      <c r="N892" s="7" t="s">
        <v>28</v>
      </c>
      <c r="O892" s="7" t="s">
        <v>78</v>
      </c>
      <c r="P892" s="6">
        <v>17</v>
      </c>
      <c r="Q892" s="11">
        <v>4.2</v>
      </c>
      <c r="R892" s="7" t="b">
        <v>0</v>
      </c>
      <c r="S892" s="7" t="s">
        <v>30</v>
      </c>
      <c r="T892" s="6">
        <v>1364</v>
      </c>
      <c r="U892" s="7" t="s">
        <v>58</v>
      </c>
      <c r="V892" s="12" t="s">
        <v>32</v>
      </c>
      <c r="W892" s="7" t="s">
        <v>60</v>
      </c>
      <c r="X892" s="6">
        <f t="shared" si="55"/>
        <v>552</v>
      </c>
      <c r="Y892" t="str" cm="1">
        <f t="array" ref="Y892">_xlfn.IFS(E892=7.99,"BASIC",E892=11.99,"STANDARD",E892=15.99,"PREMIUM")</f>
        <v>STANDARD</v>
      </c>
      <c r="Z892" s="4">
        <f t="shared" si="53"/>
        <v>4.958333333333333</v>
      </c>
      <c r="AA892" s="3" t="str" cm="1">
        <f t="array" ref="AA892">_xlfn.IFS(
(F892/(X892/7)) &lt; 5, "Casual",
AND((F892/(X892/7)) &gt;= 5, (F892/(X892/7)) &lt; 15), "Regular",
(F892/(X892/7)) &gt;= 15, "Power"
)</f>
        <v>Casual</v>
      </c>
      <c r="AB892" s="3">
        <f t="shared" si="56"/>
        <v>0.48034398034398035</v>
      </c>
      <c r="AC892" t="str">
        <f t="shared" si="54"/>
        <v>Viewers</v>
      </c>
    </row>
    <row r="893" spans="1:29" x14ac:dyDescent="0.3">
      <c r="A893" s="6">
        <v>5153</v>
      </c>
      <c r="B893" s="7" t="s">
        <v>254</v>
      </c>
      <c r="C893" s="10">
        <v>45469</v>
      </c>
      <c r="D893" s="10">
        <v>45644</v>
      </c>
      <c r="E893" s="13">
        <v>7.99</v>
      </c>
      <c r="F893" s="6">
        <v>300</v>
      </c>
      <c r="G893" s="7" t="s">
        <v>48</v>
      </c>
      <c r="H893" s="6">
        <v>1</v>
      </c>
      <c r="I893" s="6">
        <v>4</v>
      </c>
      <c r="J893" s="7" t="b">
        <v>1</v>
      </c>
      <c r="K893" s="6">
        <v>413</v>
      </c>
      <c r="L893" s="6">
        <v>154</v>
      </c>
      <c r="M893" s="7" t="s">
        <v>43</v>
      </c>
      <c r="N893" s="7" t="s">
        <v>28</v>
      </c>
      <c r="O893" s="7" t="s">
        <v>78</v>
      </c>
      <c r="P893" s="6">
        <v>64</v>
      </c>
      <c r="Q893" s="11">
        <v>4.0999999999999996</v>
      </c>
      <c r="R893" s="7" t="b">
        <v>0</v>
      </c>
      <c r="S893" s="7" t="s">
        <v>30</v>
      </c>
      <c r="T893" s="6">
        <v>732</v>
      </c>
      <c r="U893" s="7" t="s">
        <v>38</v>
      </c>
      <c r="V893" s="12" t="s">
        <v>79</v>
      </c>
      <c r="W893" s="7" t="s">
        <v>40</v>
      </c>
      <c r="X893" s="6">
        <f t="shared" si="55"/>
        <v>175</v>
      </c>
      <c r="Y893" t="str" cm="1">
        <f t="array" ref="Y893">_xlfn.IFS(E893=7.99,"BASIC",E893=11.99,"STANDARD",E893=15.99,"PREMIUM")</f>
        <v>BASIC</v>
      </c>
      <c r="Z893" s="4">
        <f t="shared" si="53"/>
        <v>12</v>
      </c>
      <c r="AA893" s="3" t="str" cm="1">
        <f t="array" ref="AA893">_xlfn.IFS(
(F893/(X893/7)) &lt; 5, "Casual",
AND((F893/(X893/7)) &gt;= 5, (F893/(X893/7)) &lt; 15), "Regular",
(F893/(X893/7)) &gt;= 15, "Power"
)</f>
        <v>Regular</v>
      </c>
      <c r="AB893" s="3">
        <f t="shared" si="56"/>
        <v>0.52910052910052907</v>
      </c>
      <c r="AC893" t="str">
        <f t="shared" si="54"/>
        <v>Viewers</v>
      </c>
    </row>
    <row r="894" spans="1:29" x14ac:dyDescent="0.3">
      <c r="A894" s="6">
        <v>1114</v>
      </c>
      <c r="B894" s="7" t="s">
        <v>325</v>
      </c>
      <c r="C894" s="10">
        <v>44928</v>
      </c>
      <c r="D894" s="10">
        <v>45641</v>
      </c>
      <c r="E894" s="13">
        <v>11.99</v>
      </c>
      <c r="F894" s="6">
        <v>75</v>
      </c>
      <c r="G894" s="7" t="s">
        <v>63</v>
      </c>
      <c r="H894" s="6">
        <v>3</v>
      </c>
      <c r="I894" s="6">
        <v>3</v>
      </c>
      <c r="J894" s="7" t="b">
        <v>0</v>
      </c>
      <c r="K894" s="6">
        <v>324</v>
      </c>
      <c r="L894" s="6">
        <v>175</v>
      </c>
      <c r="M894" s="7" t="s">
        <v>27</v>
      </c>
      <c r="N894" s="7" t="s">
        <v>44</v>
      </c>
      <c r="O894" s="7" t="s">
        <v>37</v>
      </c>
      <c r="P894" s="6">
        <v>18</v>
      </c>
      <c r="Q894" s="11">
        <v>3.3</v>
      </c>
      <c r="R894" s="7" t="b">
        <v>0</v>
      </c>
      <c r="S894" s="7" t="s">
        <v>30</v>
      </c>
      <c r="T894" s="6">
        <v>4976</v>
      </c>
      <c r="U894" s="7" t="s">
        <v>76</v>
      </c>
      <c r="V894" s="12" t="s">
        <v>69</v>
      </c>
      <c r="W894" s="7" t="s">
        <v>40</v>
      </c>
      <c r="X894" s="6">
        <f t="shared" si="55"/>
        <v>713</v>
      </c>
      <c r="Y894" t="str" cm="1">
        <f t="array" ref="Y894">_xlfn.IFS(E894=7.99,"BASIC",E894=11.99,"STANDARD",E894=15.99,"PREMIUM")</f>
        <v>STANDARD</v>
      </c>
      <c r="Z894" s="4">
        <f t="shared" si="53"/>
        <v>0.73632538569424966</v>
      </c>
      <c r="AA894" s="3" t="str" cm="1">
        <f t="array" ref="AA894">_xlfn.IFS(
(F894/(X894/7)) &lt; 5, "Casual",
AND((F894/(X894/7)) &gt;= 5, (F894/(X894/7)) &lt; 15), "Regular",
(F894/(X894/7)) &gt;= 15, "Power"
)</f>
        <v>Casual</v>
      </c>
      <c r="AB894" s="3">
        <f t="shared" si="56"/>
        <v>0.15030060120240482</v>
      </c>
      <c r="AC894" t="str">
        <f t="shared" si="54"/>
        <v>Viewers</v>
      </c>
    </row>
    <row r="895" spans="1:29" x14ac:dyDescent="0.3">
      <c r="A895" s="6">
        <v>6180</v>
      </c>
      <c r="B895" s="7" t="s">
        <v>701</v>
      </c>
      <c r="C895" s="10">
        <v>45513</v>
      </c>
      <c r="D895" s="10">
        <v>45628</v>
      </c>
      <c r="E895" s="13">
        <v>11.99</v>
      </c>
      <c r="F895" s="6">
        <v>154</v>
      </c>
      <c r="G895" s="7" t="s">
        <v>100</v>
      </c>
      <c r="H895" s="6">
        <v>1</v>
      </c>
      <c r="I895" s="6">
        <v>5</v>
      </c>
      <c r="J895" s="7" t="b">
        <v>1</v>
      </c>
      <c r="K895" s="6">
        <v>52</v>
      </c>
      <c r="L895" s="6">
        <v>108</v>
      </c>
      <c r="M895" s="7" t="s">
        <v>74</v>
      </c>
      <c r="N895" s="7" t="s">
        <v>56</v>
      </c>
      <c r="O895" s="7" t="s">
        <v>37</v>
      </c>
      <c r="P895" s="6">
        <v>94</v>
      </c>
      <c r="Q895" s="11">
        <v>4.0999999999999996</v>
      </c>
      <c r="R895" s="7" t="b">
        <v>0</v>
      </c>
      <c r="S895" s="7" t="s">
        <v>30</v>
      </c>
      <c r="T895" s="6">
        <v>4176</v>
      </c>
      <c r="U895" s="7" t="s">
        <v>76</v>
      </c>
      <c r="V895" s="12" t="s">
        <v>59</v>
      </c>
      <c r="W895" s="7" t="s">
        <v>33</v>
      </c>
      <c r="X895" s="6">
        <f t="shared" si="55"/>
        <v>115</v>
      </c>
      <c r="Y895" t="str" cm="1">
        <f t="array" ref="Y895">_xlfn.IFS(E895=7.99,"BASIC",E895=11.99,"STANDARD",E895=15.99,"PREMIUM")</f>
        <v>STANDARD</v>
      </c>
      <c r="Z895" s="4">
        <f t="shared" si="53"/>
        <v>9.3739130434782609</v>
      </c>
      <c r="AA895" s="3" t="str" cm="1">
        <f t="array" ref="AA895">_xlfn.IFS(
(F895/(X895/7)) &lt; 5, "Casual",
AND((F895/(X895/7)) &gt;= 5, (F895/(X895/7)) &lt; 15), "Regular",
(F895/(X895/7)) &gt;= 15, "Power"
)</f>
        <v>Regular</v>
      </c>
      <c r="AB895" s="3">
        <f t="shared" si="56"/>
        <v>0.96250000000000002</v>
      </c>
      <c r="AC895" t="str">
        <f t="shared" si="54"/>
        <v>Viewers</v>
      </c>
    </row>
    <row r="896" spans="1:29" x14ac:dyDescent="0.3">
      <c r="A896" s="6">
        <v>8237</v>
      </c>
      <c r="B896" s="7" t="s">
        <v>52</v>
      </c>
      <c r="C896" s="10">
        <v>45065</v>
      </c>
      <c r="D896" s="10">
        <v>45633</v>
      </c>
      <c r="E896" s="13">
        <v>7.99</v>
      </c>
      <c r="F896" s="6">
        <v>179</v>
      </c>
      <c r="G896" s="7" t="s">
        <v>73</v>
      </c>
      <c r="H896" s="6">
        <v>2</v>
      </c>
      <c r="I896" s="6">
        <v>6</v>
      </c>
      <c r="J896" s="7" t="b">
        <v>0</v>
      </c>
      <c r="K896" s="6">
        <v>680</v>
      </c>
      <c r="L896" s="6">
        <v>50</v>
      </c>
      <c r="M896" s="7" t="s">
        <v>27</v>
      </c>
      <c r="N896" s="7" t="s">
        <v>56</v>
      </c>
      <c r="O896" s="7" t="s">
        <v>64</v>
      </c>
      <c r="P896" s="6">
        <v>52</v>
      </c>
      <c r="Q896" s="11">
        <v>3.4</v>
      </c>
      <c r="R896" s="7" t="b">
        <v>0</v>
      </c>
      <c r="S896" s="7" t="s">
        <v>30</v>
      </c>
      <c r="T896" s="6">
        <v>2919</v>
      </c>
      <c r="U896" s="7" t="s">
        <v>31</v>
      </c>
      <c r="V896" s="12" t="s">
        <v>39</v>
      </c>
      <c r="W896" s="7" t="s">
        <v>33</v>
      </c>
      <c r="X896" s="6">
        <f t="shared" si="55"/>
        <v>568</v>
      </c>
      <c r="Y896" t="str" cm="1">
        <f t="array" ref="Y896">_xlfn.IFS(E896=7.99,"BASIC",E896=11.99,"STANDARD",E896=15.99,"PREMIUM")</f>
        <v>BASIC</v>
      </c>
      <c r="Z896" s="4">
        <f t="shared" si="53"/>
        <v>2.205985915492958</v>
      </c>
      <c r="AA896" s="3" t="str" cm="1">
        <f t="array" ref="AA896">_xlfn.IFS(
(F896/(X896/7)) &lt; 5, "Casual",
AND((F896/(X896/7)) &gt;= 5, (F896/(X896/7)) &lt; 15), "Regular",
(F896/(X896/7)) &gt;= 15, "Power"
)</f>
        <v>Casual</v>
      </c>
      <c r="AB896" s="3">
        <f t="shared" si="56"/>
        <v>0.24520547945205479</v>
      </c>
      <c r="AC896" t="str">
        <f t="shared" si="54"/>
        <v>Viewers</v>
      </c>
    </row>
    <row r="897" spans="1:29" x14ac:dyDescent="0.3">
      <c r="A897" s="6">
        <v>9500</v>
      </c>
      <c r="B897" s="7" t="s">
        <v>703</v>
      </c>
      <c r="C897" s="10">
        <v>45182</v>
      </c>
      <c r="D897" s="10">
        <v>45636</v>
      </c>
      <c r="E897" s="13">
        <v>11.99</v>
      </c>
      <c r="F897" s="6">
        <v>147</v>
      </c>
      <c r="G897" s="7" t="s">
        <v>51</v>
      </c>
      <c r="H897" s="6">
        <v>1</v>
      </c>
      <c r="I897" s="6">
        <v>1</v>
      </c>
      <c r="J897" s="7" t="b">
        <v>1</v>
      </c>
      <c r="K897" s="6">
        <v>780</v>
      </c>
      <c r="L897" s="6">
        <v>76</v>
      </c>
      <c r="M897" s="7" t="s">
        <v>27</v>
      </c>
      <c r="N897" s="7" t="s">
        <v>56</v>
      </c>
      <c r="O897" s="7" t="s">
        <v>45</v>
      </c>
      <c r="P897" s="6">
        <v>21</v>
      </c>
      <c r="Q897" s="11">
        <v>4.4000000000000004</v>
      </c>
      <c r="R897" s="7" t="b">
        <v>1</v>
      </c>
      <c r="S897" s="7" t="s">
        <v>30</v>
      </c>
      <c r="T897" s="6">
        <v>3081</v>
      </c>
      <c r="U897" s="7" t="s">
        <v>76</v>
      </c>
      <c r="V897" s="12" t="s">
        <v>39</v>
      </c>
      <c r="W897" s="7" t="s">
        <v>33</v>
      </c>
      <c r="X897" s="6">
        <f t="shared" si="55"/>
        <v>454</v>
      </c>
      <c r="Y897" t="str" cm="1">
        <f t="array" ref="Y897">_xlfn.IFS(E897=7.99,"BASIC",E897=11.99,"STANDARD",E897=15.99,"PREMIUM")</f>
        <v>STANDARD</v>
      </c>
      <c r="Z897" s="4">
        <f t="shared" si="53"/>
        <v>2.266519823788546</v>
      </c>
      <c r="AA897" s="3" t="str" cm="1">
        <f t="array" ref="AA897">_xlfn.IFS(
(F897/(X897/7)) &lt; 5, "Casual",
AND((F897/(X897/7)) &gt;= 5, (F897/(X897/7)) &lt; 15), "Regular",
(F897/(X897/7)) &gt;= 15, "Power"
)</f>
        <v>Casual</v>
      </c>
      <c r="AB897" s="3">
        <f t="shared" si="56"/>
        <v>0.17172897196261683</v>
      </c>
      <c r="AC897" t="str">
        <f t="shared" si="54"/>
        <v>Viewers</v>
      </c>
    </row>
    <row r="898" spans="1:29" x14ac:dyDescent="0.3">
      <c r="A898" s="6">
        <v>7476</v>
      </c>
      <c r="B898" s="7" t="s">
        <v>34</v>
      </c>
      <c r="C898" s="10">
        <v>45093</v>
      </c>
      <c r="D898" s="10">
        <v>45623</v>
      </c>
      <c r="E898" s="13">
        <v>11.99</v>
      </c>
      <c r="F898" s="6">
        <v>235</v>
      </c>
      <c r="G898" s="7" t="s">
        <v>63</v>
      </c>
      <c r="H898" s="6">
        <v>3</v>
      </c>
      <c r="I898" s="6">
        <v>1</v>
      </c>
      <c r="J898" s="7" t="b">
        <v>1</v>
      </c>
      <c r="K898" s="6">
        <v>569</v>
      </c>
      <c r="L898" s="6">
        <v>176</v>
      </c>
      <c r="M898" s="7" t="s">
        <v>92</v>
      </c>
      <c r="N898" s="7" t="s">
        <v>44</v>
      </c>
      <c r="O898" s="7" t="s">
        <v>78</v>
      </c>
      <c r="P898" s="6">
        <v>18</v>
      </c>
      <c r="Q898" s="11">
        <v>3.8</v>
      </c>
      <c r="R898" s="7" t="b">
        <v>1</v>
      </c>
      <c r="S898" s="7" t="s">
        <v>30</v>
      </c>
      <c r="T898" s="6">
        <v>3138</v>
      </c>
      <c r="U898" s="7" t="s">
        <v>38</v>
      </c>
      <c r="V898" s="12" t="s">
        <v>32</v>
      </c>
      <c r="W898" s="7" t="s">
        <v>93</v>
      </c>
      <c r="X898" s="6">
        <f t="shared" si="55"/>
        <v>530</v>
      </c>
      <c r="Y898" t="str" cm="1">
        <f t="array" ref="Y898">_xlfn.IFS(E898=7.99,"BASIC",E898=11.99,"STANDARD",E898=15.99,"PREMIUM")</f>
        <v>STANDARD</v>
      </c>
      <c r="Z898" s="4">
        <f t="shared" ref="Z898:Z961" si="57">F898/(X898/7)</f>
        <v>3.1037735849056607</v>
      </c>
      <c r="AA898" s="3" t="str" cm="1">
        <f t="array" ref="AA898">_xlfn.IFS(
(F898/(X898/7)) &lt; 5, "Casual",
AND((F898/(X898/7)) &gt;= 5, (F898/(X898/7)) &lt; 15), "Regular",
(F898/(X898/7)) &gt;= 15, "Power"
)</f>
        <v>Casual</v>
      </c>
      <c r="AB898" s="3">
        <f t="shared" si="56"/>
        <v>0.31543624161073824</v>
      </c>
      <c r="AC898" t="str">
        <f t="shared" ref="AC898:AC961" si="58">IF(F898/(K898+L898) &lt; 0.15," Browsers","Viewers")</f>
        <v>Viewers</v>
      </c>
    </row>
    <row r="899" spans="1:29" x14ac:dyDescent="0.3">
      <c r="A899" s="6">
        <v>9908</v>
      </c>
      <c r="B899" s="7" t="s">
        <v>624</v>
      </c>
      <c r="C899" s="10">
        <v>44929</v>
      </c>
      <c r="D899" s="10">
        <v>45630</v>
      </c>
      <c r="E899" s="13">
        <v>11.99</v>
      </c>
      <c r="F899" s="6">
        <v>390</v>
      </c>
      <c r="G899" s="7" t="s">
        <v>100</v>
      </c>
      <c r="H899" s="6">
        <v>3</v>
      </c>
      <c r="I899" s="6">
        <v>1</v>
      </c>
      <c r="J899" s="7" t="b">
        <v>0</v>
      </c>
      <c r="K899" s="6">
        <v>256</v>
      </c>
      <c r="L899" s="6">
        <v>183</v>
      </c>
      <c r="M899" s="7" t="s">
        <v>74</v>
      </c>
      <c r="N899" s="7" t="s">
        <v>56</v>
      </c>
      <c r="O899" s="7" t="s">
        <v>37</v>
      </c>
      <c r="P899" s="6">
        <v>89</v>
      </c>
      <c r="Q899" s="11">
        <v>3.2</v>
      </c>
      <c r="R899" s="7" t="b">
        <v>1</v>
      </c>
      <c r="S899" s="7" t="s">
        <v>30</v>
      </c>
      <c r="T899" s="6">
        <v>1180</v>
      </c>
      <c r="U899" s="7" t="s">
        <v>58</v>
      </c>
      <c r="V899" s="12" t="s">
        <v>69</v>
      </c>
      <c r="W899" s="7" t="s">
        <v>40</v>
      </c>
      <c r="X899" s="6">
        <f t="shared" ref="X899:X962" si="59">D899-C899</f>
        <v>701</v>
      </c>
      <c r="Y899" t="str" cm="1">
        <f t="array" ref="Y899">_xlfn.IFS(E899=7.99,"BASIC",E899=11.99,"STANDARD",E899=15.99,"PREMIUM")</f>
        <v>STANDARD</v>
      </c>
      <c r="Z899" s="4">
        <f t="shared" si="57"/>
        <v>3.8944365192582029</v>
      </c>
      <c r="AA899" s="3" t="str" cm="1">
        <f t="array" ref="AA899">_xlfn.IFS(
(F899/(X899/7)) &lt; 5, "Casual",
AND((F899/(X899/7)) &gt;= 5, (F899/(X899/7)) &lt; 15), "Regular",
(F899/(X899/7)) &gt;= 15, "Power"
)</f>
        <v>Casual</v>
      </c>
      <c r="AB899" s="3">
        <f t="shared" si="56"/>
        <v>0.88838268792710706</v>
      </c>
      <c r="AC899" t="str">
        <f t="shared" si="58"/>
        <v>Viewers</v>
      </c>
    </row>
    <row r="900" spans="1:29" x14ac:dyDescent="0.3">
      <c r="A900" s="6">
        <v>1534</v>
      </c>
      <c r="B900" s="7" t="s">
        <v>52</v>
      </c>
      <c r="C900" s="10">
        <v>45495</v>
      </c>
      <c r="D900" s="10">
        <v>45644</v>
      </c>
      <c r="E900" s="13">
        <v>7.99</v>
      </c>
      <c r="F900" s="6">
        <v>116</v>
      </c>
      <c r="G900" s="7" t="s">
        <v>26</v>
      </c>
      <c r="H900" s="6">
        <v>1</v>
      </c>
      <c r="I900" s="6">
        <v>4</v>
      </c>
      <c r="J900" s="7" t="b">
        <v>0</v>
      </c>
      <c r="K900" s="6">
        <v>799</v>
      </c>
      <c r="L900" s="6">
        <v>137</v>
      </c>
      <c r="M900" s="7" t="s">
        <v>27</v>
      </c>
      <c r="N900" s="7" t="s">
        <v>56</v>
      </c>
      <c r="O900" s="7" t="s">
        <v>45</v>
      </c>
      <c r="P900" s="6">
        <v>78</v>
      </c>
      <c r="Q900" s="11">
        <v>4.5999999999999996</v>
      </c>
      <c r="R900" s="7" t="b">
        <v>1</v>
      </c>
      <c r="S900" s="7" t="s">
        <v>30</v>
      </c>
      <c r="T900" s="6">
        <v>4518</v>
      </c>
      <c r="U900" s="7" t="s">
        <v>38</v>
      </c>
      <c r="V900" s="12" t="s">
        <v>79</v>
      </c>
      <c r="W900" s="7" t="s">
        <v>40</v>
      </c>
      <c r="X900" s="6">
        <f t="shared" si="59"/>
        <v>149</v>
      </c>
      <c r="Y900" t="str" cm="1">
        <f t="array" ref="Y900">_xlfn.IFS(E900=7.99,"BASIC",E900=11.99,"STANDARD",E900=15.99,"PREMIUM")</f>
        <v>BASIC</v>
      </c>
      <c r="Z900" s="4">
        <f t="shared" si="57"/>
        <v>5.4496644295302019</v>
      </c>
      <c r="AA900" s="3" t="str" cm="1">
        <f t="array" ref="AA900">_xlfn.IFS(
(F900/(X900/7)) &lt; 5, "Casual",
AND((F900/(X900/7)) &gt;= 5, (F900/(X900/7)) &lt; 15), "Regular",
(F900/(X900/7)) &gt;= 15, "Power"
)</f>
        <v>Regular</v>
      </c>
      <c r="AB900" s="3">
        <f t="shared" si="56"/>
        <v>0.12393162393162394</v>
      </c>
      <c r="AC900" t="str">
        <f t="shared" si="58"/>
        <v xml:space="preserve"> Browsers</v>
      </c>
    </row>
    <row r="901" spans="1:29" x14ac:dyDescent="0.3">
      <c r="A901" s="6">
        <v>4613</v>
      </c>
      <c r="B901" s="7" t="s">
        <v>114</v>
      </c>
      <c r="C901" s="10">
        <v>44988</v>
      </c>
      <c r="D901" s="10">
        <v>45630</v>
      </c>
      <c r="E901" s="13">
        <v>15.99</v>
      </c>
      <c r="F901" s="6">
        <v>492</v>
      </c>
      <c r="G901" s="7" t="s">
        <v>26</v>
      </c>
      <c r="H901" s="6">
        <v>1</v>
      </c>
      <c r="I901" s="6">
        <v>2</v>
      </c>
      <c r="J901" s="7" t="b">
        <v>0</v>
      </c>
      <c r="K901" s="6">
        <v>237</v>
      </c>
      <c r="L901" s="6">
        <v>55</v>
      </c>
      <c r="M901" s="7" t="s">
        <v>68</v>
      </c>
      <c r="N901" s="7" t="s">
        <v>75</v>
      </c>
      <c r="O901" s="7" t="s">
        <v>45</v>
      </c>
      <c r="P901" s="6">
        <v>15</v>
      </c>
      <c r="Q901" s="11">
        <v>4.9000000000000004</v>
      </c>
      <c r="R901" s="7" t="b">
        <v>1</v>
      </c>
      <c r="S901" s="7" t="s">
        <v>30</v>
      </c>
      <c r="T901" s="6">
        <v>3843</v>
      </c>
      <c r="U901" s="7" t="s">
        <v>31</v>
      </c>
      <c r="V901" s="12" t="s">
        <v>32</v>
      </c>
      <c r="W901" s="7" t="s">
        <v>40</v>
      </c>
      <c r="X901" s="6">
        <f t="shared" si="59"/>
        <v>642</v>
      </c>
      <c r="Y901" t="str" cm="1">
        <f t="array" ref="Y901">_xlfn.IFS(E901=7.99,"BASIC",E901=11.99,"STANDARD",E901=15.99,"PREMIUM")</f>
        <v>PREMIUM</v>
      </c>
      <c r="Z901" s="4">
        <f t="shared" si="57"/>
        <v>5.3644859813084116</v>
      </c>
      <c r="AA901" s="3" t="str" cm="1">
        <f t="array" ref="AA901">_xlfn.IFS(
(F901/(X901/7)) &lt; 5, "Casual",
AND((F901/(X901/7)) &gt;= 5, (F901/(X901/7)) &lt; 15), "Regular",
(F901/(X901/7)) &gt;= 15, "Power"
)</f>
        <v>Regular</v>
      </c>
      <c r="AB901" s="3">
        <f t="shared" si="56"/>
        <v>1.6849315068493151</v>
      </c>
      <c r="AC901" t="str">
        <f t="shared" si="58"/>
        <v>Viewers</v>
      </c>
    </row>
    <row r="902" spans="1:29" x14ac:dyDescent="0.3">
      <c r="A902" s="6">
        <v>5063</v>
      </c>
      <c r="B902" s="7" t="s">
        <v>491</v>
      </c>
      <c r="C902" s="10">
        <v>45447</v>
      </c>
      <c r="D902" s="10">
        <v>45618</v>
      </c>
      <c r="E902" s="13">
        <v>7.99</v>
      </c>
      <c r="F902" s="6">
        <v>159</v>
      </c>
      <c r="G902" s="7" t="s">
        <v>26</v>
      </c>
      <c r="H902" s="6">
        <v>4</v>
      </c>
      <c r="I902" s="6">
        <v>5</v>
      </c>
      <c r="J902" s="7" t="b">
        <v>1</v>
      </c>
      <c r="K902" s="6">
        <v>138</v>
      </c>
      <c r="L902" s="6">
        <v>3</v>
      </c>
      <c r="M902" s="7" t="s">
        <v>74</v>
      </c>
      <c r="N902" s="7" t="s">
        <v>44</v>
      </c>
      <c r="O902" s="7" t="s">
        <v>29</v>
      </c>
      <c r="P902" s="6">
        <v>12</v>
      </c>
      <c r="Q902" s="11">
        <v>3.9</v>
      </c>
      <c r="R902" s="7" t="b">
        <v>1</v>
      </c>
      <c r="S902" s="7" t="s">
        <v>30</v>
      </c>
      <c r="T902" s="6">
        <v>3604</v>
      </c>
      <c r="U902" s="7" t="s">
        <v>65</v>
      </c>
      <c r="V902" s="12" t="s">
        <v>39</v>
      </c>
      <c r="W902" s="7" t="s">
        <v>60</v>
      </c>
      <c r="X902" s="6">
        <f t="shared" si="59"/>
        <v>171</v>
      </c>
      <c r="Y902" t="str" cm="1">
        <f t="array" ref="Y902">_xlfn.IFS(E902=7.99,"BASIC",E902=11.99,"STANDARD",E902=15.99,"PREMIUM")</f>
        <v>BASIC</v>
      </c>
      <c r="Z902" s="4">
        <f t="shared" si="57"/>
        <v>6.5087719298245617</v>
      </c>
      <c r="AA902" s="3" t="str" cm="1">
        <f t="array" ref="AA902">_xlfn.IFS(
(F902/(X902/7)) &lt; 5, "Casual",
AND((F902/(X902/7)) &gt;= 5, (F902/(X902/7)) &lt; 15), "Regular",
(F902/(X902/7)) &gt;= 15, "Power"
)</f>
        <v>Regular</v>
      </c>
      <c r="AB902" s="3">
        <f t="shared" si="56"/>
        <v>1.1276595744680851</v>
      </c>
      <c r="AC902" t="str">
        <f t="shared" si="58"/>
        <v>Viewers</v>
      </c>
    </row>
    <row r="903" spans="1:29" x14ac:dyDescent="0.3">
      <c r="A903" s="6">
        <v>4548</v>
      </c>
      <c r="B903" s="7" t="s">
        <v>244</v>
      </c>
      <c r="C903" s="10">
        <v>45085</v>
      </c>
      <c r="D903" s="10">
        <v>45616</v>
      </c>
      <c r="E903" s="13">
        <v>7.99</v>
      </c>
      <c r="F903" s="6">
        <v>279</v>
      </c>
      <c r="G903" s="7" t="s">
        <v>100</v>
      </c>
      <c r="H903" s="6">
        <v>4</v>
      </c>
      <c r="I903" s="6">
        <v>6</v>
      </c>
      <c r="J903" s="7" t="b">
        <v>0</v>
      </c>
      <c r="K903" s="6">
        <v>636</v>
      </c>
      <c r="L903" s="6">
        <v>176</v>
      </c>
      <c r="M903" s="7" t="s">
        <v>92</v>
      </c>
      <c r="N903" s="7" t="s">
        <v>75</v>
      </c>
      <c r="O903" s="7" t="s">
        <v>78</v>
      </c>
      <c r="P903" s="6">
        <v>32</v>
      </c>
      <c r="Q903" s="11">
        <v>3.7</v>
      </c>
      <c r="R903" s="7" t="b">
        <v>1</v>
      </c>
      <c r="S903" s="7" t="s">
        <v>30</v>
      </c>
      <c r="T903" s="6">
        <v>4445</v>
      </c>
      <c r="U903" s="7" t="s">
        <v>31</v>
      </c>
      <c r="V903" s="12" t="s">
        <v>39</v>
      </c>
      <c r="W903" s="7" t="s">
        <v>93</v>
      </c>
      <c r="X903" s="6">
        <f t="shared" si="59"/>
        <v>531</v>
      </c>
      <c r="Y903" t="str" cm="1">
        <f t="array" ref="Y903">_xlfn.IFS(E903=7.99,"BASIC",E903=11.99,"STANDARD",E903=15.99,"PREMIUM")</f>
        <v>BASIC</v>
      </c>
      <c r="Z903" s="4">
        <f t="shared" si="57"/>
        <v>3.6779661016949152</v>
      </c>
      <c r="AA903" s="3" t="str" cm="1">
        <f t="array" ref="AA903">_xlfn.IFS(
(F903/(X903/7)) &lt; 5, "Casual",
AND((F903/(X903/7)) &gt;= 5, (F903/(X903/7)) &lt; 15), "Regular",
(F903/(X903/7)) &gt;= 15, "Power"
)</f>
        <v>Casual</v>
      </c>
      <c r="AB903" s="3">
        <f t="shared" si="56"/>
        <v>0.34359605911330049</v>
      </c>
      <c r="AC903" t="str">
        <f t="shared" si="58"/>
        <v>Viewers</v>
      </c>
    </row>
    <row r="904" spans="1:29" x14ac:dyDescent="0.3">
      <c r="A904" s="6">
        <v>7556</v>
      </c>
      <c r="B904" s="7" t="s">
        <v>598</v>
      </c>
      <c r="C904" s="10">
        <v>45490</v>
      </c>
      <c r="D904" s="10">
        <v>45622</v>
      </c>
      <c r="E904" s="13">
        <v>15.99</v>
      </c>
      <c r="F904" s="6">
        <v>386</v>
      </c>
      <c r="G904" s="7" t="s">
        <v>26</v>
      </c>
      <c r="H904" s="6">
        <v>2</v>
      </c>
      <c r="I904" s="6">
        <v>6</v>
      </c>
      <c r="J904" s="7" t="b">
        <v>1</v>
      </c>
      <c r="K904" s="6">
        <v>461</v>
      </c>
      <c r="L904" s="6">
        <v>178</v>
      </c>
      <c r="M904" s="7" t="s">
        <v>27</v>
      </c>
      <c r="N904" s="7" t="s">
        <v>75</v>
      </c>
      <c r="O904" s="7" t="s">
        <v>29</v>
      </c>
      <c r="P904" s="6">
        <v>79</v>
      </c>
      <c r="Q904" s="11">
        <v>3.7</v>
      </c>
      <c r="R904" s="7" t="b">
        <v>0</v>
      </c>
      <c r="S904" s="7" t="s">
        <v>30</v>
      </c>
      <c r="T904" s="6">
        <v>1587</v>
      </c>
      <c r="U904" s="7" t="s">
        <v>76</v>
      </c>
      <c r="V904" s="12" t="s">
        <v>32</v>
      </c>
      <c r="W904" s="7" t="s">
        <v>93</v>
      </c>
      <c r="X904" s="6">
        <f t="shared" si="59"/>
        <v>132</v>
      </c>
      <c r="Y904" t="str" cm="1">
        <f t="array" ref="Y904">_xlfn.IFS(E904=7.99,"BASIC",E904=11.99,"STANDARD",E904=15.99,"PREMIUM")</f>
        <v>PREMIUM</v>
      </c>
      <c r="Z904" s="4">
        <f t="shared" si="57"/>
        <v>20.469696969696969</v>
      </c>
      <c r="AA904" s="3" t="str" cm="1">
        <f t="array" ref="AA904">_xlfn.IFS(
(F904/(X904/7)) &lt; 5, "Casual",
AND((F904/(X904/7)) &gt;= 5, (F904/(X904/7)) &lt; 15), "Regular",
(F904/(X904/7)) &gt;= 15, "Power"
)</f>
        <v>Power</v>
      </c>
      <c r="AB904" s="3">
        <f t="shared" si="56"/>
        <v>0.6040688575899843</v>
      </c>
      <c r="AC904" t="str">
        <f t="shared" si="58"/>
        <v>Viewers</v>
      </c>
    </row>
    <row r="905" spans="1:29" x14ac:dyDescent="0.3">
      <c r="A905" s="6">
        <v>1846</v>
      </c>
      <c r="B905" s="7" t="s">
        <v>705</v>
      </c>
      <c r="C905" s="10">
        <v>45464</v>
      </c>
      <c r="D905" s="10">
        <v>45633</v>
      </c>
      <c r="E905" s="13">
        <v>15.99</v>
      </c>
      <c r="F905" s="6">
        <v>332</v>
      </c>
      <c r="G905" s="7" t="s">
        <v>48</v>
      </c>
      <c r="H905" s="6">
        <v>1</v>
      </c>
      <c r="I905" s="6">
        <v>6</v>
      </c>
      <c r="J905" s="7" t="b">
        <v>0</v>
      </c>
      <c r="K905" s="6">
        <v>20</v>
      </c>
      <c r="L905" s="6">
        <v>128</v>
      </c>
      <c r="M905" s="7" t="s">
        <v>68</v>
      </c>
      <c r="N905" s="7" t="s">
        <v>56</v>
      </c>
      <c r="O905" s="7" t="s">
        <v>64</v>
      </c>
      <c r="P905" s="6">
        <v>50</v>
      </c>
      <c r="Q905" s="11">
        <v>5</v>
      </c>
      <c r="R905" s="7" t="b">
        <v>0</v>
      </c>
      <c r="S905" s="7" t="s">
        <v>30</v>
      </c>
      <c r="T905" s="6">
        <v>4400</v>
      </c>
      <c r="U905" s="7" t="s">
        <v>58</v>
      </c>
      <c r="V905" s="12" t="s">
        <v>69</v>
      </c>
      <c r="W905" s="7" t="s">
        <v>33</v>
      </c>
      <c r="X905" s="6">
        <f t="shared" si="59"/>
        <v>169</v>
      </c>
      <c r="Y905" t="str" cm="1">
        <f t="array" ref="Y905">_xlfn.IFS(E905=7.99,"BASIC",E905=11.99,"STANDARD",E905=15.99,"PREMIUM")</f>
        <v>PREMIUM</v>
      </c>
      <c r="Z905" s="4">
        <f t="shared" si="57"/>
        <v>13.751479289940828</v>
      </c>
      <c r="AA905" s="3" t="str" cm="1">
        <f t="array" ref="AA905">_xlfn.IFS(
(F905/(X905/7)) &lt; 5, "Casual",
AND((F905/(X905/7)) &gt;= 5, (F905/(X905/7)) &lt; 15), "Regular",
(F905/(X905/7)) &gt;= 15, "Power"
)</f>
        <v>Regular</v>
      </c>
      <c r="AB905" s="3">
        <f t="shared" ref="AB905:AB968" si="60">(F905/(K905+L905))</f>
        <v>2.2432432432432434</v>
      </c>
      <c r="AC905" t="str">
        <f t="shared" si="58"/>
        <v>Viewers</v>
      </c>
    </row>
    <row r="906" spans="1:29" x14ac:dyDescent="0.3">
      <c r="A906" s="6">
        <v>7088</v>
      </c>
      <c r="B906" s="7" t="s">
        <v>120</v>
      </c>
      <c r="C906" s="10">
        <v>45292</v>
      </c>
      <c r="D906" s="10">
        <v>45617</v>
      </c>
      <c r="E906" s="13">
        <v>11.99</v>
      </c>
      <c r="F906" s="6">
        <v>176</v>
      </c>
      <c r="G906" s="7" t="s">
        <v>51</v>
      </c>
      <c r="H906" s="6">
        <v>5</v>
      </c>
      <c r="I906" s="6">
        <v>5</v>
      </c>
      <c r="J906" s="7" t="b">
        <v>1</v>
      </c>
      <c r="K906" s="6">
        <v>276</v>
      </c>
      <c r="L906" s="6">
        <v>138</v>
      </c>
      <c r="M906" s="7" t="s">
        <v>68</v>
      </c>
      <c r="N906" s="7" t="s">
        <v>28</v>
      </c>
      <c r="O906" s="7" t="s">
        <v>57</v>
      </c>
      <c r="P906" s="6">
        <v>56</v>
      </c>
      <c r="Q906" s="11">
        <v>4.7</v>
      </c>
      <c r="R906" s="7" t="b">
        <v>0</v>
      </c>
      <c r="S906" s="7" t="s">
        <v>30</v>
      </c>
      <c r="T906" s="6">
        <v>2891</v>
      </c>
      <c r="U906" s="7" t="s">
        <v>31</v>
      </c>
      <c r="V906" s="12" t="s">
        <v>59</v>
      </c>
      <c r="W906" s="7" t="s">
        <v>60</v>
      </c>
      <c r="X906" s="6">
        <f t="shared" si="59"/>
        <v>325</v>
      </c>
      <c r="Y906" t="str" cm="1">
        <f t="array" ref="Y906">_xlfn.IFS(E906=7.99,"BASIC",E906=11.99,"STANDARD",E906=15.99,"PREMIUM")</f>
        <v>STANDARD</v>
      </c>
      <c r="Z906" s="4">
        <f t="shared" si="57"/>
        <v>3.7907692307692304</v>
      </c>
      <c r="AA906" s="3" t="str" cm="1">
        <f t="array" ref="AA906">_xlfn.IFS(
(F906/(X906/7)) &lt; 5, "Casual",
AND((F906/(X906/7)) &gt;= 5, (F906/(X906/7)) &lt; 15), "Regular",
(F906/(X906/7)) &gt;= 15, "Power"
)</f>
        <v>Casual</v>
      </c>
      <c r="AB906" s="3">
        <f t="shared" si="60"/>
        <v>0.4251207729468599</v>
      </c>
      <c r="AC906" t="str">
        <f t="shared" si="58"/>
        <v>Viewers</v>
      </c>
    </row>
    <row r="907" spans="1:29" x14ac:dyDescent="0.3">
      <c r="A907" s="6">
        <v>1179</v>
      </c>
      <c r="B907" s="7" t="s">
        <v>395</v>
      </c>
      <c r="C907" s="10">
        <v>45450</v>
      </c>
      <c r="D907" s="10">
        <v>45644</v>
      </c>
      <c r="E907" s="13">
        <v>11.99</v>
      </c>
      <c r="F907" s="6">
        <v>221</v>
      </c>
      <c r="G907" s="7" t="s">
        <v>100</v>
      </c>
      <c r="H907" s="6">
        <v>4</v>
      </c>
      <c r="I907" s="6">
        <v>1</v>
      </c>
      <c r="J907" s="7" t="b">
        <v>1</v>
      </c>
      <c r="K907" s="6">
        <v>603</v>
      </c>
      <c r="L907" s="6">
        <v>141</v>
      </c>
      <c r="M907" s="7" t="s">
        <v>74</v>
      </c>
      <c r="N907" s="7" t="s">
        <v>75</v>
      </c>
      <c r="O907" s="7" t="s">
        <v>29</v>
      </c>
      <c r="P907" s="6">
        <v>44</v>
      </c>
      <c r="Q907" s="11">
        <v>3.3</v>
      </c>
      <c r="R907" s="7" t="b">
        <v>1</v>
      </c>
      <c r="S907" s="7" t="s">
        <v>30</v>
      </c>
      <c r="T907" s="6">
        <v>1363</v>
      </c>
      <c r="U907" s="7" t="s">
        <v>31</v>
      </c>
      <c r="V907" s="12" t="s">
        <v>32</v>
      </c>
      <c r="W907" s="7" t="s">
        <v>93</v>
      </c>
      <c r="X907" s="6">
        <f t="shared" si="59"/>
        <v>194</v>
      </c>
      <c r="Y907" t="str" cm="1">
        <f t="array" ref="Y907">_xlfn.IFS(E907=7.99,"BASIC",E907=11.99,"STANDARD",E907=15.99,"PREMIUM")</f>
        <v>STANDARD</v>
      </c>
      <c r="Z907" s="4">
        <f t="shared" si="57"/>
        <v>7.9742268041237114</v>
      </c>
      <c r="AA907" s="3" t="str" cm="1">
        <f t="array" ref="AA907">_xlfn.IFS(
(F907/(X907/7)) &lt; 5, "Casual",
AND((F907/(X907/7)) &gt;= 5, (F907/(X907/7)) &lt; 15), "Regular",
(F907/(X907/7)) &gt;= 15, "Power"
)</f>
        <v>Regular</v>
      </c>
      <c r="AB907" s="3">
        <f t="shared" si="60"/>
        <v>0.29704301075268819</v>
      </c>
      <c r="AC907" t="str">
        <f t="shared" si="58"/>
        <v>Viewers</v>
      </c>
    </row>
    <row r="908" spans="1:29" x14ac:dyDescent="0.3">
      <c r="A908" s="6">
        <v>2190</v>
      </c>
      <c r="B908" s="7" t="s">
        <v>682</v>
      </c>
      <c r="C908" s="10">
        <v>45291</v>
      </c>
      <c r="D908" s="10">
        <v>45631</v>
      </c>
      <c r="E908" s="13">
        <v>7.99</v>
      </c>
      <c r="F908" s="6">
        <v>263</v>
      </c>
      <c r="G908" s="7" t="s">
        <v>63</v>
      </c>
      <c r="H908" s="6">
        <v>4</v>
      </c>
      <c r="I908" s="6">
        <v>1</v>
      </c>
      <c r="J908" s="7" t="b">
        <v>1</v>
      </c>
      <c r="K908" s="6">
        <v>799</v>
      </c>
      <c r="L908" s="6">
        <v>14</v>
      </c>
      <c r="M908" s="7" t="s">
        <v>27</v>
      </c>
      <c r="N908" s="7" t="s">
        <v>56</v>
      </c>
      <c r="O908" s="7" t="s">
        <v>45</v>
      </c>
      <c r="P908" s="6">
        <v>32</v>
      </c>
      <c r="Q908" s="11">
        <v>3.3</v>
      </c>
      <c r="R908" s="7" t="b">
        <v>0</v>
      </c>
      <c r="S908" s="7" t="s">
        <v>30</v>
      </c>
      <c r="T908" s="6">
        <v>2323</v>
      </c>
      <c r="U908" s="7" t="s">
        <v>58</v>
      </c>
      <c r="V908" s="12" t="s">
        <v>79</v>
      </c>
      <c r="W908" s="7" t="s">
        <v>40</v>
      </c>
      <c r="X908" s="6">
        <f t="shared" si="59"/>
        <v>340</v>
      </c>
      <c r="Y908" t="str" cm="1">
        <f t="array" ref="Y908">_xlfn.IFS(E908=7.99,"BASIC",E908=11.99,"STANDARD",E908=15.99,"PREMIUM")</f>
        <v>BASIC</v>
      </c>
      <c r="Z908" s="4">
        <f t="shared" si="57"/>
        <v>5.4147058823529415</v>
      </c>
      <c r="AA908" s="3" t="str" cm="1">
        <f t="array" ref="AA908">_xlfn.IFS(
(F908/(X908/7)) &lt; 5, "Casual",
AND((F908/(X908/7)) &gt;= 5, (F908/(X908/7)) &lt; 15), "Regular",
(F908/(X908/7)) &gt;= 15, "Power"
)</f>
        <v>Regular</v>
      </c>
      <c r="AB908" s="3">
        <f t="shared" si="60"/>
        <v>0.32349323493234933</v>
      </c>
      <c r="AC908" t="str">
        <f t="shared" si="58"/>
        <v>Viewers</v>
      </c>
    </row>
    <row r="909" spans="1:29" x14ac:dyDescent="0.3">
      <c r="A909" s="6">
        <v>2847</v>
      </c>
      <c r="B909" s="7" t="s">
        <v>98</v>
      </c>
      <c r="C909" s="10">
        <v>45192</v>
      </c>
      <c r="D909" s="10">
        <v>45623</v>
      </c>
      <c r="E909" s="13">
        <v>15.99</v>
      </c>
      <c r="F909" s="6">
        <v>222</v>
      </c>
      <c r="G909" s="7" t="s">
        <v>51</v>
      </c>
      <c r="H909" s="6">
        <v>1</v>
      </c>
      <c r="I909" s="6">
        <v>3</v>
      </c>
      <c r="J909" s="7" t="b">
        <v>0</v>
      </c>
      <c r="K909" s="6">
        <v>785</v>
      </c>
      <c r="L909" s="6">
        <v>147</v>
      </c>
      <c r="M909" s="7" t="s">
        <v>92</v>
      </c>
      <c r="N909" s="7" t="s">
        <v>56</v>
      </c>
      <c r="O909" s="7" t="s">
        <v>45</v>
      </c>
      <c r="P909" s="6">
        <v>21</v>
      </c>
      <c r="Q909" s="11">
        <v>4.8</v>
      </c>
      <c r="R909" s="7" t="b">
        <v>1</v>
      </c>
      <c r="S909" s="7" t="s">
        <v>30</v>
      </c>
      <c r="T909" s="6">
        <v>4291</v>
      </c>
      <c r="U909" s="7" t="s">
        <v>58</v>
      </c>
      <c r="V909" s="12" t="s">
        <v>69</v>
      </c>
      <c r="W909" s="7" t="s">
        <v>60</v>
      </c>
      <c r="X909" s="6">
        <f t="shared" si="59"/>
        <v>431</v>
      </c>
      <c r="Y909" t="str" cm="1">
        <f t="array" ref="Y909">_xlfn.IFS(E909=7.99,"BASIC",E909=11.99,"STANDARD",E909=15.99,"PREMIUM")</f>
        <v>PREMIUM</v>
      </c>
      <c r="Z909" s="4">
        <f t="shared" si="57"/>
        <v>3.605568445475638</v>
      </c>
      <c r="AA909" s="3" t="str" cm="1">
        <f t="array" ref="AA909">_xlfn.IFS(
(F909/(X909/7)) &lt; 5, "Casual",
AND((F909/(X909/7)) &gt;= 5, (F909/(X909/7)) &lt; 15), "Regular",
(F909/(X909/7)) &gt;= 15, "Power"
)</f>
        <v>Casual</v>
      </c>
      <c r="AB909" s="3">
        <f t="shared" si="60"/>
        <v>0.23819742489270387</v>
      </c>
      <c r="AC909" t="str">
        <f t="shared" si="58"/>
        <v>Viewers</v>
      </c>
    </row>
    <row r="910" spans="1:29" x14ac:dyDescent="0.3">
      <c r="A910" s="6">
        <v>6570</v>
      </c>
      <c r="B910" s="7" t="s">
        <v>304</v>
      </c>
      <c r="C910" s="10">
        <v>45634</v>
      </c>
      <c r="D910" s="10">
        <v>45638</v>
      </c>
      <c r="E910" s="13">
        <v>11.99</v>
      </c>
      <c r="F910" s="6">
        <v>39</v>
      </c>
      <c r="G910" s="7" t="s">
        <v>100</v>
      </c>
      <c r="H910" s="6">
        <v>5</v>
      </c>
      <c r="I910" s="6">
        <v>3</v>
      </c>
      <c r="J910" s="7" t="b">
        <v>1</v>
      </c>
      <c r="K910" s="6">
        <v>28</v>
      </c>
      <c r="L910" s="6">
        <v>189</v>
      </c>
      <c r="M910" s="7" t="s">
        <v>43</v>
      </c>
      <c r="N910" s="7" t="s">
        <v>56</v>
      </c>
      <c r="O910" s="7" t="s">
        <v>78</v>
      </c>
      <c r="P910" s="6">
        <v>26</v>
      </c>
      <c r="Q910" s="11">
        <v>4.5999999999999996</v>
      </c>
      <c r="R910" s="7" t="b">
        <v>1</v>
      </c>
      <c r="S910" s="7" t="s">
        <v>30</v>
      </c>
      <c r="T910" s="6">
        <v>4938</v>
      </c>
      <c r="U910" s="7" t="s">
        <v>31</v>
      </c>
      <c r="V910" s="12" t="s">
        <v>79</v>
      </c>
      <c r="W910" s="7" t="s">
        <v>40</v>
      </c>
      <c r="X910" s="6">
        <f t="shared" si="59"/>
        <v>4</v>
      </c>
      <c r="Y910" t="str" cm="1">
        <f t="array" ref="Y910">_xlfn.IFS(E910=7.99,"BASIC",E910=11.99,"STANDARD",E910=15.99,"PREMIUM")</f>
        <v>STANDARD</v>
      </c>
      <c r="Z910" s="4">
        <f t="shared" si="57"/>
        <v>68.25</v>
      </c>
      <c r="AA910" s="3" t="str" cm="1">
        <f t="array" ref="AA910">_xlfn.IFS(
(F910/(X910/7)) &lt; 5, "Casual",
AND((F910/(X910/7)) &gt;= 5, (F910/(X910/7)) &lt; 15), "Regular",
(F910/(X910/7)) &gt;= 15, "Power"
)</f>
        <v>Power</v>
      </c>
      <c r="AB910" s="3">
        <f t="shared" si="60"/>
        <v>0.17972350230414746</v>
      </c>
      <c r="AC910" t="str">
        <f t="shared" si="58"/>
        <v>Viewers</v>
      </c>
    </row>
    <row r="911" spans="1:29" x14ac:dyDescent="0.3">
      <c r="A911" s="6">
        <v>1149</v>
      </c>
      <c r="B911" s="7" t="s">
        <v>157</v>
      </c>
      <c r="C911" s="10">
        <v>45075</v>
      </c>
      <c r="D911" s="10">
        <v>45624</v>
      </c>
      <c r="E911" s="13">
        <v>11.99</v>
      </c>
      <c r="F911" s="6">
        <v>445</v>
      </c>
      <c r="G911" s="7" t="s">
        <v>26</v>
      </c>
      <c r="H911" s="6">
        <v>3</v>
      </c>
      <c r="I911" s="6">
        <v>2</v>
      </c>
      <c r="J911" s="7" t="b">
        <v>1</v>
      </c>
      <c r="K911" s="6">
        <v>637</v>
      </c>
      <c r="L911" s="6">
        <v>14</v>
      </c>
      <c r="M911" s="7" t="s">
        <v>27</v>
      </c>
      <c r="N911" s="7" t="s">
        <v>44</v>
      </c>
      <c r="O911" s="7" t="s">
        <v>78</v>
      </c>
      <c r="P911" s="6">
        <v>50</v>
      </c>
      <c r="Q911" s="11">
        <v>3.2</v>
      </c>
      <c r="R911" s="7" t="b">
        <v>1</v>
      </c>
      <c r="S911" s="7" t="s">
        <v>30</v>
      </c>
      <c r="T911" s="6">
        <v>913</v>
      </c>
      <c r="U911" s="7" t="s">
        <v>38</v>
      </c>
      <c r="V911" s="12" t="s">
        <v>69</v>
      </c>
      <c r="W911" s="7" t="s">
        <v>33</v>
      </c>
      <c r="X911" s="6">
        <f t="shared" si="59"/>
        <v>549</v>
      </c>
      <c r="Y911" t="str" cm="1">
        <f t="array" ref="Y911">_xlfn.IFS(E911=7.99,"BASIC",E911=11.99,"STANDARD",E911=15.99,"PREMIUM")</f>
        <v>STANDARD</v>
      </c>
      <c r="Z911" s="4">
        <f t="shared" si="57"/>
        <v>5.6739526411657559</v>
      </c>
      <c r="AA911" s="3" t="str" cm="1">
        <f t="array" ref="AA911">_xlfn.IFS(
(F911/(X911/7)) &lt; 5, "Casual",
AND((F911/(X911/7)) &gt;= 5, (F911/(X911/7)) &lt; 15), "Regular",
(F911/(X911/7)) &gt;= 15, "Power"
)</f>
        <v>Regular</v>
      </c>
      <c r="AB911" s="3">
        <f t="shared" si="60"/>
        <v>0.68356374807987708</v>
      </c>
      <c r="AC911" t="str">
        <f t="shared" si="58"/>
        <v>Viewers</v>
      </c>
    </row>
    <row r="912" spans="1:29" x14ac:dyDescent="0.3">
      <c r="A912" s="6">
        <v>1336</v>
      </c>
      <c r="B912" s="7" t="s">
        <v>153</v>
      </c>
      <c r="C912" s="10">
        <v>45407</v>
      </c>
      <c r="D912" s="10">
        <v>45636</v>
      </c>
      <c r="E912" s="13">
        <v>11.99</v>
      </c>
      <c r="F912" s="6">
        <v>164</v>
      </c>
      <c r="G912" s="7" t="s">
        <v>48</v>
      </c>
      <c r="H912" s="6">
        <v>3</v>
      </c>
      <c r="I912" s="6">
        <v>3</v>
      </c>
      <c r="J912" s="7" t="b">
        <v>1</v>
      </c>
      <c r="K912" s="6">
        <v>79</v>
      </c>
      <c r="L912" s="6">
        <v>130</v>
      </c>
      <c r="M912" s="7" t="s">
        <v>43</v>
      </c>
      <c r="N912" s="7" t="s">
        <v>28</v>
      </c>
      <c r="O912" s="7" t="s">
        <v>78</v>
      </c>
      <c r="P912" s="6">
        <v>47</v>
      </c>
      <c r="Q912" s="11">
        <v>3.9</v>
      </c>
      <c r="R912" s="7" t="b">
        <v>0</v>
      </c>
      <c r="S912" s="7" t="s">
        <v>30</v>
      </c>
      <c r="T912" s="6">
        <v>3925</v>
      </c>
      <c r="U912" s="7" t="s">
        <v>65</v>
      </c>
      <c r="V912" s="12" t="s">
        <v>79</v>
      </c>
      <c r="W912" s="7" t="s">
        <v>60</v>
      </c>
      <c r="X912" s="6">
        <f t="shared" si="59"/>
        <v>229</v>
      </c>
      <c r="Y912" t="str" cm="1">
        <f t="array" ref="Y912">_xlfn.IFS(E912=7.99,"BASIC",E912=11.99,"STANDARD",E912=15.99,"PREMIUM")</f>
        <v>STANDARD</v>
      </c>
      <c r="Z912" s="4">
        <f t="shared" si="57"/>
        <v>5.0131004366812224</v>
      </c>
      <c r="AA912" s="3" t="str" cm="1">
        <f t="array" ref="AA912">_xlfn.IFS(
(F912/(X912/7)) &lt; 5, "Casual",
AND((F912/(X912/7)) &gt;= 5, (F912/(X912/7)) &lt; 15), "Regular",
(F912/(X912/7)) &gt;= 15, "Power"
)</f>
        <v>Regular</v>
      </c>
      <c r="AB912" s="3">
        <f t="shared" si="60"/>
        <v>0.78468899521531099</v>
      </c>
      <c r="AC912" t="str">
        <f t="shared" si="58"/>
        <v>Viewers</v>
      </c>
    </row>
    <row r="913" spans="1:29" x14ac:dyDescent="0.3">
      <c r="A913" s="6">
        <v>6956</v>
      </c>
      <c r="B913" s="7" t="s">
        <v>291</v>
      </c>
      <c r="C913" s="10">
        <v>45343</v>
      </c>
      <c r="D913" s="10">
        <v>45620</v>
      </c>
      <c r="E913" s="13">
        <v>15.99</v>
      </c>
      <c r="F913" s="6">
        <v>101</v>
      </c>
      <c r="G913" s="7" t="s">
        <v>48</v>
      </c>
      <c r="H913" s="6">
        <v>5</v>
      </c>
      <c r="I913" s="6">
        <v>1</v>
      </c>
      <c r="J913" s="7" t="b">
        <v>1</v>
      </c>
      <c r="K913" s="6">
        <v>175</v>
      </c>
      <c r="L913" s="6">
        <v>125</v>
      </c>
      <c r="M913" s="7" t="s">
        <v>55</v>
      </c>
      <c r="N913" s="7" t="s">
        <v>44</v>
      </c>
      <c r="O913" s="7" t="s">
        <v>45</v>
      </c>
      <c r="P913" s="6">
        <v>44</v>
      </c>
      <c r="Q913" s="11">
        <v>3.6</v>
      </c>
      <c r="R913" s="7" t="b">
        <v>1</v>
      </c>
      <c r="S913" s="7" t="s">
        <v>30</v>
      </c>
      <c r="T913" s="6">
        <v>2517</v>
      </c>
      <c r="U913" s="7" t="s">
        <v>65</v>
      </c>
      <c r="V913" s="12" t="s">
        <v>79</v>
      </c>
      <c r="W913" s="7" t="s">
        <v>40</v>
      </c>
      <c r="X913" s="6">
        <f t="shared" si="59"/>
        <v>277</v>
      </c>
      <c r="Y913" t="str" cm="1">
        <f t="array" ref="Y913">_xlfn.IFS(E913=7.99,"BASIC",E913=11.99,"STANDARD",E913=15.99,"PREMIUM")</f>
        <v>PREMIUM</v>
      </c>
      <c r="Z913" s="4">
        <f t="shared" si="57"/>
        <v>2.5523465703971122</v>
      </c>
      <c r="AA913" s="3" t="str" cm="1">
        <f t="array" ref="AA913">_xlfn.IFS(
(F913/(X913/7)) &lt; 5, "Casual",
AND((F913/(X913/7)) &gt;= 5, (F913/(X913/7)) &lt; 15), "Regular",
(F913/(X913/7)) &gt;= 15, "Power"
)</f>
        <v>Casual</v>
      </c>
      <c r="AB913" s="3">
        <f t="shared" si="60"/>
        <v>0.33666666666666667</v>
      </c>
      <c r="AC913" t="str">
        <f t="shared" si="58"/>
        <v>Viewers</v>
      </c>
    </row>
    <row r="914" spans="1:29" x14ac:dyDescent="0.3">
      <c r="A914" s="6">
        <v>7015</v>
      </c>
      <c r="B914" s="7" t="s">
        <v>675</v>
      </c>
      <c r="C914" s="10">
        <v>45567</v>
      </c>
      <c r="D914" s="10">
        <v>45635</v>
      </c>
      <c r="E914" s="13">
        <v>11.99</v>
      </c>
      <c r="F914" s="6">
        <v>424</v>
      </c>
      <c r="G914" s="7" t="s">
        <v>36</v>
      </c>
      <c r="H914" s="6">
        <v>1</v>
      </c>
      <c r="I914" s="6">
        <v>3</v>
      </c>
      <c r="J914" s="7" t="b">
        <v>1</v>
      </c>
      <c r="K914" s="6">
        <v>684</v>
      </c>
      <c r="L914" s="6">
        <v>127</v>
      </c>
      <c r="M914" s="7" t="s">
        <v>74</v>
      </c>
      <c r="N914" s="7" t="s">
        <v>75</v>
      </c>
      <c r="O914" s="7" t="s">
        <v>45</v>
      </c>
      <c r="P914" s="6">
        <v>97</v>
      </c>
      <c r="Q914" s="11">
        <v>4.5999999999999996</v>
      </c>
      <c r="R914" s="7" t="b">
        <v>0</v>
      </c>
      <c r="S914" s="7" t="s">
        <v>30</v>
      </c>
      <c r="T914" s="6">
        <v>2070</v>
      </c>
      <c r="U914" s="7" t="s">
        <v>65</v>
      </c>
      <c r="V914" s="12" t="s">
        <v>39</v>
      </c>
      <c r="W914" s="7" t="s">
        <v>33</v>
      </c>
      <c r="X914" s="6">
        <f t="shared" si="59"/>
        <v>68</v>
      </c>
      <c r="Y914" t="str" cm="1">
        <f t="array" ref="Y914">_xlfn.IFS(E914=7.99,"BASIC",E914=11.99,"STANDARD",E914=15.99,"PREMIUM")</f>
        <v>STANDARD</v>
      </c>
      <c r="Z914" s="4">
        <f t="shared" si="57"/>
        <v>43.647058823529413</v>
      </c>
      <c r="AA914" s="3" t="str" cm="1">
        <f t="array" ref="AA914">_xlfn.IFS(
(F914/(X914/7)) &lt; 5, "Casual",
AND((F914/(X914/7)) &gt;= 5, (F914/(X914/7)) &lt; 15), "Regular",
(F914/(X914/7)) &gt;= 15, "Power"
)</f>
        <v>Power</v>
      </c>
      <c r="AB914" s="3">
        <f t="shared" si="60"/>
        <v>0.52281134401972873</v>
      </c>
      <c r="AC914" t="str">
        <f t="shared" si="58"/>
        <v>Viewers</v>
      </c>
    </row>
    <row r="915" spans="1:29" x14ac:dyDescent="0.3">
      <c r="A915" s="6">
        <v>4104</v>
      </c>
      <c r="B915" s="7" t="s">
        <v>706</v>
      </c>
      <c r="C915" s="10">
        <v>45129</v>
      </c>
      <c r="D915" s="10">
        <v>45616</v>
      </c>
      <c r="E915" s="13">
        <v>15.99</v>
      </c>
      <c r="F915" s="6">
        <v>182</v>
      </c>
      <c r="G915" s="7" t="s">
        <v>48</v>
      </c>
      <c r="H915" s="6">
        <v>4</v>
      </c>
      <c r="I915" s="6">
        <v>5</v>
      </c>
      <c r="J915" s="7" t="b">
        <v>0</v>
      </c>
      <c r="K915" s="6">
        <v>247</v>
      </c>
      <c r="L915" s="6">
        <v>197</v>
      </c>
      <c r="M915" s="7" t="s">
        <v>27</v>
      </c>
      <c r="N915" s="7" t="s">
        <v>75</v>
      </c>
      <c r="O915" s="7" t="s">
        <v>78</v>
      </c>
      <c r="P915" s="6">
        <v>90</v>
      </c>
      <c r="Q915" s="11">
        <v>4.7</v>
      </c>
      <c r="R915" s="7" t="b">
        <v>0</v>
      </c>
      <c r="S915" s="7" t="s">
        <v>30</v>
      </c>
      <c r="T915" s="6">
        <v>4726</v>
      </c>
      <c r="U915" s="7" t="s">
        <v>65</v>
      </c>
      <c r="V915" s="12" t="s">
        <v>32</v>
      </c>
      <c r="W915" s="7" t="s">
        <v>40</v>
      </c>
      <c r="X915" s="6">
        <f t="shared" si="59"/>
        <v>487</v>
      </c>
      <c r="Y915" t="str" cm="1">
        <f t="array" ref="Y915">_xlfn.IFS(E915=7.99,"BASIC",E915=11.99,"STANDARD",E915=15.99,"PREMIUM")</f>
        <v>PREMIUM</v>
      </c>
      <c r="Z915" s="4">
        <f t="shared" si="57"/>
        <v>2.6160164271047228</v>
      </c>
      <c r="AA915" s="3" t="str" cm="1">
        <f t="array" ref="AA915">_xlfn.IFS(
(F915/(X915/7)) &lt; 5, "Casual",
AND((F915/(X915/7)) &gt;= 5, (F915/(X915/7)) &lt; 15), "Regular",
(F915/(X915/7)) &gt;= 15, "Power"
)</f>
        <v>Casual</v>
      </c>
      <c r="AB915" s="3">
        <f t="shared" si="60"/>
        <v>0.40990990990990989</v>
      </c>
      <c r="AC915" t="str">
        <f t="shared" si="58"/>
        <v>Viewers</v>
      </c>
    </row>
    <row r="916" spans="1:29" x14ac:dyDescent="0.3">
      <c r="A916" s="6">
        <v>9413</v>
      </c>
      <c r="B916" s="7" t="s">
        <v>128</v>
      </c>
      <c r="C916" s="10">
        <v>45165</v>
      </c>
      <c r="D916" s="10">
        <v>45629</v>
      </c>
      <c r="E916" s="13">
        <v>15.99</v>
      </c>
      <c r="F916" s="6">
        <v>115</v>
      </c>
      <c r="G916" s="7" t="s">
        <v>48</v>
      </c>
      <c r="H916" s="6">
        <v>2</v>
      </c>
      <c r="I916" s="6">
        <v>3</v>
      </c>
      <c r="J916" s="7" t="b">
        <v>1</v>
      </c>
      <c r="K916" s="6">
        <v>741</v>
      </c>
      <c r="L916" s="6">
        <v>68</v>
      </c>
      <c r="M916" s="7" t="s">
        <v>27</v>
      </c>
      <c r="N916" s="7" t="s">
        <v>75</v>
      </c>
      <c r="O916" s="7" t="s">
        <v>29</v>
      </c>
      <c r="P916" s="6">
        <v>30</v>
      </c>
      <c r="Q916" s="11">
        <v>5</v>
      </c>
      <c r="R916" s="7" t="b">
        <v>1</v>
      </c>
      <c r="S916" s="7" t="s">
        <v>30</v>
      </c>
      <c r="T916" s="6">
        <v>1536</v>
      </c>
      <c r="U916" s="7" t="s">
        <v>31</v>
      </c>
      <c r="V916" s="12" t="s">
        <v>32</v>
      </c>
      <c r="W916" s="7" t="s">
        <v>60</v>
      </c>
      <c r="X916" s="6">
        <f t="shared" si="59"/>
        <v>464</v>
      </c>
      <c r="Y916" t="str" cm="1">
        <f t="array" ref="Y916">_xlfn.IFS(E916=7.99,"BASIC",E916=11.99,"STANDARD",E916=15.99,"PREMIUM")</f>
        <v>PREMIUM</v>
      </c>
      <c r="Z916" s="4">
        <f t="shared" si="57"/>
        <v>1.7349137931034482</v>
      </c>
      <c r="AA916" s="3" t="str" cm="1">
        <f t="array" ref="AA916">_xlfn.IFS(
(F916/(X916/7)) &lt; 5, "Casual",
AND((F916/(X916/7)) &gt;= 5, (F916/(X916/7)) &lt; 15), "Regular",
(F916/(X916/7)) &gt;= 15, "Power"
)</f>
        <v>Casual</v>
      </c>
      <c r="AB916" s="3">
        <f t="shared" si="60"/>
        <v>0.14215080346106304</v>
      </c>
      <c r="AC916" t="str">
        <f t="shared" si="58"/>
        <v xml:space="preserve"> Browsers</v>
      </c>
    </row>
    <row r="917" spans="1:29" x14ac:dyDescent="0.3">
      <c r="A917" s="6">
        <v>8300</v>
      </c>
      <c r="B917" s="7" t="s">
        <v>260</v>
      </c>
      <c r="C917" s="10">
        <v>45406</v>
      </c>
      <c r="D917" s="10">
        <v>45639</v>
      </c>
      <c r="E917" s="13">
        <v>15.99</v>
      </c>
      <c r="F917" s="6">
        <v>33</v>
      </c>
      <c r="G917" s="7" t="s">
        <v>51</v>
      </c>
      <c r="H917" s="6">
        <v>1</v>
      </c>
      <c r="I917" s="6">
        <v>4</v>
      </c>
      <c r="J917" s="7" t="b">
        <v>0</v>
      </c>
      <c r="K917" s="6">
        <v>623</v>
      </c>
      <c r="L917" s="6">
        <v>53</v>
      </c>
      <c r="M917" s="7" t="s">
        <v>43</v>
      </c>
      <c r="N917" s="7" t="s">
        <v>56</v>
      </c>
      <c r="O917" s="7" t="s">
        <v>64</v>
      </c>
      <c r="P917" s="6">
        <v>17</v>
      </c>
      <c r="Q917" s="11">
        <v>3.5</v>
      </c>
      <c r="R917" s="7" t="b">
        <v>0</v>
      </c>
      <c r="S917" s="7" t="s">
        <v>30</v>
      </c>
      <c r="T917" s="6">
        <v>2113</v>
      </c>
      <c r="U917" s="7" t="s">
        <v>38</v>
      </c>
      <c r="V917" s="12" t="s">
        <v>79</v>
      </c>
      <c r="W917" s="7" t="s">
        <v>93</v>
      </c>
      <c r="X917" s="6">
        <f t="shared" si="59"/>
        <v>233</v>
      </c>
      <c r="Y917" t="str" cm="1">
        <f t="array" ref="Y917">_xlfn.IFS(E917=7.99,"BASIC",E917=11.99,"STANDARD",E917=15.99,"PREMIUM")</f>
        <v>PREMIUM</v>
      </c>
      <c r="Z917" s="4">
        <f t="shared" si="57"/>
        <v>0.99141630901287559</v>
      </c>
      <c r="AA917" s="3" t="str" cm="1">
        <f t="array" ref="AA917">_xlfn.IFS(
(F917/(X917/7)) &lt; 5, "Casual",
AND((F917/(X917/7)) &gt;= 5, (F917/(X917/7)) &lt; 15), "Regular",
(F917/(X917/7)) &gt;= 15, "Power"
)</f>
        <v>Casual</v>
      </c>
      <c r="AB917" s="3">
        <f t="shared" si="60"/>
        <v>4.8816568047337278E-2</v>
      </c>
      <c r="AC917" t="str">
        <f t="shared" si="58"/>
        <v xml:space="preserve"> Browsers</v>
      </c>
    </row>
    <row r="918" spans="1:29" x14ac:dyDescent="0.3">
      <c r="A918" s="6">
        <v>5126</v>
      </c>
      <c r="B918" s="7" t="s">
        <v>272</v>
      </c>
      <c r="C918" s="10">
        <v>45418</v>
      </c>
      <c r="D918" s="10">
        <v>45629</v>
      </c>
      <c r="E918" s="13">
        <v>7.99</v>
      </c>
      <c r="F918" s="6">
        <v>259</v>
      </c>
      <c r="G918" s="7" t="s">
        <v>36</v>
      </c>
      <c r="H918" s="6">
        <v>1</v>
      </c>
      <c r="I918" s="6">
        <v>1</v>
      </c>
      <c r="J918" s="7" t="b">
        <v>1</v>
      </c>
      <c r="K918" s="6">
        <v>327</v>
      </c>
      <c r="L918" s="6">
        <v>76</v>
      </c>
      <c r="M918" s="7" t="s">
        <v>49</v>
      </c>
      <c r="N918" s="7" t="s">
        <v>28</v>
      </c>
      <c r="O918" s="7" t="s">
        <v>78</v>
      </c>
      <c r="P918" s="6">
        <v>9</v>
      </c>
      <c r="Q918" s="11">
        <v>4.3</v>
      </c>
      <c r="R918" s="7" t="b">
        <v>1</v>
      </c>
      <c r="S918" s="7" t="s">
        <v>30</v>
      </c>
      <c r="T918" s="6">
        <v>428</v>
      </c>
      <c r="U918" s="7" t="s">
        <v>76</v>
      </c>
      <c r="V918" s="12" t="s">
        <v>39</v>
      </c>
      <c r="W918" s="7" t="s">
        <v>93</v>
      </c>
      <c r="X918" s="6">
        <f t="shared" si="59"/>
        <v>211</v>
      </c>
      <c r="Y918" t="str" cm="1">
        <f t="array" ref="Y918">_xlfn.IFS(E918=7.99,"BASIC",E918=11.99,"STANDARD",E918=15.99,"PREMIUM")</f>
        <v>BASIC</v>
      </c>
      <c r="Z918" s="4">
        <f t="shared" si="57"/>
        <v>8.5924170616113749</v>
      </c>
      <c r="AA918" s="3" t="str" cm="1">
        <f t="array" ref="AA918">_xlfn.IFS(
(F918/(X918/7)) &lt; 5, "Casual",
AND((F918/(X918/7)) &gt;= 5, (F918/(X918/7)) &lt; 15), "Regular",
(F918/(X918/7)) &gt;= 15, "Power"
)</f>
        <v>Regular</v>
      </c>
      <c r="AB918" s="3">
        <f t="shared" si="60"/>
        <v>0.64267990074441683</v>
      </c>
      <c r="AC918" t="str">
        <f t="shared" si="58"/>
        <v>Viewers</v>
      </c>
    </row>
    <row r="919" spans="1:29" x14ac:dyDescent="0.3">
      <c r="A919" s="6">
        <v>1754</v>
      </c>
      <c r="B919" s="7" t="s">
        <v>70</v>
      </c>
      <c r="C919" s="10">
        <v>45456</v>
      </c>
      <c r="D919" s="10">
        <v>45616</v>
      </c>
      <c r="E919" s="13">
        <v>15.99</v>
      </c>
      <c r="F919" s="6">
        <v>309</v>
      </c>
      <c r="G919" s="7" t="s">
        <v>100</v>
      </c>
      <c r="H919" s="6">
        <v>5</v>
      </c>
      <c r="I919" s="6">
        <v>6</v>
      </c>
      <c r="J919" s="7" t="b">
        <v>0</v>
      </c>
      <c r="K919" s="6">
        <v>760</v>
      </c>
      <c r="L919" s="6">
        <v>72</v>
      </c>
      <c r="M919" s="7" t="s">
        <v>92</v>
      </c>
      <c r="N919" s="7" t="s">
        <v>56</v>
      </c>
      <c r="O919" s="7" t="s">
        <v>78</v>
      </c>
      <c r="P919" s="6">
        <v>91</v>
      </c>
      <c r="Q919" s="11">
        <v>4.8</v>
      </c>
      <c r="R919" s="7" t="b">
        <v>1</v>
      </c>
      <c r="S919" s="7" t="s">
        <v>30</v>
      </c>
      <c r="T919" s="6">
        <v>2336</v>
      </c>
      <c r="U919" s="7" t="s">
        <v>58</v>
      </c>
      <c r="V919" s="12" t="s">
        <v>69</v>
      </c>
      <c r="W919" s="7" t="s">
        <v>93</v>
      </c>
      <c r="X919" s="6">
        <f t="shared" si="59"/>
        <v>160</v>
      </c>
      <c r="Y919" t="str" cm="1">
        <f t="array" ref="Y919">_xlfn.IFS(E919=7.99,"BASIC",E919=11.99,"STANDARD",E919=15.99,"PREMIUM")</f>
        <v>PREMIUM</v>
      </c>
      <c r="Z919" s="4">
        <f t="shared" si="57"/>
        <v>13.518749999999999</v>
      </c>
      <c r="AA919" s="3" t="str" cm="1">
        <f t="array" ref="AA919">_xlfn.IFS(
(F919/(X919/7)) &lt; 5, "Casual",
AND((F919/(X919/7)) &gt;= 5, (F919/(X919/7)) &lt; 15), "Regular",
(F919/(X919/7)) &gt;= 15, "Power"
)</f>
        <v>Regular</v>
      </c>
      <c r="AB919" s="3">
        <f t="shared" si="60"/>
        <v>0.37139423076923078</v>
      </c>
      <c r="AC919" t="str">
        <f t="shared" si="58"/>
        <v>Viewers</v>
      </c>
    </row>
    <row r="920" spans="1:29" x14ac:dyDescent="0.3">
      <c r="A920" s="6">
        <v>7089</v>
      </c>
      <c r="B920" s="7" t="s">
        <v>357</v>
      </c>
      <c r="C920" s="10">
        <v>44988</v>
      </c>
      <c r="D920" s="10">
        <v>45637</v>
      </c>
      <c r="E920" s="13">
        <v>7.99</v>
      </c>
      <c r="F920" s="6">
        <v>367</v>
      </c>
      <c r="G920" s="7" t="s">
        <v>100</v>
      </c>
      <c r="H920" s="6">
        <v>1</v>
      </c>
      <c r="I920" s="6">
        <v>3</v>
      </c>
      <c r="J920" s="7" t="b">
        <v>0</v>
      </c>
      <c r="K920" s="6">
        <v>522</v>
      </c>
      <c r="L920" s="6">
        <v>10</v>
      </c>
      <c r="M920" s="7" t="s">
        <v>27</v>
      </c>
      <c r="N920" s="7" t="s">
        <v>28</v>
      </c>
      <c r="O920" s="7" t="s">
        <v>45</v>
      </c>
      <c r="P920" s="6">
        <v>70</v>
      </c>
      <c r="Q920" s="11">
        <v>3.8</v>
      </c>
      <c r="R920" s="7" t="b">
        <v>0</v>
      </c>
      <c r="S920" s="7" t="s">
        <v>30</v>
      </c>
      <c r="T920" s="6">
        <v>2344</v>
      </c>
      <c r="U920" s="7" t="s">
        <v>38</v>
      </c>
      <c r="V920" s="12" t="s">
        <v>39</v>
      </c>
      <c r="W920" s="7" t="s">
        <v>60</v>
      </c>
      <c r="X920" s="6">
        <f t="shared" si="59"/>
        <v>649</v>
      </c>
      <c r="Y920" t="str" cm="1">
        <f t="array" ref="Y920">_xlfn.IFS(E920=7.99,"BASIC",E920=11.99,"STANDARD",E920=15.99,"PREMIUM")</f>
        <v>BASIC</v>
      </c>
      <c r="Z920" s="4">
        <f t="shared" si="57"/>
        <v>3.9583975346687215</v>
      </c>
      <c r="AA920" s="3" t="str" cm="1">
        <f t="array" ref="AA920">_xlfn.IFS(
(F920/(X920/7)) &lt; 5, "Casual",
AND((F920/(X920/7)) &gt;= 5, (F920/(X920/7)) &lt; 15), "Regular",
(F920/(X920/7)) &gt;= 15, "Power"
)</f>
        <v>Casual</v>
      </c>
      <c r="AB920" s="3">
        <f t="shared" si="60"/>
        <v>0.68984962406015038</v>
      </c>
      <c r="AC920" t="str">
        <f t="shared" si="58"/>
        <v>Viewers</v>
      </c>
    </row>
    <row r="921" spans="1:29" x14ac:dyDescent="0.3">
      <c r="A921" s="6">
        <v>1697</v>
      </c>
      <c r="B921" s="7" t="s">
        <v>104</v>
      </c>
      <c r="C921" s="10">
        <v>45190</v>
      </c>
      <c r="D921" s="10">
        <v>45623</v>
      </c>
      <c r="E921" s="13">
        <v>7.99</v>
      </c>
      <c r="F921" s="6">
        <v>472</v>
      </c>
      <c r="G921" s="7" t="s">
        <v>26</v>
      </c>
      <c r="H921" s="6">
        <v>5</v>
      </c>
      <c r="I921" s="6">
        <v>2</v>
      </c>
      <c r="J921" s="7" t="b">
        <v>1</v>
      </c>
      <c r="K921" s="6">
        <v>76</v>
      </c>
      <c r="L921" s="6">
        <v>157</v>
      </c>
      <c r="M921" s="7" t="s">
        <v>27</v>
      </c>
      <c r="N921" s="7" t="s">
        <v>44</v>
      </c>
      <c r="O921" s="7" t="s">
        <v>78</v>
      </c>
      <c r="P921" s="6">
        <v>6</v>
      </c>
      <c r="Q921" s="11">
        <v>3.1</v>
      </c>
      <c r="R921" s="7" t="b">
        <v>1</v>
      </c>
      <c r="S921" s="7" t="s">
        <v>30</v>
      </c>
      <c r="T921" s="6">
        <v>1351</v>
      </c>
      <c r="U921" s="7" t="s">
        <v>65</v>
      </c>
      <c r="V921" s="12" t="s">
        <v>79</v>
      </c>
      <c r="W921" s="7" t="s">
        <v>93</v>
      </c>
      <c r="X921" s="6">
        <f t="shared" si="59"/>
        <v>433</v>
      </c>
      <c r="Y921" t="str" cm="1">
        <f t="array" ref="Y921">_xlfn.IFS(E921=7.99,"BASIC",E921=11.99,"STANDARD",E921=15.99,"PREMIUM")</f>
        <v>BASIC</v>
      </c>
      <c r="Z921" s="4">
        <f t="shared" si="57"/>
        <v>7.6304849884526567</v>
      </c>
      <c r="AA921" s="3" t="str" cm="1">
        <f t="array" ref="AA921">_xlfn.IFS(
(F921/(X921/7)) &lt; 5, "Casual",
AND((F921/(X921/7)) &gt;= 5, (F921/(X921/7)) &lt; 15), "Regular",
(F921/(X921/7)) &gt;= 15, "Power"
)</f>
        <v>Regular</v>
      </c>
      <c r="AB921" s="3">
        <f t="shared" si="60"/>
        <v>2.0257510729613735</v>
      </c>
      <c r="AC921" t="str">
        <f t="shared" si="58"/>
        <v>Viewers</v>
      </c>
    </row>
    <row r="922" spans="1:29" x14ac:dyDescent="0.3">
      <c r="A922" s="6">
        <v>4768</v>
      </c>
      <c r="B922" s="7" t="s">
        <v>542</v>
      </c>
      <c r="C922" s="10">
        <v>45264</v>
      </c>
      <c r="D922" s="10">
        <v>45619</v>
      </c>
      <c r="E922" s="13">
        <v>15.99</v>
      </c>
      <c r="F922" s="6">
        <v>449</v>
      </c>
      <c r="G922" s="7" t="s">
        <v>51</v>
      </c>
      <c r="H922" s="6">
        <v>5</v>
      </c>
      <c r="I922" s="6">
        <v>4</v>
      </c>
      <c r="J922" s="7" t="b">
        <v>0</v>
      </c>
      <c r="K922" s="6">
        <v>61</v>
      </c>
      <c r="L922" s="6">
        <v>61</v>
      </c>
      <c r="M922" s="7" t="s">
        <v>74</v>
      </c>
      <c r="N922" s="7" t="s">
        <v>44</v>
      </c>
      <c r="O922" s="7" t="s">
        <v>78</v>
      </c>
      <c r="P922" s="6">
        <v>88</v>
      </c>
      <c r="Q922" s="11">
        <v>3.7</v>
      </c>
      <c r="R922" s="7" t="b">
        <v>1</v>
      </c>
      <c r="S922" s="7" t="s">
        <v>30</v>
      </c>
      <c r="T922" s="6">
        <v>165</v>
      </c>
      <c r="U922" s="7" t="s">
        <v>76</v>
      </c>
      <c r="V922" s="12" t="s">
        <v>69</v>
      </c>
      <c r="W922" s="7" t="s">
        <v>93</v>
      </c>
      <c r="X922" s="6">
        <f t="shared" si="59"/>
        <v>355</v>
      </c>
      <c r="Y922" t="str" cm="1">
        <f t="array" ref="Y922">_xlfn.IFS(E922=7.99,"BASIC",E922=11.99,"STANDARD",E922=15.99,"PREMIUM")</f>
        <v>PREMIUM</v>
      </c>
      <c r="Z922" s="4">
        <f t="shared" si="57"/>
        <v>8.8535211267605636</v>
      </c>
      <c r="AA922" s="3" t="str" cm="1">
        <f t="array" ref="AA922">_xlfn.IFS(
(F922/(X922/7)) &lt; 5, "Casual",
AND((F922/(X922/7)) &gt;= 5, (F922/(X922/7)) &lt; 15), "Regular",
(F922/(X922/7)) &gt;= 15, "Power"
)</f>
        <v>Regular</v>
      </c>
      <c r="AB922" s="3">
        <f t="shared" si="60"/>
        <v>3.680327868852459</v>
      </c>
      <c r="AC922" t="str">
        <f t="shared" si="58"/>
        <v>Viewers</v>
      </c>
    </row>
    <row r="923" spans="1:29" x14ac:dyDescent="0.3">
      <c r="A923" s="6">
        <v>4205</v>
      </c>
      <c r="B923" s="7" t="s">
        <v>257</v>
      </c>
      <c r="C923" s="10">
        <v>45274</v>
      </c>
      <c r="D923" s="10">
        <v>45632</v>
      </c>
      <c r="E923" s="13">
        <v>15.99</v>
      </c>
      <c r="F923" s="6">
        <v>302</v>
      </c>
      <c r="G923" s="7" t="s">
        <v>73</v>
      </c>
      <c r="H923" s="6">
        <v>4</v>
      </c>
      <c r="I923" s="6">
        <v>4</v>
      </c>
      <c r="J923" s="7" t="b">
        <v>1</v>
      </c>
      <c r="K923" s="6">
        <v>800</v>
      </c>
      <c r="L923" s="6">
        <v>101</v>
      </c>
      <c r="M923" s="7" t="s">
        <v>27</v>
      </c>
      <c r="N923" s="7" t="s">
        <v>75</v>
      </c>
      <c r="O923" s="7" t="s">
        <v>64</v>
      </c>
      <c r="P923" s="6">
        <v>89</v>
      </c>
      <c r="Q923" s="11">
        <v>4.3</v>
      </c>
      <c r="R923" s="7" t="b">
        <v>0</v>
      </c>
      <c r="S923" s="7" t="s">
        <v>30</v>
      </c>
      <c r="T923" s="6">
        <v>3411</v>
      </c>
      <c r="U923" s="7" t="s">
        <v>38</v>
      </c>
      <c r="V923" s="12" t="s">
        <v>79</v>
      </c>
      <c r="W923" s="7" t="s">
        <v>40</v>
      </c>
      <c r="X923" s="6">
        <f t="shared" si="59"/>
        <v>358</v>
      </c>
      <c r="Y923" t="str" cm="1">
        <f t="array" ref="Y923">_xlfn.IFS(E923=7.99,"BASIC",E923=11.99,"STANDARD",E923=15.99,"PREMIUM")</f>
        <v>PREMIUM</v>
      </c>
      <c r="Z923" s="4">
        <f t="shared" si="57"/>
        <v>5.9050279329608939</v>
      </c>
      <c r="AA923" s="3" t="str" cm="1">
        <f t="array" ref="AA923">_xlfn.IFS(
(F923/(X923/7)) &lt; 5, "Casual",
AND((F923/(X923/7)) &gt;= 5, (F923/(X923/7)) &lt; 15), "Regular",
(F923/(X923/7)) &gt;= 15, "Power"
)</f>
        <v>Regular</v>
      </c>
      <c r="AB923" s="3">
        <f t="shared" si="60"/>
        <v>0.33518312985571586</v>
      </c>
      <c r="AC923" t="str">
        <f t="shared" si="58"/>
        <v>Viewers</v>
      </c>
    </row>
    <row r="924" spans="1:29" x14ac:dyDescent="0.3">
      <c r="A924" s="6">
        <v>8844</v>
      </c>
      <c r="B924" s="7" t="s">
        <v>140</v>
      </c>
      <c r="C924" s="10">
        <v>45559</v>
      </c>
      <c r="D924" s="10">
        <v>45644</v>
      </c>
      <c r="E924" s="13">
        <v>7.99</v>
      </c>
      <c r="F924" s="6">
        <v>70</v>
      </c>
      <c r="G924" s="7" t="s">
        <v>48</v>
      </c>
      <c r="H924" s="6">
        <v>3</v>
      </c>
      <c r="I924" s="6">
        <v>6</v>
      </c>
      <c r="J924" s="7" t="b">
        <v>1</v>
      </c>
      <c r="K924" s="6">
        <v>226</v>
      </c>
      <c r="L924" s="6">
        <v>104</v>
      </c>
      <c r="M924" s="7" t="s">
        <v>27</v>
      </c>
      <c r="N924" s="7" t="s">
        <v>44</v>
      </c>
      <c r="O924" s="7" t="s">
        <v>37</v>
      </c>
      <c r="P924" s="6">
        <v>59</v>
      </c>
      <c r="Q924" s="11">
        <v>3.3</v>
      </c>
      <c r="R924" s="7" t="b">
        <v>1</v>
      </c>
      <c r="S924" s="7" t="s">
        <v>30</v>
      </c>
      <c r="T924" s="6">
        <v>615</v>
      </c>
      <c r="U924" s="7" t="s">
        <v>65</v>
      </c>
      <c r="V924" s="12" t="s">
        <v>69</v>
      </c>
      <c r="W924" s="7" t="s">
        <v>33</v>
      </c>
      <c r="X924" s="6">
        <f t="shared" si="59"/>
        <v>85</v>
      </c>
      <c r="Y924" t="str" cm="1">
        <f t="array" ref="Y924">_xlfn.IFS(E924=7.99,"BASIC",E924=11.99,"STANDARD",E924=15.99,"PREMIUM")</f>
        <v>BASIC</v>
      </c>
      <c r="Z924" s="4">
        <f t="shared" si="57"/>
        <v>5.7647058823529411</v>
      </c>
      <c r="AA924" s="3" t="str" cm="1">
        <f t="array" ref="AA924">_xlfn.IFS(
(F924/(X924/7)) &lt; 5, "Casual",
AND((F924/(X924/7)) &gt;= 5, (F924/(X924/7)) &lt; 15), "Regular",
(F924/(X924/7)) &gt;= 15, "Power"
)</f>
        <v>Regular</v>
      </c>
      <c r="AB924" s="3">
        <f t="shared" si="60"/>
        <v>0.21212121212121213</v>
      </c>
      <c r="AC924" t="str">
        <f t="shared" si="58"/>
        <v>Viewers</v>
      </c>
    </row>
    <row r="925" spans="1:29" x14ac:dyDescent="0.3">
      <c r="A925" s="6">
        <v>1103</v>
      </c>
      <c r="B925" s="7" t="s">
        <v>411</v>
      </c>
      <c r="C925" s="10">
        <v>45054</v>
      </c>
      <c r="D925" s="10">
        <v>45628</v>
      </c>
      <c r="E925" s="13">
        <v>7.99</v>
      </c>
      <c r="F925" s="6">
        <v>157</v>
      </c>
      <c r="G925" s="7" t="s">
        <v>48</v>
      </c>
      <c r="H925" s="6">
        <v>2</v>
      </c>
      <c r="I925" s="6">
        <v>1</v>
      </c>
      <c r="J925" s="7" t="b">
        <v>0</v>
      </c>
      <c r="K925" s="6">
        <v>792</v>
      </c>
      <c r="L925" s="6">
        <v>141</v>
      </c>
      <c r="M925" s="7" t="s">
        <v>43</v>
      </c>
      <c r="N925" s="7" t="s">
        <v>56</v>
      </c>
      <c r="O925" s="7" t="s">
        <v>57</v>
      </c>
      <c r="P925" s="6">
        <v>18</v>
      </c>
      <c r="Q925" s="11">
        <v>4.2</v>
      </c>
      <c r="R925" s="7" t="b">
        <v>0</v>
      </c>
      <c r="S925" s="7" t="s">
        <v>30</v>
      </c>
      <c r="T925" s="6">
        <v>1538</v>
      </c>
      <c r="U925" s="7" t="s">
        <v>31</v>
      </c>
      <c r="V925" s="12" t="s">
        <v>79</v>
      </c>
      <c r="W925" s="7" t="s">
        <v>93</v>
      </c>
      <c r="X925" s="6">
        <f t="shared" si="59"/>
        <v>574</v>
      </c>
      <c r="Y925" t="str" cm="1">
        <f t="array" ref="Y925">_xlfn.IFS(E925=7.99,"BASIC",E925=11.99,"STANDARD",E925=15.99,"PREMIUM")</f>
        <v>BASIC</v>
      </c>
      <c r="Z925" s="4">
        <f t="shared" si="57"/>
        <v>1.9146341463414633</v>
      </c>
      <c r="AA925" s="3" t="str" cm="1">
        <f t="array" ref="AA925">_xlfn.IFS(
(F925/(X925/7)) &lt; 5, "Casual",
AND((F925/(X925/7)) &gt;= 5, (F925/(X925/7)) &lt; 15), "Regular",
(F925/(X925/7)) &gt;= 15, "Power"
)</f>
        <v>Casual</v>
      </c>
      <c r="AB925" s="3">
        <f t="shared" si="60"/>
        <v>0.16827438370846731</v>
      </c>
      <c r="AC925" t="str">
        <f t="shared" si="58"/>
        <v>Viewers</v>
      </c>
    </row>
    <row r="926" spans="1:29" x14ac:dyDescent="0.3">
      <c r="A926" s="6">
        <v>2180</v>
      </c>
      <c r="B926" s="7" t="s">
        <v>709</v>
      </c>
      <c r="C926" s="10">
        <v>45032</v>
      </c>
      <c r="D926" s="10">
        <v>45620</v>
      </c>
      <c r="E926" s="13">
        <v>7.99</v>
      </c>
      <c r="F926" s="6">
        <v>17</v>
      </c>
      <c r="G926" s="7" t="s">
        <v>63</v>
      </c>
      <c r="H926" s="6">
        <v>5</v>
      </c>
      <c r="I926" s="6">
        <v>5</v>
      </c>
      <c r="J926" s="7" t="b">
        <v>0</v>
      </c>
      <c r="K926" s="6">
        <v>498</v>
      </c>
      <c r="L926" s="6">
        <v>67</v>
      </c>
      <c r="M926" s="7" t="s">
        <v>49</v>
      </c>
      <c r="N926" s="7" t="s">
        <v>28</v>
      </c>
      <c r="O926" s="7" t="s">
        <v>45</v>
      </c>
      <c r="P926" s="6">
        <v>67</v>
      </c>
      <c r="Q926" s="11">
        <v>3</v>
      </c>
      <c r="R926" s="7" t="b">
        <v>1</v>
      </c>
      <c r="S926" s="7" t="s">
        <v>30</v>
      </c>
      <c r="T926" s="6">
        <v>1835</v>
      </c>
      <c r="U926" s="7" t="s">
        <v>58</v>
      </c>
      <c r="V926" s="12" t="s">
        <v>32</v>
      </c>
      <c r="W926" s="7" t="s">
        <v>33</v>
      </c>
      <c r="X926" s="6">
        <f t="shared" si="59"/>
        <v>588</v>
      </c>
      <c r="Y926" t="str" cm="1">
        <f t="array" ref="Y926">_xlfn.IFS(E926=7.99,"BASIC",E926=11.99,"STANDARD",E926=15.99,"PREMIUM")</f>
        <v>BASIC</v>
      </c>
      <c r="Z926" s="4">
        <f t="shared" si="57"/>
        <v>0.20238095238095238</v>
      </c>
      <c r="AA926" s="3" t="str" cm="1">
        <f t="array" ref="AA926">_xlfn.IFS(
(F926/(X926/7)) &lt; 5, "Casual",
AND((F926/(X926/7)) &gt;= 5, (F926/(X926/7)) &lt; 15), "Regular",
(F926/(X926/7)) &gt;= 15, "Power"
)</f>
        <v>Casual</v>
      </c>
      <c r="AB926" s="3">
        <f t="shared" si="60"/>
        <v>3.0088495575221239E-2</v>
      </c>
      <c r="AC926" t="str">
        <f t="shared" si="58"/>
        <v xml:space="preserve"> Browsers</v>
      </c>
    </row>
    <row r="927" spans="1:29" x14ac:dyDescent="0.3">
      <c r="A927" s="6">
        <v>6607</v>
      </c>
      <c r="B927" s="7" t="s">
        <v>710</v>
      </c>
      <c r="C927" s="10">
        <v>44939</v>
      </c>
      <c r="D927" s="10">
        <v>45628</v>
      </c>
      <c r="E927" s="13">
        <v>15.99</v>
      </c>
      <c r="F927" s="6">
        <v>173</v>
      </c>
      <c r="G927" s="7" t="s">
        <v>36</v>
      </c>
      <c r="H927" s="6">
        <v>1</v>
      </c>
      <c r="I927" s="6">
        <v>3</v>
      </c>
      <c r="J927" s="7" t="b">
        <v>1</v>
      </c>
      <c r="K927" s="6">
        <v>950</v>
      </c>
      <c r="L927" s="6">
        <v>163</v>
      </c>
      <c r="M927" s="7" t="s">
        <v>92</v>
      </c>
      <c r="N927" s="7" t="s">
        <v>44</v>
      </c>
      <c r="O927" s="7" t="s">
        <v>78</v>
      </c>
      <c r="P927" s="6">
        <v>96</v>
      </c>
      <c r="Q927" s="11">
        <v>4.9000000000000004</v>
      </c>
      <c r="R927" s="7" t="b">
        <v>1</v>
      </c>
      <c r="S927" s="7" t="s">
        <v>30</v>
      </c>
      <c r="T927" s="6">
        <v>3515</v>
      </c>
      <c r="U927" s="7" t="s">
        <v>58</v>
      </c>
      <c r="V927" s="12" t="s">
        <v>32</v>
      </c>
      <c r="W927" s="7" t="s">
        <v>33</v>
      </c>
      <c r="X927" s="6">
        <f t="shared" si="59"/>
        <v>689</v>
      </c>
      <c r="Y927" t="str" cm="1">
        <f t="array" ref="Y927">_xlfn.IFS(E927=7.99,"BASIC",E927=11.99,"STANDARD",E927=15.99,"PREMIUM")</f>
        <v>PREMIUM</v>
      </c>
      <c r="Z927" s="4">
        <f t="shared" si="57"/>
        <v>1.7576197387518142</v>
      </c>
      <c r="AA927" s="3" t="str" cm="1">
        <f t="array" ref="AA927">_xlfn.IFS(
(F927/(X927/7)) &lt; 5, "Casual",
AND((F927/(X927/7)) &gt;= 5, (F927/(X927/7)) &lt; 15), "Regular",
(F927/(X927/7)) &gt;= 15, "Power"
)</f>
        <v>Casual</v>
      </c>
      <c r="AB927" s="3">
        <f t="shared" si="60"/>
        <v>0.1554357592093441</v>
      </c>
      <c r="AC927" t="str">
        <f t="shared" si="58"/>
        <v>Viewers</v>
      </c>
    </row>
    <row r="928" spans="1:29" x14ac:dyDescent="0.3">
      <c r="A928" s="6">
        <v>7949</v>
      </c>
      <c r="B928" s="7" t="s">
        <v>391</v>
      </c>
      <c r="C928" s="10">
        <v>44937</v>
      </c>
      <c r="D928" s="10">
        <v>45617</v>
      </c>
      <c r="E928" s="13">
        <v>11.99</v>
      </c>
      <c r="F928" s="6">
        <v>301</v>
      </c>
      <c r="G928" s="7" t="s">
        <v>73</v>
      </c>
      <c r="H928" s="6">
        <v>5</v>
      </c>
      <c r="I928" s="6">
        <v>4</v>
      </c>
      <c r="J928" s="7" t="b">
        <v>0</v>
      </c>
      <c r="K928" s="6">
        <v>906</v>
      </c>
      <c r="L928" s="6">
        <v>141</v>
      </c>
      <c r="M928" s="7" t="s">
        <v>68</v>
      </c>
      <c r="N928" s="7" t="s">
        <v>56</v>
      </c>
      <c r="O928" s="7" t="s">
        <v>29</v>
      </c>
      <c r="P928" s="6">
        <v>56</v>
      </c>
      <c r="Q928" s="11">
        <v>4.5</v>
      </c>
      <c r="R928" s="7" t="b">
        <v>1</v>
      </c>
      <c r="S928" s="7" t="s">
        <v>30</v>
      </c>
      <c r="T928" s="6">
        <v>1657</v>
      </c>
      <c r="U928" s="7" t="s">
        <v>38</v>
      </c>
      <c r="V928" s="12" t="s">
        <v>32</v>
      </c>
      <c r="W928" s="7" t="s">
        <v>93</v>
      </c>
      <c r="X928" s="6">
        <f t="shared" si="59"/>
        <v>680</v>
      </c>
      <c r="Y928" t="str" cm="1">
        <f t="array" ref="Y928">_xlfn.IFS(E928=7.99,"BASIC",E928=11.99,"STANDARD",E928=15.99,"PREMIUM")</f>
        <v>STANDARD</v>
      </c>
      <c r="Z928" s="4">
        <f t="shared" si="57"/>
        <v>3.098529411764706</v>
      </c>
      <c r="AA928" s="3" t="str" cm="1">
        <f t="array" ref="AA928">_xlfn.IFS(
(F928/(X928/7)) &lt; 5, "Casual",
AND((F928/(X928/7)) &gt;= 5, (F928/(X928/7)) &lt; 15), "Regular",
(F928/(X928/7)) &gt;= 15, "Power"
)</f>
        <v>Casual</v>
      </c>
      <c r="AB928" s="3">
        <f t="shared" si="60"/>
        <v>0.28748806112702963</v>
      </c>
      <c r="AC928" t="str">
        <f t="shared" si="58"/>
        <v>Viewers</v>
      </c>
    </row>
    <row r="929" spans="1:30" x14ac:dyDescent="0.3">
      <c r="A929" s="6">
        <v>5337</v>
      </c>
      <c r="B929" s="7" t="s">
        <v>508</v>
      </c>
      <c r="C929" s="10">
        <v>45520</v>
      </c>
      <c r="D929" s="10">
        <v>45624</v>
      </c>
      <c r="E929" s="13">
        <v>7.99</v>
      </c>
      <c r="F929" s="6">
        <v>357</v>
      </c>
      <c r="G929" s="7" t="s">
        <v>63</v>
      </c>
      <c r="H929" s="6">
        <v>2</v>
      </c>
      <c r="I929" s="6">
        <v>4</v>
      </c>
      <c r="J929" s="7" t="b">
        <v>1</v>
      </c>
      <c r="K929" s="6">
        <v>245</v>
      </c>
      <c r="L929" s="6">
        <v>116</v>
      </c>
      <c r="M929" s="7" t="s">
        <v>92</v>
      </c>
      <c r="N929" s="7" t="s">
        <v>75</v>
      </c>
      <c r="O929" s="7" t="s">
        <v>45</v>
      </c>
      <c r="P929" s="6">
        <v>71</v>
      </c>
      <c r="Q929" s="11">
        <v>4.2</v>
      </c>
      <c r="R929" s="7" t="b">
        <v>1</v>
      </c>
      <c r="S929" s="7" t="s">
        <v>30</v>
      </c>
      <c r="T929" s="6">
        <v>2209</v>
      </c>
      <c r="U929" s="7" t="s">
        <v>31</v>
      </c>
      <c r="V929" s="12" t="s">
        <v>59</v>
      </c>
      <c r="W929" s="7" t="s">
        <v>33</v>
      </c>
      <c r="X929" s="6">
        <f t="shared" si="59"/>
        <v>104</v>
      </c>
      <c r="Y929" t="str" cm="1">
        <f t="array" ref="Y929">_xlfn.IFS(E929=7.99,"BASIC",E929=11.99,"STANDARD",E929=15.99,"PREMIUM")</f>
        <v>BASIC</v>
      </c>
      <c r="Z929" s="4">
        <f t="shared" si="57"/>
        <v>24.028846153846153</v>
      </c>
      <c r="AA929" s="3" t="str" cm="1">
        <f t="array" ref="AA929">_xlfn.IFS(
(F929/(X929/7)) &lt; 5, "Casual",
AND((F929/(X929/7)) &gt;= 5, (F929/(X929/7)) &lt; 15), "Regular",
(F929/(X929/7)) &gt;= 15, "Power"
)</f>
        <v>Power</v>
      </c>
      <c r="AB929" s="3">
        <f t="shared" si="60"/>
        <v>0.9889196675900277</v>
      </c>
      <c r="AC929" t="str">
        <f t="shared" si="58"/>
        <v>Viewers</v>
      </c>
    </row>
    <row r="930" spans="1:30" x14ac:dyDescent="0.3">
      <c r="A930" s="6">
        <v>8477</v>
      </c>
      <c r="B930" s="7" t="s">
        <v>236</v>
      </c>
      <c r="C930" s="10">
        <v>45125</v>
      </c>
      <c r="D930" s="10">
        <v>45628</v>
      </c>
      <c r="E930" s="13">
        <v>7.99</v>
      </c>
      <c r="F930" s="6">
        <v>48</v>
      </c>
      <c r="G930" s="7" t="s">
        <v>36</v>
      </c>
      <c r="H930" s="6">
        <v>4</v>
      </c>
      <c r="I930" s="6">
        <v>2</v>
      </c>
      <c r="J930" s="7" t="b">
        <v>0</v>
      </c>
      <c r="K930" s="6">
        <v>33</v>
      </c>
      <c r="L930" s="6">
        <v>7</v>
      </c>
      <c r="M930" s="7" t="s">
        <v>27</v>
      </c>
      <c r="N930" s="7" t="s">
        <v>28</v>
      </c>
      <c r="O930" s="7" t="s">
        <v>37</v>
      </c>
      <c r="P930" s="6">
        <v>13</v>
      </c>
      <c r="Q930" s="11">
        <v>4.8</v>
      </c>
      <c r="R930" s="7" t="b">
        <v>1</v>
      </c>
      <c r="S930" s="7" t="s">
        <v>30</v>
      </c>
      <c r="T930" s="6">
        <v>1327</v>
      </c>
      <c r="U930" s="7" t="s">
        <v>58</v>
      </c>
      <c r="V930" s="12" t="s">
        <v>69</v>
      </c>
      <c r="W930" s="7" t="s">
        <v>60</v>
      </c>
      <c r="X930" s="6">
        <f t="shared" si="59"/>
        <v>503</v>
      </c>
      <c r="Y930" t="str" cm="1">
        <f t="array" ref="Y930">_xlfn.IFS(E930=7.99,"BASIC",E930=11.99,"STANDARD",E930=15.99,"PREMIUM")</f>
        <v>BASIC</v>
      </c>
      <c r="Z930" s="4">
        <f t="shared" si="57"/>
        <v>0.66799204771371767</v>
      </c>
      <c r="AA930" s="3" t="str" cm="1">
        <f t="array" ref="AA930">_xlfn.IFS(
(F930/(X930/7)) &lt; 5, "Casual",
AND((F930/(X930/7)) &gt;= 5, (F930/(X930/7)) &lt; 15), "Regular",
(F930/(X930/7)) &gt;= 15, "Power"
)</f>
        <v>Casual</v>
      </c>
      <c r="AB930" s="3">
        <f t="shared" si="60"/>
        <v>1.2</v>
      </c>
      <c r="AC930" t="str">
        <f t="shared" si="58"/>
        <v>Viewers</v>
      </c>
    </row>
    <row r="931" spans="1:30" x14ac:dyDescent="0.3">
      <c r="A931" s="6">
        <v>7673</v>
      </c>
      <c r="B931" s="7" t="s">
        <v>712</v>
      </c>
      <c r="C931" s="10">
        <v>45156</v>
      </c>
      <c r="D931" s="10">
        <v>45618</v>
      </c>
      <c r="E931" s="13">
        <v>7.99</v>
      </c>
      <c r="F931" s="6">
        <v>351</v>
      </c>
      <c r="G931" s="7" t="s">
        <v>26</v>
      </c>
      <c r="H931" s="6">
        <v>4</v>
      </c>
      <c r="I931" s="6">
        <v>2</v>
      </c>
      <c r="J931" s="7" t="b">
        <v>0</v>
      </c>
      <c r="K931" s="6">
        <v>70</v>
      </c>
      <c r="L931" s="6">
        <v>41</v>
      </c>
      <c r="M931" s="7" t="s">
        <v>74</v>
      </c>
      <c r="N931" s="7" t="s">
        <v>75</v>
      </c>
      <c r="O931" s="7" t="s">
        <v>57</v>
      </c>
      <c r="P931" s="6">
        <v>78</v>
      </c>
      <c r="Q931" s="11">
        <v>3.7</v>
      </c>
      <c r="R931" s="7" t="b">
        <v>0</v>
      </c>
      <c r="S931" s="7" t="s">
        <v>30</v>
      </c>
      <c r="T931" s="6">
        <v>4337</v>
      </c>
      <c r="U931" s="7" t="s">
        <v>31</v>
      </c>
      <c r="V931" s="12" t="s">
        <v>79</v>
      </c>
      <c r="W931" s="7" t="s">
        <v>40</v>
      </c>
      <c r="X931" s="6">
        <f t="shared" si="59"/>
        <v>462</v>
      </c>
      <c r="Y931" t="str" cm="1">
        <f t="array" ref="Y931">_xlfn.IFS(E931=7.99,"BASIC",E931=11.99,"STANDARD",E931=15.99,"PREMIUM")</f>
        <v>BASIC</v>
      </c>
      <c r="Z931" s="4">
        <f t="shared" si="57"/>
        <v>5.3181818181818183</v>
      </c>
      <c r="AA931" s="3" t="str" cm="1">
        <f t="array" ref="AA931">_xlfn.IFS(
(F931/(X931/7)) &lt; 5, "Casual",
AND((F931/(X931/7)) &gt;= 5, (F931/(X931/7)) &lt; 15), "Regular",
(F931/(X931/7)) &gt;= 15, "Power"
)</f>
        <v>Regular</v>
      </c>
      <c r="AB931" s="3">
        <f t="shared" si="60"/>
        <v>3.1621621621621623</v>
      </c>
      <c r="AC931" t="str">
        <f t="shared" si="58"/>
        <v>Viewers</v>
      </c>
    </row>
    <row r="932" spans="1:30" x14ac:dyDescent="0.3">
      <c r="A932" s="6">
        <v>6113</v>
      </c>
      <c r="B932" s="7" t="s">
        <v>713</v>
      </c>
      <c r="C932" s="10">
        <v>45236</v>
      </c>
      <c r="D932" s="10">
        <v>45640</v>
      </c>
      <c r="E932" s="13">
        <v>11.99</v>
      </c>
      <c r="F932" s="6">
        <v>491</v>
      </c>
      <c r="G932" s="7" t="s">
        <v>73</v>
      </c>
      <c r="H932" s="6">
        <v>3</v>
      </c>
      <c r="I932" s="6">
        <v>4</v>
      </c>
      <c r="J932" s="7" t="b">
        <v>1</v>
      </c>
      <c r="K932" s="6">
        <v>779</v>
      </c>
      <c r="L932" s="6">
        <v>86</v>
      </c>
      <c r="M932" s="7" t="s">
        <v>49</v>
      </c>
      <c r="N932" s="7" t="s">
        <v>75</v>
      </c>
      <c r="O932" s="7" t="s">
        <v>29</v>
      </c>
      <c r="P932" s="6">
        <v>85</v>
      </c>
      <c r="Q932" s="11">
        <v>4.7</v>
      </c>
      <c r="R932" s="7" t="b">
        <v>1</v>
      </c>
      <c r="S932" s="7" t="s">
        <v>30</v>
      </c>
      <c r="T932" s="6">
        <v>398</v>
      </c>
      <c r="U932" s="7" t="s">
        <v>65</v>
      </c>
      <c r="V932" s="12" t="s">
        <v>79</v>
      </c>
      <c r="W932" s="7" t="s">
        <v>40</v>
      </c>
      <c r="X932" s="6">
        <f t="shared" si="59"/>
        <v>404</v>
      </c>
      <c r="Y932" t="str" cm="1">
        <f t="array" ref="Y932">_xlfn.IFS(E932=7.99,"BASIC",E932=11.99,"STANDARD",E932=15.99,"PREMIUM")</f>
        <v>STANDARD</v>
      </c>
      <c r="Z932" s="4">
        <f t="shared" si="57"/>
        <v>8.5074257425742577</v>
      </c>
      <c r="AA932" s="3" t="str" cm="1">
        <f t="array" ref="AA932">_xlfn.IFS(
(F932/(X932/7)) &lt; 5, "Casual",
AND((F932/(X932/7)) &gt;= 5, (F932/(X932/7)) &lt; 15), "Regular",
(F932/(X932/7)) &gt;= 15, "Power"
)</f>
        <v>Regular</v>
      </c>
      <c r="AB932" s="3">
        <f t="shared" si="60"/>
        <v>0.5676300578034682</v>
      </c>
      <c r="AC932" t="str">
        <f t="shared" si="58"/>
        <v>Viewers</v>
      </c>
    </row>
    <row r="933" spans="1:30" x14ac:dyDescent="0.3">
      <c r="A933" s="6">
        <v>7457</v>
      </c>
      <c r="B933" s="7" t="s">
        <v>498</v>
      </c>
      <c r="C933" s="10">
        <v>45028</v>
      </c>
      <c r="D933" s="10">
        <v>45625</v>
      </c>
      <c r="E933" s="13">
        <v>11.99</v>
      </c>
      <c r="F933" s="6">
        <v>164</v>
      </c>
      <c r="G933" s="7" t="s">
        <v>48</v>
      </c>
      <c r="H933" s="6">
        <v>2</v>
      </c>
      <c r="I933" s="6">
        <v>1</v>
      </c>
      <c r="J933" s="7" t="b">
        <v>1</v>
      </c>
      <c r="K933" s="6">
        <v>536</v>
      </c>
      <c r="L933" s="6">
        <v>150</v>
      </c>
      <c r="M933" s="7" t="s">
        <v>49</v>
      </c>
      <c r="N933" s="7" t="s">
        <v>44</v>
      </c>
      <c r="O933" s="7" t="s">
        <v>45</v>
      </c>
      <c r="P933" s="6">
        <v>7</v>
      </c>
      <c r="Q933" s="11">
        <v>3.2</v>
      </c>
      <c r="R933" s="7" t="b">
        <v>1</v>
      </c>
      <c r="S933" s="7" t="s">
        <v>30</v>
      </c>
      <c r="T933" s="6">
        <v>1508</v>
      </c>
      <c r="U933" s="7" t="s">
        <v>31</v>
      </c>
      <c r="V933" s="12" t="s">
        <v>69</v>
      </c>
      <c r="W933" s="7" t="s">
        <v>60</v>
      </c>
      <c r="X933" s="6">
        <f t="shared" si="59"/>
        <v>597</v>
      </c>
      <c r="Y933" t="str" cm="1">
        <f t="array" ref="Y933">_xlfn.IFS(E933=7.99,"BASIC",E933=11.99,"STANDARD",E933=15.99,"PREMIUM")</f>
        <v>STANDARD</v>
      </c>
      <c r="Z933" s="4">
        <f t="shared" si="57"/>
        <v>1.9229480737018425</v>
      </c>
      <c r="AA933" s="3" t="str" cm="1">
        <f t="array" ref="AA933">_xlfn.IFS(
(F933/(X933/7)) &lt; 5, "Casual",
AND((F933/(X933/7)) &gt;= 5, (F933/(X933/7)) &lt; 15), "Regular",
(F933/(X933/7)) &gt;= 15, "Power"
)</f>
        <v>Casual</v>
      </c>
      <c r="AB933" s="3">
        <f t="shared" si="60"/>
        <v>0.239067055393586</v>
      </c>
      <c r="AC933" t="str">
        <f t="shared" si="58"/>
        <v>Viewers</v>
      </c>
    </row>
    <row r="934" spans="1:30" x14ac:dyDescent="0.3">
      <c r="A934" s="6">
        <v>6639</v>
      </c>
      <c r="B934" s="7" t="s">
        <v>401</v>
      </c>
      <c r="C934" s="10">
        <v>45278</v>
      </c>
      <c r="D934" s="10">
        <v>45644</v>
      </c>
      <c r="E934" s="13">
        <v>7.99</v>
      </c>
      <c r="F934" s="6">
        <v>304</v>
      </c>
      <c r="G934" s="7" t="s">
        <v>26</v>
      </c>
      <c r="H934" s="6">
        <v>1</v>
      </c>
      <c r="I934" s="6">
        <v>6</v>
      </c>
      <c r="J934" s="7" t="b">
        <v>1</v>
      </c>
      <c r="K934" s="6">
        <v>902</v>
      </c>
      <c r="L934" s="6">
        <v>20</v>
      </c>
      <c r="M934" s="7" t="s">
        <v>74</v>
      </c>
      <c r="N934" s="7" t="s">
        <v>28</v>
      </c>
      <c r="O934" s="7" t="s">
        <v>45</v>
      </c>
      <c r="P934" s="6">
        <v>62</v>
      </c>
      <c r="Q934" s="11">
        <v>3.9</v>
      </c>
      <c r="R934" s="7" t="b">
        <v>1</v>
      </c>
      <c r="S934" s="7" t="s">
        <v>30</v>
      </c>
      <c r="T934" s="6">
        <v>249</v>
      </c>
      <c r="U934" s="7" t="s">
        <v>38</v>
      </c>
      <c r="V934" s="12" t="s">
        <v>32</v>
      </c>
      <c r="W934" s="7" t="s">
        <v>40</v>
      </c>
      <c r="X934" s="6">
        <f t="shared" si="59"/>
        <v>366</v>
      </c>
      <c r="Y934" t="str" cm="1">
        <f t="array" ref="Y934">_xlfn.IFS(E934=7.99,"BASIC",E934=11.99,"STANDARD",E934=15.99,"PREMIUM")</f>
        <v>BASIC</v>
      </c>
      <c r="Z934" s="4">
        <f t="shared" si="57"/>
        <v>5.8142076502732243</v>
      </c>
      <c r="AA934" s="3" t="str" cm="1">
        <f t="array" ref="AA934">_xlfn.IFS(
(F934/(X934/7)) &lt; 5, "Casual",
AND((F934/(X934/7)) &gt;= 5, (F934/(X934/7)) &lt; 15), "Regular",
(F934/(X934/7)) &gt;= 15, "Power"
)</f>
        <v>Regular</v>
      </c>
      <c r="AB934" s="3">
        <f t="shared" si="60"/>
        <v>0.32971800433839482</v>
      </c>
      <c r="AC934" t="str">
        <f t="shared" si="58"/>
        <v>Viewers</v>
      </c>
    </row>
    <row r="935" spans="1:30" x14ac:dyDescent="0.3">
      <c r="A935" s="6">
        <v>5220</v>
      </c>
      <c r="B935" s="7" t="s">
        <v>212</v>
      </c>
      <c r="C935" s="10">
        <v>45151</v>
      </c>
      <c r="D935" s="10">
        <v>45634</v>
      </c>
      <c r="E935" s="13">
        <v>7.99</v>
      </c>
      <c r="F935" s="6">
        <v>166</v>
      </c>
      <c r="G935" s="7" t="s">
        <v>63</v>
      </c>
      <c r="H935" s="6">
        <v>2</v>
      </c>
      <c r="I935" s="6">
        <v>3</v>
      </c>
      <c r="J935" s="7" t="b">
        <v>1</v>
      </c>
      <c r="K935" s="6">
        <v>493</v>
      </c>
      <c r="L935" s="6">
        <v>168</v>
      </c>
      <c r="M935" s="7" t="s">
        <v>27</v>
      </c>
      <c r="N935" s="7" t="s">
        <v>28</v>
      </c>
      <c r="O935" s="7" t="s">
        <v>64</v>
      </c>
      <c r="P935" s="6">
        <v>55</v>
      </c>
      <c r="Q935" s="11">
        <v>3.4</v>
      </c>
      <c r="R935" s="7" t="b">
        <v>1</v>
      </c>
      <c r="S935" s="7" t="s">
        <v>30</v>
      </c>
      <c r="T935" s="6">
        <v>954</v>
      </c>
      <c r="U935" s="7" t="s">
        <v>65</v>
      </c>
      <c r="V935" s="12" t="s">
        <v>59</v>
      </c>
      <c r="W935" s="7" t="s">
        <v>40</v>
      </c>
      <c r="X935" s="6">
        <f t="shared" si="59"/>
        <v>483</v>
      </c>
      <c r="Y935" t="str" cm="1">
        <f t="array" ref="Y935">_xlfn.IFS(E935=7.99,"BASIC",E935=11.99,"STANDARD",E935=15.99,"PREMIUM")</f>
        <v>BASIC</v>
      </c>
      <c r="Z935" s="4">
        <f t="shared" si="57"/>
        <v>2.4057971014492754</v>
      </c>
      <c r="AA935" s="3" t="str" cm="1">
        <f t="array" ref="AA935">_xlfn.IFS(
(F935/(X935/7)) &lt; 5, "Casual",
AND((F935/(X935/7)) &gt;= 5, (F935/(X935/7)) &lt; 15), "Regular",
(F935/(X935/7)) &gt;= 15, "Power"
)</f>
        <v>Casual</v>
      </c>
      <c r="AB935" s="3">
        <f t="shared" si="60"/>
        <v>0.25113464447806355</v>
      </c>
      <c r="AC935" t="str">
        <f t="shared" si="58"/>
        <v>Viewers</v>
      </c>
    </row>
    <row r="936" spans="1:30" x14ac:dyDescent="0.3">
      <c r="A936" s="6">
        <v>6970</v>
      </c>
      <c r="B936" s="7" t="s">
        <v>367</v>
      </c>
      <c r="C936" s="10">
        <f>_xlfn.XLOOKUP(A936,'Data Anomalies -Pls Read It'!A:A,'Data Anomalies -Pls Read It'!D:D,1,0)</f>
        <v>45631</v>
      </c>
      <c r="D936" s="10">
        <f>_xlfn.XLOOKUP(A936,'Data Anomalies -Pls Read It'!A:A,'Data Anomalies -Pls Read It'!C:C,1,0)</f>
        <v>45643</v>
      </c>
      <c r="E936" s="13">
        <v>7.99</v>
      </c>
      <c r="F936" s="6">
        <v>225</v>
      </c>
      <c r="G936" s="7" t="s">
        <v>100</v>
      </c>
      <c r="H936" s="6">
        <v>3</v>
      </c>
      <c r="I936" s="6">
        <v>3</v>
      </c>
      <c r="J936" s="7" t="b">
        <v>1</v>
      </c>
      <c r="K936" s="6">
        <v>589</v>
      </c>
      <c r="L936" s="6">
        <v>103</v>
      </c>
      <c r="M936" s="7" t="s">
        <v>43</v>
      </c>
      <c r="N936" s="7" t="s">
        <v>56</v>
      </c>
      <c r="O936" s="7" t="s">
        <v>29</v>
      </c>
      <c r="P936" s="6">
        <v>93</v>
      </c>
      <c r="Q936" s="11">
        <v>3.2</v>
      </c>
      <c r="R936" s="7" t="b">
        <v>1</v>
      </c>
      <c r="S936" s="7" t="s">
        <v>30</v>
      </c>
      <c r="T936" s="6">
        <v>3313</v>
      </c>
      <c r="U936" s="7" t="s">
        <v>58</v>
      </c>
      <c r="V936" s="12" t="s">
        <v>32</v>
      </c>
      <c r="W936" s="7" t="s">
        <v>60</v>
      </c>
      <c r="X936" s="6">
        <f t="shared" si="59"/>
        <v>12</v>
      </c>
      <c r="Y936" t="str" cm="1">
        <f t="array" ref="Y936">_xlfn.IFS(E936=7.99,"BASIC",E936=11.99,"STANDARD",E936=15.99,"PREMIUM")</f>
        <v>BASIC</v>
      </c>
      <c r="Z936" s="4">
        <f t="shared" si="57"/>
        <v>131.25</v>
      </c>
      <c r="AA936" s="3" t="str" cm="1">
        <f t="array" ref="AA936">_xlfn.IFS(
(F936/(X936/7)) &lt; 5, "Casual",
AND((F936/(X936/7)) &gt;= 5, (F936/(X936/7)) &lt; 15), "Regular",
(F936/(X936/7)) &gt;= 15, "Power"
)</f>
        <v>Power</v>
      </c>
      <c r="AB936" s="3">
        <f t="shared" si="60"/>
        <v>0.32514450867052025</v>
      </c>
      <c r="AC936" t="str">
        <f t="shared" si="58"/>
        <v>Viewers</v>
      </c>
      <c r="AD936" t="s">
        <v>779</v>
      </c>
    </row>
    <row r="937" spans="1:30" x14ac:dyDescent="0.3">
      <c r="A937" s="6">
        <v>6705</v>
      </c>
      <c r="B937" s="7" t="s">
        <v>126</v>
      </c>
      <c r="C937" s="10">
        <v>45563</v>
      </c>
      <c r="D937" s="10">
        <v>45635</v>
      </c>
      <c r="E937" s="13">
        <v>7.99</v>
      </c>
      <c r="F937" s="6">
        <v>163</v>
      </c>
      <c r="G937" s="7" t="s">
        <v>100</v>
      </c>
      <c r="H937" s="6">
        <v>2</v>
      </c>
      <c r="I937" s="6">
        <v>6</v>
      </c>
      <c r="J937" s="7" t="b">
        <v>1</v>
      </c>
      <c r="K937" s="6">
        <v>206</v>
      </c>
      <c r="L937" s="6">
        <v>132</v>
      </c>
      <c r="M937" s="7" t="s">
        <v>74</v>
      </c>
      <c r="N937" s="7" t="s">
        <v>44</v>
      </c>
      <c r="O937" s="7" t="s">
        <v>29</v>
      </c>
      <c r="P937" s="6">
        <v>63</v>
      </c>
      <c r="Q937" s="11">
        <v>3.5</v>
      </c>
      <c r="R937" s="7" t="b">
        <v>1</v>
      </c>
      <c r="S937" s="7" t="s">
        <v>30</v>
      </c>
      <c r="T937" s="6">
        <v>1790</v>
      </c>
      <c r="U937" s="7" t="s">
        <v>38</v>
      </c>
      <c r="V937" s="12" t="s">
        <v>32</v>
      </c>
      <c r="W937" s="7" t="s">
        <v>40</v>
      </c>
      <c r="X937" s="6">
        <f t="shared" si="59"/>
        <v>72</v>
      </c>
      <c r="Y937" t="str" cm="1">
        <f t="array" ref="Y937">_xlfn.IFS(E937=7.99,"BASIC",E937=11.99,"STANDARD",E937=15.99,"PREMIUM")</f>
        <v>BASIC</v>
      </c>
      <c r="Z937" s="4">
        <f t="shared" si="57"/>
        <v>15.847222222222221</v>
      </c>
      <c r="AA937" s="3" t="str" cm="1">
        <f t="array" ref="AA937">_xlfn.IFS(
(F937/(X937/7)) &lt; 5, "Casual",
AND((F937/(X937/7)) &gt;= 5, (F937/(X937/7)) &lt; 15), "Regular",
(F937/(X937/7)) &gt;= 15, "Power"
)</f>
        <v>Power</v>
      </c>
      <c r="AB937" s="3">
        <f t="shared" si="60"/>
        <v>0.48224852071005919</v>
      </c>
      <c r="AC937" t="str">
        <f t="shared" si="58"/>
        <v>Viewers</v>
      </c>
    </row>
    <row r="938" spans="1:30" x14ac:dyDescent="0.3">
      <c r="A938" s="6">
        <v>2477</v>
      </c>
      <c r="B938" s="7" t="s">
        <v>365</v>
      </c>
      <c r="C938" s="10">
        <v>44998</v>
      </c>
      <c r="D938" s="10">
        <v>45622</v>
      </c>
      <c r="E938" s="13">
        <v>15.99</v>
      </c>
      <c r="F938" s="6">
        <v>419</v>
      </c>
      <c r="G938" s="7" t="s">
        <v>48</v>
      </c>
      <c r="H938" s="6">
        <v>2</v>
      </c>
      <c r="I938" s="6">
        <v>6</v>
      </c>
      <c r="J938" s="7" t="b">
        <v>1</v>
      </c>
      <c r="K938" s="6">
        <v>752</v>
      </c>
      <c r="L938" s="6">
        <v>21</v>
      </c>
      <c r="M938" s="7" t="s">
        <v>27</v>
      </c>
      <c r="N938" s="7" t="s">
        <v>44</v>
      </c>
      <c r="O938" s="7" t="s">
        <v>29</v>
      </c>
      <c r="P938" s="6">
        <v>94</v>
      </c>
      <c r="Q938" s="11">
        <v>3.9</v>
      </c>
      <c r="R938" s="7" t="b">
        <v>0</v>
      </c>
      <c r="S938" s="7" t="s">
        <v>30</v>
      </c>
      <c r="T938" s="6">
        <v>2864</v>
      </c>
      <c r="U938" s="7" t="s">
        <v>38</v>
      </c>
      <c r="V938" s="12" t="s">
        <v>32</v>
      </c>
      <c r="W938" s="7" t="s">
        <v>93</v>
      </c>
      <c r="X938" s="6">
        <f t="shared" si="59"/>
        <v>624</v>
      </c>
      <c r="Y938" t="str" cm="1">
        <f t="array" ref="Y938">_xlfn.IFS(E938=7.99,"BASIC",E938=11.99,"STANDARD",E938=15.99,"PREMIUM")</f>
        <v>PREMIUM</v>
      </c>
      <c r="Z938" s="4">
        <f t="shared" si="57"/>
        <v>4.7003205128205128</v>
      </c>
      <c r="AA938" s="3" t="str" cm="1">
        <f t="array" ref="AA938">_xlfn.IFS(
(F938/(X938/7)) &lt; 5, "Casual",
AND((F938/(X938/7)) &gt;= 5, (F938/(X938/7)) &lt; 15), "Regular",
(F938/(X938/7)) &gt;= 15, "Power"
)</f>
        <v>Casual</v>
      </c>
      <c r="AB938" s="3">
        <f t="shared" si="60"/>
        <v>0.54204398447606728</v>
      </c>
      <c r="AC938" t="str">
        <f t="shared" si="58"/>
        <v>Viewers</v>
      </c>
    </row>
    <row r="939" spans="1:30" x14ac:dyDescent="0.3">
      <c r="A939" s="6">
        <v>6236</v>
      </c>
      <c r="B939" s="7" t="s">
        <v>657</v>
      </c>
      <c r="C939" s="10">
        <v>44983</v>
      </c>
      <c r="D939" s="10">
        <v>45618</v>
      </c>
      <c r="E939" s="13">
        <v>11.99</v>
      </c>
      <c r="F939" s="6">
        <v>293</v>
      </c>
      <c r="G939" s="7" t="s">
        <v>26</v>
      </c>
      <c r="H939" s="6">
        <v>2</v>
      </c>
      <c r="I939" s="6">
        <v>3</v>
      </c>
      <c r="J939" s="7" t="b">
        <v>0</v>
      </c>
      <c r="K939" s="6">
        <v>514</v>
      </c>
      <c r="L939" s="6">
        <v>68</v>
      </c>
      <c r="M939" s="7" t="s">
        <v>55</v>
      </c>
      <c r="N939" s="7" t="s">
        <v>56</v>
      </c>
      <c r="O939" s="7" t="s">
        <v>45</v>
      </c>
      <c r="P939" s="6">
        <v>4</v>
      </c>
      <c r="Q939" s="11">
        <v>4.7</v>
      </c>
      <c r="R939" s="7" t="b">
        <v>0</v>
      </c>
      <c r="S939" s="7" t="s">
        <v>30</v>
      </c>
      <c r="T939" s="6">
        <v>1872</v>
      </c>
      <c r="U939" s="7" t="s">
        <v>76</v>
      </c>
      <c r="V939" s="12" t="s">
        <v>39</v>
      </c>
      <c r="W939" s="7" t="s">
        <v>33</v>
      </c>
      <c r="X939" s="6">
        <f t="shared" si="59"/>
        <v>635</v>
      </c>
      <c r="Y939" t="str" cm="1">
        <f t="array" ref="Y939">_xlfn.IFS(E939=7.99,"BASIC",E939=11.99,"STANDARD",E939=15.99,"PREMIUM")</f>
        <v>STANDARD</v>
      </c>
      <c r="Z939" s="4">
        <f t="shared" si="57"/>
        <v>3.22992125984252</v>
      </c>
      <c r="AA939" s="3" t="str" cm="1">
        <f t="array" ref="AA939">_xlfn.IFS(
(F939/(X939/7)) &lt; 5, "Casual",
AND((F939/(X939/7)) &gt;= 5, (F939/(X939/7)) &lt; 15), "Regular",
(F939/(X939/7)) &gt;= 15, "Power"
)</f>
        <v>Casual</v>
      </c>
      <c r="AB939" s="3">
        <f t="shared" si="60"/>
        <v>0.50343642611683848</v>
      </c>
      <c r="AC939" t="str">
        <f t="shared" si="58"/>
        <v>Viewers</v>
      </c>
    </row>
    <row r="940" spans="1:30" x14ac:dyDescent="0.3">
      <c r="A940" s="6">
        <v>4079</v>
      </c>
      <c r="B940" s="7" t="s">
        <v>716</v>
      </c>
      <c r="C940" s="10">
        <v>44942</v>
      </c>
      <c r="D940" s="10">
        <v>45641</v>
      </c>
      <c r="E940" s="13">
        <v>7.99</v>
      </c>
      <c r="F940" s="6">
        <v>171</v>
      </c>
      <c r="G940" s="7" t="s">
        <v>63</v>
      </c>
      <c r="H940" s="6">
        <v>3</v>
      </c>
      <c r="I940" s="6">
        <v>6</v>
      </c>
      <c r="J940" s="7" t="b">
        <v>1</v>
      </c>
      <c r="K940" s="6">
        <v>858</v>
      </c>
      <c r="L940" s="6">
        <v>58</v>
      </c>
      <c r="M940" s="7" t="s">
        <v>74</v>
      </c>
      <c r="N940" s="7" t="s">
        <v>44</v>
      </c>
      <c r="O940" s="7" t="s">
        <v>37</v>
      </c>
      <c r="P940" s="6">
        <v>21</v>
      </c>
      <c r="Q940" s="11">
        <v>4.5</v>
      </c>
      <c r="R940" s="7" t="b">
        <v>1</v>
      </c>
      <c r="S940" s="7" t="s">
        <v>30</v>
      </c>
      <c r="T940" s="6">
        <v>2521</v>
      </c>
      <c r="U940" s="7" t="s">
        <v>31</v>
      </c>
      <c r="V940" s="12" t="s">
        <v>69</v>
      </c>
      <c r="W940" s="7" t="s">
        <v>93</v>
      </c>
      <c r="X940" s="6">
        <f t="shared" si="59"/>
        <v>699</v>
      </c>
      <c r="Y940" t="str" cm="1">
        <f t="array" ref="Y940">_xlfn.IFS(E940=7.99,"BASIC",E940=11.99,"STANDARD",E940=15.99,"PREMIUM")</f>
        <v>BASIC</v>
      </c>
      <c r="Z940" s="4">
        <f t="shared" si="57"/>
        <v>1.7124463519313304</v>
      </c>
      <c r="AA940" s="3" t="str" cm="1">
        <f t="array" ref="AA940">_xlfn.IFS(
(F940/(X940/7)) &lt; 5, "Casual",
AND((F940/(X940/7)) &gt;= 5, (F940/(X940/7)) &lt; 15), "Regular",
(F940/(X940/7)) &gt;= 15, "Power"
)</f>
        <v>Casual</v>
      </c>
      <c r="AB940" s="3">
        <f t="shared" si="60"/>
        <v>0.18668122270742357</v>
      </c>
      <c r="AC940" t="str">
        <f t="shared" si="58"/>
        <v>Viewers</v>
      </c>
    </row>
    <row r="941" spans="1:30" x14ac:dyDescent="0.3">
      <c r="A941" s="6">
        <v>7927</v>
      </c>
      <c r="B941" s="7" t="s">
        <v>592</v>
      </c>
      <c r="C941" s="10">
        <v>44937</v>
      </c>
      <c r="D941" s="10">
        <v>45616</v>
      </c>
      <c r="E941" s="13">
        <v>7.99</v>
      </c>
      <c r="F941" s="6">
        <v>438</v>
      </c>
      <c r="G941" s="7" t="s">
        <v>51</v>
      </c>
      <c r="H941" s="6">
        <v>4</v>
      </c>
      <c r="I941" s="6">
        <v>3</v>
      </c>
      <c r="J941" s="7" t="b">
        <v>0</v>
      </c>
      <c r="K941" s="6">
        <v>970</v>
      </c>
      <c r="L941" s="6">
        <v>59</v>
      </c>
      <c r="M941" s="7" t="s">
        <v>74</v>
      </c>
      <c r="N941" s="7" t="s">
        <v>56</v>
      </c>
      <c r="O941" s="7" t="s">
        <v>57</v>
      </c>
      <c r="P941" s="6">
        <v>78</v>
      </c>
      <c r="Q941" s="11">
        <v>4.5999999999999996</v>
      </c>
      <c r="R941" s="7" t="b">
        <v>1</v>
      </c>
      <c r="S941" s="7" t="s">
        <v>30</v>
      </c>
      <c r="T941" s="6">
        <v>4426</v>
      </c>
      <c r="U941" s="7" t="s">
        <v>76</v>
      </c>
      <c r="V941" s="12" t="s">
        <v>79</v>
      </c>
      <c r="W941" s="7" t="s">
        <v>33</v>
      </c>
      <c r="X941" s="6">
        <f t="shared" si="59"/>
        <v>679</v>
      </c>
      <c r="Y941" t="str" cm="1">
        <f t="array" ref="Y941">_xlfn.IFS(E941=7.99,"BASIC",E941=11.99,"STANDARD",E941=15.99,"PREMIUM")</f>
        <v>BASIC</v>
      </c>
      <c r="Z941" s="4">
        <f t="shared" si="57"/>
        <v>4.5154639175257731</v>
      </c>
      <c r="AA941" s="3" t="str" cm="1">
        <f t="array" ref="AA941">_xlfn.IFS(
(F941/(X941/7)) &lt; 5, "Casual",
AND((F941/(X941/7)) &gt;= 5, (F941/(X941/7)) &lt; 15), "Regular",
(F941/(X941/7)) &gt;= 15, "Power"
)</f>
        <v>Casual</v>
      </c>
      <c r="AB941" s="3">
        <f t="shared" si="60"/>
        <v>0.42565597667638483</v>
      </c>
      <c r="AC941" t="str">
        <f t="shared" si="58"/>
        <v>Viewers</v>
      </c>
    </row>
    <row r="942" spans="1:30" x14ac:dyDescent="0.3">
      <c r="A942" s="6">
        <v>5059</v>
      </c>
      <c r="B942" s="7" t="s">
        <v>41</v>
      </c>
      <c r="C942" s="10">
        <v>45538</v>
      </c>
      <c r="D942" s="10">
        <v>45623</v>
      </c>
      <c r="E942" s="13">
        <v>11.99</v>
      </c>
      <c r="F942" s="6">
        <v>247</v>
      </c>
      <c r="G942" s="7" t="s">
        <v>73</v>
      </c>
      <c r="H942" s="6">
        <v>4</v>
      </c>
      <c r="I942" s="6">
        <v>4</v>
      </c>
      <c r="J942" s="7" t="b">
        <v>0</v>
      </c>
      <c r="K942" s="6">
        <v>510</v>
      </c>
      <c r="L942" s="6">
        <v>87</v>
      </c>
      <c r="M942" s="7" t="s">
        <v>68</v>
      </c>
      <c r="N942" s="7" t="s">
        <v>44</v>
      </c>
      <c r="O942" s="7" t="s">
        <v>45</v>
      </c>
      <c r="P942" s="6">
        <v>99</v>
      </c>
      <c r="Q942" s="11">
        <v>3.5</v>
      </c>
      <c r="R942" s="7" t="b">
        <v>0</v>
      </c>
      <c r="S942" s="7" t="s">
        <v>30</v>
      </c>
      <c r="T942" s="6">
        <v>3100</v>
      </c>
      <c r="U942" s="7" t="s">
        <v>58</v>
      </c>
      <c r="V942" s="12" t="s">
        <v>69</v>
      </c>
      <c r="W942" s="7" t="s">
        <v>93</v>
      </c>
      <c r="X942" s="6">
        <f t="shared" si="59"/>
        <v>85</v>
      </c>
      <c r="Y942" t="str" cm="1">
        <f t="array" ref="Y942">_xlfn.IFS(E942=7.99,"BASIC",E942=11.99,"STANDARD",E942=15.99,"PREMIUM")</f>
        <v>STANDARD</v>
      </c>
      <c r="Z942" s="4">
        <f t="shared" si="57"/>
        <v>20.341176470588238</v>
      </c>
      <c r="AA942" s="3" t="str" cm="1">
        <f t="array" ref="AA942">_xlfn.IFS(
(F942/(X942/7)) &lt; 5, "Casual",
AND((F942/(X942/7)) &gt;= 5, (F942/(X942/7)) &lt; 15), "Regular",
(F942/(X942/7)) &gt;= 15, "Power"
)</f>
        <v>Power</v>
      </c>
      <c r="AB942" s="3">
        <f t="shared" si="60"/>
        <v>0.41373534338358459</v>
      </c>
      <c r="AC942" t="str">
        <f t="shared" si="58"/>
        <v>Viewers</v>
      </c>
    </row>
    <row r="943" spans="1:30" x14ac:dyDescent="0.3">
      <c r="A943" s="6">
        <v>4210</v>
      </c>
      <c r="B943" s="7" t="s">
        <v>284</v>
      </c>
      <c r="C943" s="10">
        <v>45259</v>
      </c>
      <c r="D943" s="10">
        <v>45622</v>
      </c>
      <c r="E943" s="13">
        <v>11.99</v>
      </c>
      <c r="F943" s="6">
        <v>85</v>
      </c>
      <c r="G943" s="7" t="s">
        <v>63</v>
      </c>
      <c r="H943" s="6">
        <v>1</v>
      </c>
      <c r="I943" s="6">
        <v>2</v>
      </c>
      <c r="J943" s="7" t="b">
        <v>0</v>
      </c>
      <c r="K943" s="6">
        <v>770</v>
      </c>
      <c r="L943" s="6">
        <v>132</v>
      </c>
      <c r="M943" s="7" t="s">
        <v>49</v>
      </c>
      <c r="N943" s="7" t="s">
        <v>44</v>
      </c>
      <c r="O943" s="7" t="s">
        <v>57</v>
      </c>
      <c r="P943" s="6">
        <v>99</v>
      </c>
      <c r="Q943" s="11">
        <v>4.4000000000000004</v>
      </c>
      <c r="R943" s="7" t="b">
        <v>0</v>
      </c>
      <c r="S943" s="7" t="s">
        <v>30</v>
      </c>
      <c r="T943" s="6">
        <v>4273</v>
      </c>
      <c r="U943" s="7" t="s">
        <v>76</v>
      </c>
      <c r="V943" s="12" t="s">
        <v>32</v>
      </c>
      <c r="W943" s="7" t="s">
        <v>60</v>
      </c>
      <c r="X943" s="6">
        <f t="shared" si="59"/>
        <v>363</v>
      </c>
      <c r="Y943" t="str" cm="1">
        <f t="array" ref="Y943">_xlfn.IFS(E943=7.99,"BASIC",E943=11.99,"STANDARD",E943=15.99,"PREMIUM")</f>
        <v>STANDARD</v>
      </c>
      <c r="Z943" s="4">
        <f t="shared" si="57"/>
        <v>1.6391184573002755</v>
      </c>
      <c r="AA943" s="3" t="str" cm="1">
        <f t="array" ref="AA943">_xlfn.IFS(
(F943/(X943/7)) &lt; 5, "Casual",
AND((F943/(X943/7)) &gt;= 5, (F943/(X943/7)) &lt; 15), "Regular",
(F943/(X943/7)) &gt;= 15, "Power"
)</f>
        <v>Casual</v>
      </c>
      <c r="AB943" s="3">
        <f t="shared" si="60"/>
        <v>9.4235033259423506E-2</v>
      </c>
      <c r="AC943" t="str">
        <f t="shared" si="58"/>
        <v xml:space="preserve"> Browsers</v>
      </c>
    </row>
    <row r="944" spans="1:30" x14ac:dyDescent="0.3">
      <c r="A944" s="6">
        <v>5054</v>
      </c>
      <c r="B944" s="7" t="s">
        <v>41</v>
      </c>
      <c r="C944" s="10">
        <v>44937</v>
      </c>
      <c r="D944" s="10">
        <v>45626</v>
      </c>
      <c r="E944" s="13">
        <v>11.99</v>
      </c>
      <c r="F944" s="6">
        <v>203</v>
      </c>
      <c r="G944" s="7" t="s">
        <v>51</v>
      </c>
      <c r="H944" s="6">
        <v>5</v>
      </c>
      <c r="I944" s="6">
        <v>2</v>
      </c>
      <c r="J944" s="7" t="b">
        <v>0</v>
      </c>
      <c r="K944" s="6">
        <v>903</v>
      </c>
      <c r="L944" s="6">
        <v>19</v>
      </c>
      <c r="M944" s="7" t="s">
        <v>43</v>
      </c>
      <c r="N944" s="7" t="s">
        <v>56</v>
      </c>
      <c r="O944" s="7" t="s">
        <v>29</v>
      </c>
      <c r="P944" s="6">
        <v>76</v>
      </c>
      <c r="Q944" s="11">
        <v>4.5999999999999996</v>
      </c>
      <c r="R944" s="7" t="b">
        <v>0</v>
      </c>
      <c r="S944" s="7" t="s">
        <v>30</v>
      </c>
      <c r="T944" s="6">
        <v>1254</v>
      </c>
      <c r="U944" s="7" t="s">
        <v>65</v>
      </c>
      <c r="V944" s="12" t="s">
        <v>69</v>
      </c>
      <c r="W944" s="7" t="s">
        <v>60</v>
      </c>
      <c r="X944" s="6">
        <f t="shared" si="59"/>
        <v>689</v>
      </c>
      <c r="Y944" t="str" cm="1">
        <f t="array" ref="Y944">_xlfn.IFS(E944=7.99,"BASIC",E944=11.99,"STANDARD",E944=15.99,"PREMIUM")</f>
        <v>STANDARD</v>
      </c>
      <c r="Z944" s="4">
        <f t="shared" si="57"/>
        <v>2.0624092888243832</v>
      </c>
      <c r="AA944" s="3" t="str" cm="1">
        <f t="array" ref="AA944">_xlfn.IFS(
(F944/(X944/7)) &lt; 5, "Casual",
AND((F944/(X944/7)) &gt;= 5, (F944/(X944/7)) &lt; 15), "Regular",
(F944/(X944/7)) &gt;= 15, "Power"
)</f>
        <v>Casual</v>
      </c>
      <c r="AB944" s="3">
        <f t="shared" si="60"/>
        <v>0.22017353579175705</v>
      </c>
      <c r="AC944" t="str">
        <f t="shared" si="58"/>
        <v>Viewers</v>
      </c>
    </row>
    <row r="945" spans="1:29" x14ac:dyDescent="0.3">
      <c r="A945" s="6">
        <v>5836</v>
      </c>
      <c r="B945" s="7" t="s">
        <v>504</v>
      </c>
      <c r="C945" s="10">
        <v>45512</v>
      </c>
      <c r="D945" s="10">
        <v>45617</v>
      </c>
      <c r="E945" s="13">
        <v>15.99</v>
      </c>
      <c r="F945" s="6">
        <v>219</v>
      </c>
      <c r="G945" s="7" t="s">
        <v>48</v>
      </c>
      <c r="H945" s="6">
        <v>1</v>
      </c>
      <c r="I945" s="6">
        <v>5</v>
      </c>
      <c r="J945" s="7" t="b">
        <v>1</v>
      </c>
      <c r="K945" s="6">
        <v>347</v>
      </c>
      <c r="L945" s="6">
        <v>55</v>
      </c>
      <c r="M945" s="7" t="s">
        <v>92</v>
      </c>
      <c r="N945" s="7" t="s">
        <v>75</v>
      </c>
      <c r="O945" s="7" t="s">
        <v>45</v>
      </c>
      <c r="P945" s="6">
        <v>64</v>
      </c>
      <c r="Q945" s="11">
        <v>4.5999999999999996</v>
      </c>
      <c r="R945" s="7" t="b">
        <v>1</v>
      </c>
      <c r="S945" s="7" t="s">
        <v>30</v>
      </c>
      <c r="T945" s="6">
        <v>4817</v>
      </c>
      <c r="U945" s="7" t="s">
        <v>58</v>
      </c>
      <c r="V945" s="12" t="s">
        <v>32</v>
      </c>
      <c r="W945" s="7" t="s">
        <v>40</v>
      </c>
      <c r="X945" s="6">
        <f t="shared" si="59"/>
        <v>105</v>
      </c>
      <c r="Y945" t="str" cm="1">
        <f t="array" ref="Y945">_xlfn.IFS(E945=7.99,"BASIC",E945=11.99,"STANDARD",E945=15.99,"PREMIUM")</f>
        <v>PREMIUM</v>
      </c>
      <c r="Z945" s="4">
        <f t="shared" si="57"/>
        <v>14.6</v>
      </c>
      <c r="AA945" s="3" t="str" cm="1">
        <f t="array" ref="AA945">_xlfn.IFS(
(F945/(X945/7)) &lt; 5, "Casual",
AND((F945/(X945/7)) &gt;= 5, (F945/(X945/7)) &lt; 15), "Regular",
(F945/(X945/7)) &gt;= 15, "Power"
)</f>
        <v>Regular</v>
      </c>
      <c r="AB945" s="3">
        <f t="shared" si="60"/>
        <v>0.54477611940298509</v>
      </c>
      <c r="AC945" t="str">
        <f t="shared" si="58"/>
        <v>Viewers</v>
      </c>
    </row>
    <row r="946" spans="1:29" x14ac:dyDescent="0.3">
      <c r="A946" s="6">
        <v>8612</v>
      </c>
      <c r="B946" s="7" t="s">
        <v>304</v>
      </c>
      <c r="C946" s="10">
        <v>45344</v>
      </c>
      <c r="D946" s="10">
        <v>45644</v>
      </c>
      <c r="E946" s="13">
        <v>7.99</v>
      </c>
      <c r="F946" s="6">
        <v>285</v>
      </c>
      <c r="G946" s="7" t="s">
        <v>73</v>
      </c>
      <c r="H946" s="6">
        <v>5</v>
      </c>
      <c r="I946" s="6">
        <v>5</v>
      </c>
      <c r="J946" s="7" t="b">
        <v>0</v>
      </c>
      <c r="K946" s="6">
        <v>600</v>
      </c>
      <c r="L946" s="6">
        <v>109</v>
      </c>
      <c r="M946" s="7" t="s">
        <v>74</v>
      </c>
      <c r="N946" s="7" t="s">
        <v>75</v>
      </c>
      <c r="O946" s="7" t="s">
        <v>45</v>
      </c>
      <c r="P946" s="6">
        <v>76</v>
      </c>
      <c r="Q946" s="11">
        <v>4</v>
      </c>
      <c r="R946" s="7" t="b">
        <v>0</v>
      </c>
      <c r="S946" s="7" t="s">
        <v>30</v>
      </c>
      <c r="T946" s="6">
        <v>2330</v>
      </c>
      <c r="U946" s="7" t="s">
        <v>31</v>
      </c>
      <c r="V946" s="12" t="s">
        <v>39</v>
      </c>
      <c r="W946" s="7" t="s">
        <v>60</v>
      </c>
      <c r="X946" s="6">
        <f t="shared" si="59"/>
        <v>300</v>
      </c>
      <c r="Y946" t="str" cm="1">
        <f t="array" ref="Y946">_xlfn.IFS(E946=7.99,"BASIC",E946=11.99,"STANDARD",E946=15.99,"PREMIUM")</f>
        <v>BASIC</v>
      </c>
      <c r="Z946" s="4">
        <f t="shared" si="57"/>
        <v>6.65</v>
      </c>
      <c r="AA946" s="3" t="str" cm="1">
        <f t="array" ref="AA946">_xlfn.IFS(
(F946/(X946/7)) &lt; 5, "Casual",
AND((F946/(X946/7)) &gt;= 5, (F946/(X946/7)) &lt; 15), "Regular",
(F946/(X946/7)) &gt;= 15, "Power"
)</f>
        <v>Regular</v>
      </c>
      <c r="AB946" s="3">
        <f t="shared" si="60"/>
        <v>0.40197461212976021</v>
      </c>
      <c r="AC946" t="str">
        <f t="shared" si="58"/>
        <v>Viewers</v>
      </c>
    </row>
    <row r="947" spans="1:29" x14ac:dyDescent="0.3">
      <c r="A947" s="6">
        <v>7445</v>
      </c>
      <c r="B947" s="7" t="s">
        <v>125</v>
      </c>
      <c r="C947" s="10">
        <v>45249</v>
      </c>
      <c r="D947" s="10">
        <v>45619</v>
      </c>
      <c r="E947" s="13">
        <v>15.99</v>
      </c>
      <c r="F947" s="6">
        <v>115</v>
      </c>
      <c r="G947" s="7" t="s">
        <v>63</v>
      </c>
      <c r="H947" s="6">
        <v>2</v>
      </c>
      <c r="I947" s="6">
        <v>6</v>
      </c>
      <c r="J947" s="7" t="b">
        <v>1</v>
      </c>
      <c r="K947" s="6">
        <v>583</v>
      </c>
      <c r="L947" s="6">
        <v>127</v>
      </c>
      <c r="M947" s="7" t="s">
        <v>27</v>
      </c>
      <c r="N947" s="7" t="s">
        <v>56</v>
      </c>
      <c r="O947" s="7" t="s">
        <v>64</v>
      </c>
      <c r="P947" s="6">
        <v>0</v>
      </c>
      <c r="Q947" s="11">
        <v>3.6</v>
      </c>
      <c r="R947" s="7" t="b">
        <v>0</v>
      </c>
      <c r="S947" s="7" t="s">
        <v>30</v>
      </c>
      <c r="T947" s="6">
        <v>244</v>
      </c>
      <c r="U947" s="7" t="s">
        <v>38</v>
      </c>
      <c r="V947" s="12" t="s">
        <v>32</v>
      </c>
      <c r="W947" s="7" t="s">
        <v>33</v>
      </c>
      <c r="X947" s="6">
        <f t="shared" si="59"/>
        <v>370</v>
      </c>
      <c r="Y947" t="str" cm="1">
        <f t="array" ref="Y947">_xlfn.IFS(E947=7.99,"BASIC",E947=11.99,"STANDARD",E947=15.99,"PREMIUM")</f>
        <v>PREMIUM</v>
      </c>
      <c r="Z947" s="4">
        <f t="shared" si="57"/>
        <v>2.1756756756756759</v>
      </c>
      <c r="AA947" s="3" t="str" cm="1">
        <f t="array" ref="AA947">_xlfn.IFS(
(F947/(X947/7)) &lt; 5, "Casual",
AND((F947/(X947/7)) &gt;= 5, (F947/(X947/7)) &lt; 15), "Regular",
(F947/(X947/7)) &gt;= 15, "Power"
)</f>
        <v>Casual</v>
      </c>
      <c r="AB947" s="3">
        <f t="shared" si="60"/>
        <v>0.1619718309859155</v>
      </c>
      <c r="AC947" t="str">
        <f t="shared" si="58"/>
        <v>Viewers</v>
      </c>
    </row>
    <row r="948" spans="1:29" x14ac:dyDescent="0.3">
      <c r="A948" s="6">
        <v>6135</v>
      </c>
      <c r="B948" s="7" t="s">
        <v>112</v>
      </c>
      <c r="C948" s="10">
        <v>45575</v>
      </c>
      <c r="D948" s="10">
        <v>45617</v>
      </c>
      <c r="E948" s="13">
        <v>7.99</v>
      </c>
      <c r="F948" s="6">
        <v>322</v>
      </c>
      <c r="G948" s="7" t="s">
        <v>36</v>
      </c>
      <c r="H948" s="6">
        <v>1</v>
      </c>
      <c r="I948" s="6">
        <v>5</v>
      </c>
      <c r="J948" s="7" t="b">
        <v>1</v>
      </c>
      <c r="K948" s="6">
        <v>446</v>
      </c>
      <c r="L948" s="6">
        <v>114</v>
      </c>
      <c r="M948" s="7" t="s">
        <v>68</v>
      </c>
      <c r="N948" s="7" t="s">
        <v>56</v>
      </c>
      <c r="O948" s="7" t="s">
        <v>64</v>
      </c>
      <c r="P948" s="6">
        <v>84</v>
      </c>
      <c r="Q948" s="11">
        <v>4.5</v>
      </c>
      <c r="R948" s="7" t="b">
        <v>1</v>
      </c>
      <c r="S948" s="7" t="s">
        <v>30</v>
      </c>
      <c r="T948" s="6">
        <v>1539</v>
      </c>
      <c r="U948" s="7" t="s">
        <v>76</v>
      </c>
      <c r="V948" s="12" t="s">
        <v>39</v>
      </c>
      <c r="W948" s="7" t="s">
        <v>33</v>
      </c>
      <c r="X948" s="6">
        <f t="shared" si="59"/>
        <v>42</v>
      </c>
      <c r="Y948" t="str" cm="1">
        <f t="array" ref="Y948">_xlfn.IFS(E948=7.99,"BASIC",E948=11.99,"STANDARD",E948=15.99,"PREMIUM")</f>
        <v>BASIC</v>
      </c>
      <c r="Z948" s="4">
        <f t="shared" si="57"/>
        <v>53.666666666666664</v>
      </c>
      <c r="AA948" s="3" t="str" cm="1">
        <f t="array" ref="AA948">_xlfn.IFS(
(F948/(X948/7)) &lt; 5, "Casual",
AND((F948/(X948/7)) &gt;= 5, (F948/(X948/7)) &lt; 15), "Regular",
(F948/(X948/7)) &gt;= 15, "Power"
)</f>
        <v>Power</v>
      </c>
      <c r="AB948" s="3">
        <f t="shared" si="60"/>
        <v>0.57499999999999996</v>
      </c>
      <c r="AC948" t="str">
        <f t="shared" si="58"/>
        <v>Viewers</v>
      </c>
    </row>
    <row r="949" spans="1:29" x14ac:dyDescent="0.3">
      <c r="A949" s="6">
        <v>3168</v>
      </c>
      <c r="B949" s="7" t="s">
        <v>373</v>
      </c>
      <c r="C949" s="10">
        <v>45389</v>
      </c>
      <c r="D949" s="10">
        <v>45617</v>
      </c>
      <c r="E949" s="13">
        <v>7.99</v>
      </c>
      <c r="F949" s="6">
        <v>348</v>
      </c>
      <c r="G949" s="7" t="s">
        <v>26</v>
      </c>
      <c r="H949" s="6">
        <v>2</v>
      </c>
      <c r="I949" s="6">
        <v>2</v>
      </c>
      <c r="J949" s="7" t="b">
        <v>1</v>
      </c>
      <c r="K949" s="6">
        <v>797</v>
      </c>
      <c r="L949" s="6">
        <v>81</v>
      </c>
      <c r="M949" s="7" t="s">
        <v>68</v>
      </c>
      <c r="N949" s="7" t="s">
        <v>28</v>
      </c>
      <c r="O949" s="7" t="s">
        <v>57</v>
      </c>
      <c r="P949" s="6">
        <v>12</v>
      </c>
      <c r="Q949" s="11">
        <v>5</v>
      </c>
      <c r="R949" s="7" t="b">
        <v>1</v>
      </c>
      <c r="S949" s="7" t="s">
        <v>30</v>
      </c>
      <c r="T949" s="6">
        <v>2657</v>
      </c>
      <c r="U949" s="7" t="s">
        <v>58</v>
      </c>
      <c r="V949" s="12" t="s">
        <v>69</v>
      </c>
      <c r="W949" s="7" t="s">
        <v>60</v>
      </c>
      <c r="X949" s="6">
        <f t="shared" si="59"/>
        <v>228</v>
      </c>
      <c r="Y949" t="str" cm="1">
        <f t="array" ref="Y949">_xlfn.IFS(E949=7.99,"BASIC",E949=11.99,"STANDARD",E949=15.99,"PREMIUM")</f>
        <v>BASIC</v>
      </c>
      <c r="Z949" s="4">
        <f t="shared" si="57"/>
        <v>10.684210526315789</v>
      </c>
      <c r="AA949" s="3" t="str" cm="1">
        <f t="array" ref="AA949">_xlfn.IFS(
(F949/(X949/7)) &lt; 5, "Casual",
AND((F949/(X949/7)) &gt;= 5, (F949/(X949/7)) &lt; 15), "Regular",
(F949/(X949/7)) &gt;= 15, "Power"
)</f>
        <v>Regular</v>
      </c>
      <c r="AB949" s="3">
        <f t="shared" si="60"/>
        <v>0.39635535307517084</v>
      </c>
      <c r="AC949" t="str">
        <f t="shared" si="58"/>
        <v>Viewers</v>
      </c>
    </row>
    <row r="950" spans="1:29" x14ac:dyDescent="0.3">
      <c r="A950" s="6">
        <v>2981</v>
      </c>
      <c r="B950" s="7" t="s">
        <v>718</v>
      </c>
      <c r="C950" s="10">
        <v>45419</v>
      </c>
      <c r="D950" s="10">
        <v>45629</v>
      </c>
      <c r="E950" s="13">
        <v>11.99</v>
      </c>
      <c r="F950" s="6">
        <v>482</v>
      </c>
      <c r="G950" s="7" t="s">
        <v>48</v>
      </c>
      <c r="H950" s="6">
        <v>5</v>
      </c>
      <c r="I950" s="6">
        <v>2</v>
      </c>
      <c r="J950" s="7" t="b">
        <v>1</v>
      </c>
      <c r="K950" s="6">
        <v>665</v>
      </c>
      <c r="L950" s="6">
        <v>96</v>
      </c>
      <c r="M950" s="7" t="s">
        <v>92</v>
      </c>
      <c r="N950" s="7" t="s">
        <v>44</v>
      </c>
      <c r="O950" s="7" t="s">
        <v>57</v>
      </c>
      <c r="P950" s="6">
        <v>24</v>
      </c>
      <c r="Q950" s="11">
        <v>4.7</v>
      </c>
      <c r="R950" s="7" t="b">
        <v>1</v>
      </c>
      <c r="S950" s="7" t="s">
        <v>30</v>
      </c>
      <c r="T950" s="6">
        <v>4851</v>
      </c>
      <c r="U950" s="7" t="s">
        <v>31</v>
      </c>
      <c r="V950" s="12" t="s">
        <v>59</v>
      </c>
      <c r="W950" s="7" t="s">
        <v>93</v>
      </c>
      <c r="X950" s="6">
        <f t="shared" si="59"/>
        <v>210</v>
      </c>
      <c r="Y950" t="str" cm="1">
        <f t="array" ref="Y950">_xlfn.IFS(E950=7.99,"BASIC",E950=11.99,"STANDARD",E950=15.99,"PREMIUM")</f>
        <v>STANDARD</v>
      </c>
      <c r="Z950" s="4">
        <f t="shared" si="57"/>
        <v>16.066666666666666</v>
      </c>
      <c r="AA950" s="3" t="str" cm="1">
        <f t="array" ref="AA950">_xlfn.IFS(
(F950/(X950/7)) &lt; 5, "Casual",
AND((F950/(X950/7)) &gt;= 5, (F950/(X950/7)) &lt; 15), "Regular",
(F950/(X950/7)) &gt;= 15, "Power"
)</f>
        <v>Power</v>
      </c>
      <c r="AB950" s="3">
        <f t="shared" si="60"/>
        <v>0.63337713534822604</v>
      </c>
      <c r="AC950" t="str">
        <f t="shared" si="58"/>
        <v>Viewers</v>
      </c>
    </row>
    <row r="951" spans="1:29" x14ac:dyDescent="0.3">
      <c r="A951" s="6">
        <v>7739</v>
      </c>
      <c r="B951" s="7" t="s">
        <v>254</v>
      </c>
      <c r="C951" s="10">
        <v>44997</v>
      </c>
      <c r="D951" s="10">
        <v>45637</v>
      </c>
      <c r="E951" s="13">
        <v>7.99</v>
      </c>
      <c r="F951" s="6">
        <v>384</v>
      </c>
      <c r="G951" s="7" t="s">
        <v>48</v>
      </c>
      <c r="H951" s="6">
        <v>4</v>
      </c>
      <c r="I951" s="6">
        <v>3</v>
      </c>
      <c r="J951" s="7" t="b">
        <v>1</v>
      </c>
      <c r="K951" s="6">
        <v>188</v>
      </c>
      <c r="L951" s="6">
        <v>140</v>
      </c>
      <c r="M951" s="7" t="s">
        <v>92</v>
      </c>
      <c r="N951" s="7" t="s">
        <v>75</v>
      </c>
      <c r="O951" s="7" t="s">
        <v>78</v>
      </c>
      <c r="P951" s="6">
        <v>78</v>
      </c>
      <c r="Q951" s="11">
        <v>3.9</v>
      </c>
      <c r="R951" s="7" t="b">
        <v>0</v>
      </c>
      <c r="S951" s="7" t="s">
        <v>30</v>
      </c>
      <c r="T951" s="6">
        <v>2341</v>
      </c>
      <c r="U951" s="7" t="s">
        <v>31</v>
      </c>
      <c r="V951" s="12" t="s">
        <v>39</v>
      </c>
      <c r="W951" s="7" t="s">
        <v>93</v>
      </c>
      <c r="X951" s="6">
        <f t="shared" si="59"/>
        <v>640</v>
      </c>
      <c r="Y951" t="str" cm="1">
        <f t="array" ref="Y951">_xlfn.IFS(E951=7.99,"BASIC",E951=11.99,"STANDARD",E951=15.99,"PREMIUM")</f>
        <v>BASIC</v>
      </c>
      <c r="Z951" s="4">
        <f t="shared" si="57"/>
        <v>4.2</v>
      </c>
      <c r="AA951" s="3" t="str" cm="1">
        <f t="array" ref="AA951">_xlfn.IFS(
(F951/(X951/7)) &lt; 5, "Casual",
AND((F951/(X951/7)) &gt;= 5, (F951/(X951/7)) &lt; 15), "Regular",
(F951/(X951/7)) &gt;= 15, "Power"
)</f>
        <v>Casual</v>
      </c>
      <c r="AB951" s="3">
        <f t="shared" si="60"/>
        <v>1.1707317073170731</v>
      </c>
      <c r="AC951" t="str">
        <f t="shared" si="58"/>
        <v>Viewers</v>
      </c>
    </row>
    <row r="952" spans="1:29" x14ac:dyDescent="0.3">
      <c r="A952" s="6">
        <v>5905</v>
      </c>
      <c r="B952" s="7" t="s">
        <v>345</v>
      </c>
      <c r="C952" s="10">
        <v>45357</v>
      </c>
      <c r="D952" s="10">
        <v>45635</v>
      </c>
      <c r="E952" s="13">
        <v>15.99</v>
      </c>
      <c r="F952" s="6">
        <v>178</v>
      </c>
      <c r="G952" s="7" t="s">
        <v>73</v>
      </c>
      <c r="H952" s="6">
        <v>5</v>
      </c>
      <c r="I952" s="6">
        <v>5</v>
      </c>
      <c r="J952" s="7" t="b">
        <v>0</v>
      </c>
      <c r="K952" s="6">
        <v>489</v>
      </c>
      <c r="L952" s="6">
        <v>6</v>
      </c>
      <c r="M952" s="7" t="s">
        <v>55</v>
      </c>
      <c r="N952" s="7" t="s">
        <v>28</v>
      </c>
      <c r="O952" s="7" t="s">
        <v>57</v>
      </c>
      <c r="P952" s="6">
        <v>72</v>
      </c>
      <c r="Q952" s="11">
        <v>4.5</v>
      </c>
      <c r="R952" s="7" t="b">
        <v>0</v>
      </c>
      <c r="S952" s="7" t="s">
        <v>30</v>
      </c>
      <c r="T952" s="6">
        <v>3356</v>
      </c>
      <c r="U952" s="7" t="s">
        <v>76</v>
      </c>
      <c r="V952" s="12" t="s">
        <v>79</v>
      </c>
      <c r="W952" s="7" t="s">
        <v>33</v>
      </c>
      <c r="X952" s="6">
        <f t="shared" si="59"/>
        <v>278</v>
      </c>
      <c r="Y952" t="str" cm="1">
        <f t="array" ref="Y952">_xlfn.IFS(E952=7.99,"BASIC",E952=11.99,"STANDARD",E952=15.99,"PREMIUM")</f>
        <v>PREMIUM</v>
      </c>
      <c r="Z952" s="4">
        <f t="shared" si="57"/>
        <v>4.4820143884892083</v>
      </c>
      <c r="AA952" s="3" t="str" cm="1">
        <f t="array" ref="AA952">_xlfn.IFS(
(F952/(X952/7)) &lt; 5, "Casual",
AND((F952/(X952/7)) &gt;= 5, (F952/(X952/7)) &lt; 15), "Regular",
(F952/(X952/7)) &gt;= 15, "Power"
)</f>
        <v>Casual</v>
      </c>
      <c r="AB952" s="3">
        <f t="shared" si="60"/>
        <v>0.35959595959595958</v>
      </c>
      <c r="AC952" t="str">
        <f t="shared" si="58"/>
        <v>Viewers</v>
      </c>
    </row>
    <row r="953" spans="1:29" x14ac:dyDescent="0.3">
      <c r="A953" s="6">
        <v>1443</v>
      </c>
      <c r="B953" s="7" t="s">
        <v>369</v>
      </c>
      <c r="C953" s="10">
        <v>45098</v>
      </c>
      <c r="D953" s="10">
        <v>45643</v>
      </c>
      <c r="E953" s="13">
        <v>11.99</v>
      </c>
      <c r="F953" s="6">
        <v>91</v>
      </c>
      <c r="G953" s="7" t="s">
        <v>36</v>
      </c>
      <c r="H953" s="6">
        <v>1</v>
      </c>
      <c r="I953" s="6">
        <v>2</v>
      </c>
      <c r="J953" s="7" t="b">
        <v>0</v>
      </c>
      <c r="K953" s="6">
        <v>377</v>
      </c>
      <c r="L953" s="6">
        <v>14</v>
      </c>
      <c r="M953" s="7" t="s">
        <v>27</v>
      </c>
      <c r="N953" s="7" t="s">
        <v>56</v>
      </c>
      <c r="O953" s="7" t="s">
        <v>37</v>
      </c>
      <c r="P953" s="6">
        <v>53</v>
      </c>
      <c r="Q953" s="11">
        <v>4.5999999999999996</v>
      </c>
      <c r="R953" s="7" t="b">
        <v>0</v>
      </c>
      <c r="S953" s="7" t="s">
        <v>30</v>
      </c>
      <c r="T953" s="6">
        <v>228</v>
      </c>
      <c r="U953" s="7" t="s">
        <v>76</v>
      </c>
      <c r="V953" s="12" t="s">
        <v>79</v>
      </c>
      <c r="W953" s="7" t="s">
        <v>33</v>
      </c>
      <c r="X953" s="6">
        <f t="shared" si="59"/>
        <v>545</v>
      </c>
      <c r="Y953" t="str" cm="1">
        <f t="array" ref="Y953">_xlfn.IFS(E953=7.99,"BASIC",E953=11.99,"STANDARD",E953=15.99,"PREMIUM")</f>
        <v>STANDARD</v>
      </c>
      <c r="Z953" s="4">
        <f t="shared" si="57"/>
        <v>1.1688073394495413</v>
      </c>
      <c r="AA953" s="3" t="str" cm="1">
        <f t="array" ref="AA953">_xlfn.IFS(
(F953/(X953/7)) &lt; 5, "Casual",
AND((F953/(X953/7)) &gt;= 5, (F953/(X953/7)) &lt; 15), "Regular",
(F953/(X953/7)) &gt;= 15, "Power"
)</f>
        <v>Casual</v>
      </c>
      <c r="AB953" s="3">
        <f t="shared" si="60"/>
        <v>0.23273657289002558</v>
      </c>
      <c r="AC953" t="str">
        <f t="shared" si="58"/>
        <v>Viewers</v>
      </c>
    </row>
    <row r="954" spans="1:29" x14ac:dyDescent="0.3">
      <c r="A954" s="6">
        <v>6181</v>
      </c>
      <c r="B954" s="7" t="s">
        <v>608</v>
      </c>
      <c r="C954" s="10">
        <v>45627</v>
      </c>
      <c r="D954" s="10">
        <v>45631</v>
      </c>
      <c r="E954" s="13">
        <v>11.99</v>
      </c>
      <c r="F954" s="6">
        <v>175</v>
      </c>
      <c r="G954" s="7" t="s">
        <v>63</v>
      </c>
      <c r="H954" s="6">
        <v>4</v>
      </c>
      <c r="I954" s="6">
        <v>3</v>
      </c>
      <c r="J954" s="7" t="b">
        <v>1</v>
      </c>
      <c r="K954" s="6">
        <v>424</v>
      </c>
      <c r="L954" s="6">
        <v>125</v>
      </c>
      <c r="M954" s="7" t="s">
        <v>49</v>
      </c>
      <c r="N954" s="7" t="s">
        <v>56</v>
      </c>
      <c r="O954" s="7" t="s">
        <v>78</v>
      </c>
      <c r="P954" s="6">
        <v>13</v>
      </c>
      <c r="Q954" s="11">
        <v>4.7</v>
      </c>
      <c r="R954" s="7" t="b">
        <v>1</v>
      </c>
      <c r="S954" s="7" t="s">
        <v>30</v>
      </c>
      <c r="T954" s="6">
        <v>2821</v>
      </c>
      <c r="U954" s="7" t="s">
        <v>58</v>
      </c>
      <c r="V954" s="12" t="s">
        <v>32</v>
      </c>
      <c r="W954" s="7" t="s">
        <v>40</v>
      </c>
      <c r="X954" s="6">
        <f t="shared" si="59"/>
        <v>4</v>
      </c>
      <c r="Y954" t="str" cm="1">
        <f t="array" ref="Y954">_xlfn.IFS(E954=7.99,"BASIC",E954=11.99,"STANDARD",E954=15.99,"PREMIUM")</f>
        <v>STANDARD</v>
      </c>
      <c r="Z954" s="4">
        <f t="shared" si="57"/>
        <v>306.25</v>
      </c>
      <c r="AA954" s="3" t="str" cm="1">
        <f t="array" ref="AA954">_xlfn.IFS(
(F954/(X954/7)) &lt; 5, "Casual",
AND((F954/(X954/7)) &gt;= 5, (F954/(X954/7)) &lt; 15), "Regular",
(F954/(X954/7)) &gt;= 15, "Power"
)</f>
        <v>Power</v>
      </c>
      <c r="AB954" s="3">
        <f t="shared" si="60"/>
        <v>0.31876138433515483</v>
      </c>
      <c r="AC954" t="str">
        <f t="shared" si="58"/>
        <v>Viewers</v>
      </c>
    </row>
    <row r="955" spans="1:29" x14ac:dyDescent="0.3">
      <c r="A955" s="6">
        <v>8406</v>
      </c>
      <c r="B955" s="7" t="s">
        <v>720</v>
      </c>
      <c r="C955" s="10">
        <v>45249</v>
      </c>
      <c r="D955" s="10">
        <v>45640</v>
      </c>
      <c r="E955" s="13">
        <v>11.99</v>
      </c>
      <c r="F955" s="6">
        <v>187</v>
      </c>
      <c r="G955" s="7" t="s">
        <v>26</v>
      </c>
      <c r="H955" s="6">
        <v>5</v>
      </c>
      <c r="I955" s="6">
        <v>5</v>
      </c>
      <c r="J955" s="7" t="b">
        <v>1</v>
      </c>
      <c r="K955" s="6">
        <v>491</v>
      </c>
      <c r="L955" s="6">
        <v>197</v>
      </c>
      <c r="M955" s="7" t="s">
        <v>49</v>
      </c>
      <c r="N955" s="7" t="s">
        <v>28</v>
      </c>
      <c r="O955" s="7" t="s">
        <v>78</v>
      </c>
      <c r="P955" s="6">
        <v>54</v>
      </c>
      <c r="Q955" s="11">
        <v>3.3</v>
      </c>
      <c r="R955" s="7" t="b">
        <v>1</v>
      </c>
      <c r="S955" s="7" t="s">
        <v>30</v>
      </c>
      <c r="T955" s="6">
        <v>4380</v>
      </c>
      <c r="U955" s="7" t="s">
        <v>31</v>
      </c>
      <c r="V955" s="12" t="s">
        <v>32</v>
      </c>
      <c r="W955" s="7" t="s">
        <v>33</v>
      </c>
      <c r="X955" s="6">
        <f t="shared" si="59"/>
        <v>391</v>
      </c>
      <c r="Y955" t="str" cm="1">
        <f t="array" ref="Y955">_xlfn.IFS(E955=7.99,"BASIC",E955=11.99,"STANDARD",E955=15.99,"PREMIUM")</f>
        <v>STANDARD</v>
      </c>
      <c r="Z955" s="4">
        <f t="shared" si="57"/>
        <v>3.347826086956522</v>
      </c>
      <c r="AA955" s="3" t="str" cm="1">
        <f t="array" ref="AA955">_xlfn.IFS(
(F955/(X955/7)) &lt; 5, "Casual",
AND((F955/(X955/7)) &gt;= 5, (F955/(X955/7)) &lt; 15), "Regular",
(F955/(X955/7)) &gt;= 15, "Power"
)</f>
        <v>Casual</v>
      </c>
      <c r="AB955" s="3">
        <f t="shared" si="60"/>
        <v>0.27180232558139533</v>
      </c>
      <c r="AC955" t="str">
        <f t="shared" si="58"/>
        <v>Viewers</v>
      </c>
    </row>
    <row r="956" spans="1:29" x14ac:dyDescent="0.3">
      <c r="A956" s="6">
        <v>5389</v>
      </c>
      <c r="B956" s="7" t="s">
        <v>721</v>
      </c>
      <c r="C956" s="10">
        <v>45439</v>
      </c>
      <c r="D956" s="10">
        <v>45625</v>
      </c>
      <c r="E956" s="13">
        <v>11.99</v>
      </c>
      <c r="F956" s="6">
        <v>352</v>
      </c>
      <c r="G956" s="7" t="s">
        <v>36</v>
      </c>
      <c r="H956" s="6">
        <v>4</v>
      </c>
      <c r="I956" s="6">
        <v>1</v>
      </c>
      <c r="J956" s="7" t="b">
        <v>0</v>
      </c>
      <c r="K956" s="6">
        <v>521</v>
      </c>
      <c r="L956" s="6">
        <v>128</v>
      </c>
      <c r="M956" s="7" t="s">
        <v>74</v>
      </c>
      <c r="N956" s="7" t="s">
        <v>75</v>
      </c>
      <c r="O956" s="7" t="s">
        <v>64</v>
      </c>
      <c r="P956" s="6">
        <v>59</v>
      </c>
      <c r="Q956" s="11">
        <v>4.5999999999999996</v>
      </c>
      <c r="R956" s="7" t="b">
        <v>1</v>
      </c>
      <c r="S956" s="7" t="s">
        <v>30</v>
      </c>
      <c r="T956" s="6">
        <v>2131</v>
      </c>
      <c r="U956" s="7" t="s">
        <v>38</v>
      </c>
      <c r="V956" s="12" t="s">
        <v>69</v>
      </c>
      <c r="W956" s="7" t="s">
        <v>93</v>
      </c>
      <c r="X956" s="6">
        <f t="shared" si="59"/>
        <v>186</v>
      </c>
      <c r="Y956" t="str" cm="1">
        <f t="array" ref="Y956">_xlfn.IFS(E956=7.99,"BASIC",E956=11.99,"STANDARD",E956=15.99,"PREMIUM")</f>
        <v>STANDARD</v>
      </c>
      <c r="Z956" s="4">
        <f t="shared" si="57"/>
        <v>13.247311827956988</v>
      </c>
      <c r="AA956" s="3" t="str" cm="1">
        <f t="array" ref="AA956">_xlfn.IFS(
(F956/(X956/7)) &lt; 5, "Casual",
AND((F956/(X956/7)) &gt;= 5, (F956/(X956/7)) &lt; 15), "Regular",
(F956/(X956/7)) &gt;= 15, "Power"
)</f>
        <v>Regular</v>
      </c>
      <c r="AB956" s="3">
        <f t="shared" si="60"/>
        <v>0.5423728813559322</v>
      </c>
      <c r="AC956" t="str">
        <f t="shared" si="58"/>
        <v>Viewers</v>
      </c>
    </row>
    <row r="957" spans="1:29" x14ac:dyDescent="0.3">
      <c r="A957" s="6">
        <v>4586</v>
      </c>
      <c r="B957" s="7" t="s">
        <v>723</v>
      </c>
      <c r="C957" s="10">
        <v>45221</v>
      </c>
      <c r="D957" s="10">
        <v>45627</v>
      </c>
      <c r="E957" s="13">
        <v>7.99</v>
      </c>
      <c r="F957" s="6">
        <v>448</v>
      </c>
      <c r="G957" s="7" t="s">
        <v>26</v>
      </c>
      <c r="H957" s="6">
        <v>3</v>
      </c>
      <c r="I957" s="6">
        <v>4</v>
      </c>
      <c r="J957" s="7" t="b">
        <v>1</v>
      </c>
      <c r="K957" s="6">
        <v>506</v>
      </c>
      <c r="L957" s="6">
        <v>193</v>
      </c>
      <c r="M957" s="7" t="s">
        <v>74</v>
      </c>
      <c r="N957" s="7" t="s">
        <v>44</v>
      </c>
      <c r="O957" s="7" t="s">
        <v>57</v>
      </c>
      <c r="P957" s="6">
        <v>79</v>
      </c>
      <c r="Q957" s="11">
        <v>4.3</v>
      </c>
      <c r="R957" s="7" t="b">
        <v>0</v>
      </c>
      <c r="S957" s="7" t="s">
        <v>30</v>
      </c>
      <c r="T957" s="6">
        <v>3589</v>
      </c>
      <c r="U957" s="7" t="s">
        <v>58</v>
      </c>
      <c r="V957" s="12" t="s">
        <v>39</v>
      </c>
      <c r="W957" s="7" t="s">
        <v>33</v>
      </c>
      <c r="X957" s="6">
        <f t="shared" si="59"/>
        <v>406</v>
      </c>
      <c r="Y957" t="str" cm="1">
        <f t="array" ref="Y957">_xlfn.IFS(E957=7.99,"BASIC",E957=11.99,"STANDARD",E957=15.99,"PREMIUM")</f>
        <v>BASIC</v>
      </c>
      <c r="Z957" s="4">
        <f t="shared" si="57"/>
        <v>7.7241379310344831</v>
      </c>
      <c r="AA957" s="3" t="str" cm="1">
        <f t="array" ref="AA957">_xlfn.IFS(
(F957/(X957/7)) &lt; 5, "Casual",
AND((F957/(X957/7)) &gt;= 5, (F957/(X957/7)) &lt; 15), "Regular",
(F957/(X957/7)) &gt;= 15, "Power"
)</f>
        <v>Regular</v>
      </c>
      <c r="AB957" s="3">
        <f t="shared" si="60"/>
        <v>0.64091559370529327</v>
      </c>
      <c r="AC957" t="str">
        <f t="shared" si="58"/>
        <v>Viewers</v>
      </c>
    </row>
    <row r="958" spans="1:29" x14ac:dyDescent="0.3">
      <c r="A958" s="6">
        <v>4020</v>
      </c>
      <c r="B958" s="7" t="s">
        <v>691</v>
      </c>
      <c r="C958" s="10">
        <v>45371</v>
      </c>
      <c r="D958" s="10">
        <v>45628</v>
      </c>
      <c r="E958" s="13">
        <v>15.99</v>
      </c>
      <c r="F958" s="6">
        <v>81</v>
      </c>
      <c r="G958" s="7" t="s">
        <v>48</v>
      </c>
      <c r="H958" s="6">
        <v>1</v>
      </c>
      <c r="I958" s="6">
        <v>6</v>
      </c>
      <c r="J958" s="7" t="b">
        <v>0</v>
      </c>
      <c r="K958" s="6">
        <v>390</v>
      </c>
      <c r="L958" s="6">
        <v>43</v>
      </c>
      <c r="M958" s="7" t="s">
        <v>49</v>
      </c>
      <c r="N958" s="7" t="s">
        <v>44</v>
      </c>
      <c r="O958" s="7" t="s">
        <v>45</v>
      </c>
      <c r="P958" s="6">
        <v>33</v>
      </c>
      <c r="Q958" s="11">
        <v>4</v>
      </c>
      <c r="R958" s="7" t="b">
        <v>0</v>
      </c>
      <c r="S958" s="7" t="s">
        <v>30</v>
      </c>
      <c r="T958" s="6">
        <v>4162</v>
      </c>
      <c r="U958" s="7" t="s">
        <v>38</v>
      </c>
      <c r="V958" s="12" t="s">
        <v>69</v>
      </c>
      <c r="W958" s="7" t="s">
        <v>93</v>
      </c>
      <c r="X958" s="6">
        <f t="shared" si="59"/>
        <v>257</v>
      </c>
      <c r="Y958" t="str" cm="1">
        <f t="array" ref="Y958">_xlfn.IFS(E958=7.99,"BASIC",E958=11.99,"STANDARD",E958=15.99,"PREMIUM")</f>
        <v>PREMIUM</v>
      </c>
      <c r="Z958" s="4">
        <f t="shared" si="57"/>
        <v>2.2062256809338523</v>
      </c>
      <c r="AA958" s="3" t="str" cm="1">
        <f t="array" ref="AA958">_xlfn.IFS(
(F958/(X958/7)) &lt; 5, "Casual",
AND((F958/(X958/7)) &gt;= 5, (F958/(X958/7)) &lt; 15), "Regular",
(F958/(X958/7)) &gt;= 15, "Power"
)</f>
        <v>Casual</v>
      </c>
      <c r="AB958" s="3">
        <f t="shared" si="60"/>
        <v>0.18706697459584296</v>
      </c>
      <c r="AC958" t="str">
        <f t="shared" si="58"/>
        <v>Viewers</v>
      </c>
    </row>
    <row r="959" spans="1:29" x14ac:dyDescent="0.3">
      <c r="A959" s="6">
        <v>1635</v>
      </c>
      <c r="B959" s="7" t="s">
        <v>434</v>
      </c>
      <c r="C959" s="10">
        <v>45282</v>
      </c>
      <c r="D959" s="10">
        <v>45631</v>
      </c>
      <c r="E959" s="13">
        <v>15.99</v>
      </c>
      <c r="F959" s="6">
        <v>321</v>
      </c>
      <c r="G959" s="7" t="s">
        <v>48</v>
      </c>
      <c r="H959" s="6">
        <v>1</v>
      </c>
      <c r="I959" s="6">
        <v>5</v>
      </c>
      <c r="J959" s="7" t="b">
        <v>1</v>
      </c>
      <c r="K959" s="6">
        <v>276</v>
      </c>
      <c r="L959" s="6">
        <v>182</v>
      </c>
      <c r="M959" s="7" t="s">
        <v>68</v>
      </c>
      <c r="N959" s="7" t="s">
        <v>75</v>
      </c>
      <c r="O959" s="7" t="s">
        <v>45</v>
      </c>
      <c r="P959" s="6">
        <v>52</v>
      </c>
      <c r="Q959" s="11">
        <v>4.9000000000000004</v>
      </c>
      <c r="R959" s="7" t="b">
        <v>1</v>
      </c>
      <c r="S959" s="7" t="s">
        <v>30</v>
      </c>
      <c r="T959" s="6">
        <v>1013</v>
      </c>
      <c r="U959" s="7" t="s">
        <v>58</v>
      </c>
      <c r="V959" s="12" t="s">
        <v>32</v>
      </c>
      <c r="W959" s="7" t="s">
        <v>93</v>
      </c>
      <c r="X959" s="6">
        <f t="shared" si="59"/>
        <v>349</v>
      </c>
      <c r="Y959" t="str" cm="1">
        <f t="array" ref="Y959">_xlfn.IFS(E959=7.99,"BASIC",E959=11.99,"STANDARD",E959=15.99,"PREMIUM")</f>
        <v>PREMIUM</v>
      </c>
      <c r="Z959" s="4">
        <f t="shared" si="57"/>
        <v>6.4383954154727796</v>
      </c>
      <c r="AA959" s="3" t="str" cm="1">
        <f t="array" ref="AA959">_xlfn.IFS(
(F959/(X959/7)) &lt; 5, "Casual",
AND((F959/(X959/7)) &gt;= 5, (F959/(X959/7)) &lt; 15), "Regular",
(F959/(X959/7)) &gt;= 15, "Power"
)</f>
        <v>Regular</v>
      </c>
      <c r="AB959" s="3">
        <f t="shared" si="60"/>
        <v>0.70087336244541487</v>
      </c>
      <c r="AC959" t="str">
        <f t="shared" si="58"/>
        <v>Viewers</v>
      </c>
    </row>
    <row r="960" spans="1:29" x14ac:dyDescent="0.3">
      <c r="A960" s="6">
        <v>9257</v>
      </c>
      <c r="B960" s="7" t="s">
        <v>177</v>
      </c>
      <c r="C960" s="10">
        <v>45448</v>
      </c>
      <c r="D960" s="10">
        <v>45625</v>
      </c>
      <c r="E960" s="13">
        <v>7.99</v>
      </c>
      <c r="F960" s="6">
        <v>114</v>
      </c>
      <c r="G960" s="7" t="s">
        <v>63</v>
      </c>
      <c r="H960" s="6">
        <v>1</v>
      </c>
      <c r="I960" s="6">
        <v>1</v>
      </c>
      <c r="J960" s="7" t="b">
        <v>1</v>
      </c>
      <c r="K960" s="6">
        <v>896</v>
      </c>
      <c r="L960" s="6">
        <v>9</v>
      </c>
      <c r="M960" s="7" t="s">
        <v>68</v>
      </c>
      <c r="N960" s="7" t="s">
        <v>44</v>
      </c>
      <c r="O960" s="7" t="s">
        <v>45</v>
      </c>
      <c r="P960" s="6">
        <v>60</v>
      </c>
      <c r="Q960" s="11">
        <v>3.2</v>
      </c>
      <c r="R960" s="7" t="b">
        <v>0</v>
      </c>
      <c r="S960" s="7" t="s">
        <v>30</v>
      </c>
      <c r="T960" s="6">
        <v>2731</v>
      </c>
      <c r="U960" s="7" t="s">
        <v>38</v>
      </c>
      <c r="V960" s="12" t="s">
        <v>59</v>
      </c>
      <c r="W960" s="7" t="s">
        <v>60</v>
      </c>
      <c r="X960" s="6">
        <f t="shared" si="59"/>
        <v>177</v>
      </c>
      <c r="Y960" t="str" cm="1">
        <f t="array" ref="Y960">_xlfn.IFS(E960=7.99,"BASIC",E960=11.99,"STANDARD",E960=15.99,"PREMIUM")</f>
        <v>BASIC</v>
      </c>
      <c r="Z960" s="4">
        <f t="shared" si="57"/>
        <v>4.5084745762711869</v>
      </c>
      <c r="AA960" s="3" t="str" cm="1">
        <f t="array" ref="AA960">_xlfn.IFS(
(F960/(X960/7)) &lt; 5, "Casual",
AND((F960/(X960/7)) &gt;= 5, (F960/(X960/7)) &lt; 15), "Regular",
(F960/(X960/7)) &gt;= 15, "Power"
)</f>
        <v>Casual</v>
      </c>
      <c r="AB960" s="3">
        <f t="shared" si="60"/>
        <v>0.12596685082872927</v>
      </c>
      <c r="AC960" t="str">
        <f t="shared" si="58"/>
        <v xml:space="preserve"> Browsers</v>
      </c>
    </row>
    <row r="961" spans="1:29" x14ac:dyDescent="0.3">
      <c r="A961" s="6">
        <v>6380</v>
      </c>
      <c r="B961" s="7" t="s">
        <v>88</v>
      </c>
      <c r="C961" s="10">
        <v>45020</v>
      </c>
      <c r="D961" s="10">
        <v>45640</v>
      </c>
      <c r="E961" s="13">
        <v>7.99</v>
      </c>
      <c r="F961" s="6">
        <v>493</v>
      </c>
      <c r="G961" s="7" t="s">
        <v>36</v>
      </c>
      <c r="H961" s="6">
        <v>5</v>
      </c>
      <c r="I961" s="6">
        <v>2</v>
      </c>
      <c r="J961" s="7" t="b">
        <v>1</v>
      </c>
      <c r="K961" s="6">
        <v>29</v>
      </c>
      <c r="L961" s="6">
        <v>82</v>
      </c>
      <c r="M961" s="7" t="s">
        <v>55</v>
      </c>
      <c r="N961" s="7" t="s">
        <v>75</v>
      </c>
      <c r="O961" s="7" t="s">
        <v>29</v>
      </c>
      <c r="P961" s="6">
        <v>64</v>
      </c>
      <c r="Q961" s="11">
        <v>3.4</v>
      </c>
      <c r="R961" s="7" t="b">
        <v>0</v>
      </c>
      <c r="S961" s="7" t="s">
        <v>30</v>
      </c>
      <c r="T961" s="6">
        <v>833</v>
      </c>
      <c r="U961" s="7" t="s">
        <v>31</v>
      </c>
      <c r="V961" s="12" t="s">
        <v>59</v>
      </c>
      <c r="W961" s="7" t="s">
        <v>40</v>
      </c>
      <c r="X961" s="6">
        <f t="shared" si="59"/>
        <v>620</v>
      </c>
      <c r="Y961" t="str" cm="1">
        <f t="array" ref="Y961">_xlfn.IFS(E961=7.99,"BASIC",E961=11.99,"STANDARD",E961=15.99,"PREMIUM")</f>
        <v>BASIC</v>
      </c>
      <c r="Z961" s="4">
        <f t="shared" si="57"/>
        <v>5.5661290322580648</v>
      </c>
      <c r="AA961" s="3" t="str" cm="1">
        <f t="array" ref="AA961">_xlfn.IFS(
(F961/(X961/7)) &lt; 5, "Casual",
AND((F961/(X961/7)) &gt;= 5, (F961/(X961/7)) &lt; 15), "Regular",
(F961/(X961/7)) &gt;= 15, "Power"
)</f>
        <v>Regular</v>
      </c>
      <c r="AB961" s="3">
        <f t="shared" si="60"/>
        <v>4.4414414414414418</v>
      </c>
      <c r="AC961" t="str">
        <f t="shared" si="58"/>
        <v>Viewers</v>
      </c>
    </row>
    <row r="962" spans="1:29" x14ac:dyDescent="0.3">
      <c r="A962" s="6">
        <v>6385</v>
      </c>
      <c r="B962" s="7" t="s">
        <v>508</v>
      </c>
      <c r="C962" s="10">
        <v>45126</v>
      </c>
      <c r="D962" s="10">
        <v>45624</v>
      </c>
      <c r="E962" s="13">
        <v>11.99</v>
      </c>
      <c r="F962" s="6">
        <v>475</v>
      </c>
      <c r="G962" s="7" t="s">
        <v>51</v>
      </c>
      <c r="H962" s="6">
        <v>1</v>
      </c>
      <c r="I962" s="6">
        <v>5</v>
      </c>
      <c r="J962" s="7" t="b">
        <v>0</v>
      </c>
      <c r="K962" s="6">
        <v>523</v>
      </c>
      <c r="L962" s="6">
        <v>30</v>
      </c>
      <c r="M962" s="7" t="s">
        <v>74</v>
      </c>
      <c r="N962" s="7" t="s">
        <v>75</v>
      </c>
      <c r="O962" s="7" t="s">
        <v>37</v>
      </c>
      <c r="P962" s="6">
        <v>2</v>
      </c>
      <c r="Q962" s="11">
        <v>4.8</v>
      </c>
      <c r="R962" s="7" t="b">
        <v>0</v>
      </c>
      <c r="S962" s="7" t="s">
        <v>30</v>
      </c>
      <c r="T962" s="6">
        <v>2428</v>
      </c>
      <c r="U962" s="7" t="s">
        <v>31</v>
      </c>
      <c r="V962" s="12" t="s">
        <v>59</v>
      </c>
      <c r="W962" s="7" t="s">
        <v>33</v>
      </c>
      <c r="X962" s="6">
        <f t="shared" si="59"/>
        <v>498</v>
      </c>
      <c r="Y962" t="str" cm="1">
        <f t="array" ref="Y962">_xlfn.IFS(E962=7.99,"BASIC",E962=11.99,"STANDARD",E962=15.99,"PREMIUM")</f>
        <v>STANDARD</v>
      </c>
      <c r="Z962" s="4">
        <f t="shared" ref="Z962:Z1001" si="61">F962/(X962/7)</f>
        <v>6.6767068273092374</v>
      </c>
      <c r="AA962" s="3" t="str" cm="1">
        <f t="array" ref="AA962">_xlfn.IFS(
(F962/(X962/7)) &lt; 5, "Casual",
AND((F962/(X962/7)) &gt;= 5, (F962/(X962/7)) &lt; 15), "Regular",
(F962/(X962/7)) &gt;= 15, "Power"
)</f>
        <v>Regular</v>
      </c>
      <c r="AB962" s="3">
        <f t="shared" si="60"/>
        <v>0.8589511754068716</v>
      </c>
      <c r="AC962" t="str">
        <f t="shared" ref="AC962:AC1000" si="62">IF(F962/(K962+L962) &lt; 0.15," Browsers","Viewers")</f>
        <v>Viewers</v>
      </c>
    </row>
    <row r="963" spans="1:29" x14ac:dyDescent="0.3">
      <c r="A963" s="6">
        <v>6858</v>
      </c>
      <c r="B963" s="7" t="s">
        <v>318</v>
      </c>
      <c r="C963" s="10">
        <v>45283</v>
      </c>
      <c r="D963" s="10">
        <v>45638</v>
      </c>
      <c r="E963" s="13">
        <v>11.99</v>
      </c>
      <c r="F963" s="6">
        <v>287</v>
      </c>
      <c r="G963" s="7" t="s">
        <v>51</v>
      </c>
      <c r="H963" s="6">
        <v>1</v>
      </c>
      <c r="I963" s="6">
        <v>2</v>
      </c>
      <c r="J963" s="7" t="b">
        <v>0</v>
      </c>
      <c r="K963" s="6">
        <v>918</v>
      </c>
      <c r="L963" s="6">
        <v>82</v>
      </c>
      <c r="M963" s="7" t="s">
        <v>55</v>
      </c>
      <c r="N963" s="7" t="s">
        <v>44</v>
      </c>
      <c r="O963" s="7" t="s">
        <v>37</v>
      </c>
      <c r="P963" s="6">
        <v>81</v>
      </c>
      <c r="Q963" s="11">
        <v>3.2</v>
      </c>
      <c r="R963" s="7" t="b">
        <v>0</v>
      </c>
      <c r="S963" s="7" t="s">
        <v>30</v>
      </c>
      <c r="T963" s="6">
        <v>4555</v>
      </c>
      <c r="U963" s="7" t="s">
        <v>58</v>
      </c>
      <c r="V963" s="12" t="s">
        <v>79</v>
      </c>
      <c r="W963" s="7" t="s">
        <v>93</v>
      </c>
      <c r="X963" s="6">
        <f t="shared" ref="X963:X1001" si="63">D963-C963</f>
        <v>355</v>
      </c>
      <c r="Y963" t="str" cm="1">
        <f t="array" ref="Y963">_xlfn.IFS(E963=7.99,"BASIC",E963=11.99,"STANDARD",E963=15.99,"PREMIUM")</f>
        <v>STANDARD</v>
      </c>
      <c r="Z963" s="4">
        <f t="shared" si="61"/>
        <v>5.6591549295774648</v>
      </c>
      <c r="AA963" s="3" t="str" cm="1">
        <f t="array" ref="AA963">_xlfn.IFS(
(F963/(X963/7)) &lt; 5, "Casual",
AND((F963/(X963/7)) &gt;= 5, (F963/(X963/7)) &lt; 15), "Regular",
(F963/(X963/7)) &gt;= 15, "Power"
)</f>
        <v>Regular</v>
      </c>
      <c r="AB963" s="3">
        <f t="shared" si="60"/>
        <v>0.28699999999999998</v>
      </c>
      <c r="AC963" t="str">
        <f t="shared" si="62"/>
        <v>Viewers</v>
      </c>
    </row>
    <row r="964" spans="1:29" x14ac:dyDescent="0.3">
      <c r="A964" s="6">
        <v>8875</v>
      </c>
      <c r="B964" s="7" t="s">
        <v>434</v>
      </c>
      <c r="C964" s="10">
        <v>45013</v>
      </c>
      <c r="D964" s="10">
        <v>45643</v>
      </c>
      <c r="E964" s="13">
        <v>15.99</v>
      </c>
      <c r="F964" s="6">
        <v>138</v>
      </c>
      <c r="G964" s="7" t="s">
        <v>26</v>
      </c>
      <c r="H964" s="6">
        <v>5</v>
      </c>
      <c r="I964" s="6">
        <v>2</v>
      </c>
      <c r="J964" s="7" t="b">
        <v>0</v>
      </c>
      <c r="K964" s="6">
        <v>40</v>
      </c>
      <c r="L964" s="6">
        <v>166</v>
      </c>
      <c r="M964" s="7" t="s">
        <v>49</v>
      </c>
      <c r="N964" s="7" t="s">
        <v>75</v>
      </c>
      <c r="O964" s="7" t="s">
        <v>78</v>
      </c>
      <c r="P964" s="6">
        <v>83</v>
      </c>
      <c r="Q964" s="11">
        <v>4.2</v>
      </c>
      <c r="R964" s="7" t="b">
        <v>0</v>
      </c>
      <c r="S964" s="7" t="s">
        <v>30</v>
      </c>
      <c r="T964" s="6">
        <v>4777</v>
      </c>
      <c r="U964" s="7" t="s">
        <v>76</v>
      </c>
      <c r="V964" s="12" t="s">
        <v>39</v>
      </c>
      <c r="W964" s="7" t="s">
        <v>60</v>
      </c>
      <c r="X964" s="6">
        <f t="shared" si="63"/>
        <v>630</v>
      </c>
      <c r="Y964" t="str" cm="1">
        <f t="array" ref="Y964">_xlfn.IFS(E964=7.99,"BASIC",E964=11.99,"STANDARD",E964=15.99,"PREMIUM")</f>
        <v>PREMIUM</v>
      </c>
      <c r="Z964" s="4">
        <f t="shared" si="61"/>
        <v>1.5333333333333334</v>
      </c>
      <c r="AA964" s="3" t="str" cm="1">
        <f t="array" ref="AA964">_xlfn.IFS(
(F964/(X964/7)) &lt; 5, "Casual",
AND((F964/(X964/7)) &gt;= 5, (F964/(X964/7)) &lt; 15), "Regular",
(F964/(X964/7)) &gt;= 15, "Power"
)</f>
        <v>Casual</v>
      </c>
      <c r="AB964" s="3">
        <f t="shared" si="60"/>
        <v>0.66990291262135926</v>
      </c>
      <c r="AC964" t="str">
        <f t="shared" si="62"/>
        <v>Viewers</v>
      </c>
    </row>
    <row r="965" spans="1:29" x14ac:dyDescent="0.3">
      <c r="A965" s="6">
        <v>3334</v>
      </c>
      <c r="B965" s="7" t="s">
        <v>286</v>
      </c>
      <c r="C965" s="10">
        <v>45389</v>
      </c>
      <c r="D965" s="10">
        <v>45631</v>
      </c>
      <c r="E965" s="13">
        <v>15.99</v>
      </c>
      <c r="F965" s="6">
        <v>198</v>
      </c>
      <c r="G965" s="7" t="s">
        <v>26</v>
      </c>
      <c r="H965" s="6">
        <v>3</v>
      </c>
      <c r="I965" s="6">
        <v>1</v>
      </c>
      <c r="J965" s="7" t="b">
        <v>1</v>
      </c>
      <c r="K965" s="6">
        <v>614</v>
      </c>
      <c r="L965" s="6">
        <v>69</v>
      </c>
      <c r="M965" s="7" t="s">
        <v>92</v>
      </c>
      <c r="N965" s="7" t="s">
        <v>28</v>
      </c>
      <c r="O965" s="7" t="s">
        <v>57</v>
      </c>
      <c r="P965" s="6">
        <v>27</v>
      </c>
      <c r="Q965" s="11">
        <v>3.6</v>
      </c>
      <c r="R965" s="7" t="b">
        <v>1</v>
      </c>
      <c r="S965" s="7" t="s">
        <v>30</v>
      </c>
      <c r="T965" s="6">
        <v>459</v>
      </c>
      <c r="U965" s="7" t="s">
        <v>31</v>
      </c>
      <c r="V965" s="12" t="s">
        <v>39</v>
      </c>
      <c r="W965" s="7" t="s">
        <v>33</v>
      </c>
      <c r="X965" s="6">
        <f t="shared" si="63"/>
        <v>242</v>
      </c>
      <c r="Y965" t="str" cm="1">
        <f t="array" ref="Y965">_xlfn.IFS(E965=7.99,"BASIC",E965=11.99,"STANDARD",E965=15.99,"PREMIUM")</f>
        <v>PREMIUM</v>
      </c>
      <c r="Z965" s="4">
        <f t="shared" si="61"/>
        <v>5.7272727272727275</v>
      </c>
      <c r="AA965" s="3" t="str" cm="1">
        <f t="array" ref="AA965">_xlfn.IFS(
(F965/(X965/7)) &lt; 5, "Casual",
AND((F965/(X965/7)) &gt;= 5, (F965/(X965/7)) &lt; 15), "Regular",
(F965/(X965/7)) &gt;= 15, "Power"
)</f>
        <v>Regular</v>
      </c>
      <c r="AB965" s="3">
        <f t="shared" si="60"/>
        <v>0.28989751098096633</v>
      </c>
      <c r="AC965" t="str">
        <f t="shared" si="62"/>
        <v>Viewers</v>
      </c>
    </row>
    <row r="966" spans="1:29" x14ac:dyDescent="0.3">
      <c r="A966" s="6">
        <v>5850</v>
      </c>
      <c r="B966" s="7" t="s">
        <v>126</v>
      </c>
      <c r="C966" s="10">
        <v>45145</v>
      </c>
      <c r="D966" s="10">
        <v>45637</v>
      </c>
      <c r="E966" s="13">
        <v>15.99</v>
      </c>
      <c r="F966" s="6">
        <v>164</v>
      </c>
      <c r="G966" s="7" t="s">
        <v>26</v>
      </c>
      <c r="H966" s="6">
        <v>2</v>
      </c>
      <c r="I966" s="6">
        <v>1</v>
      </c>
      <c r="J966" s="7" t="b">
        <v>0</v>
      </c>
      <c r="K966" s="6">
        <v>833</v>
      </c>
      <c r="L966" s="6">
        <v>89</v>
      </c>
      <c r="M966" s="7" t="s">
        <v>92</v>
      </c>
      <c r="N966" s="7" t="s">
        <v>75</v>
      </c>
      <c r="O966" s="7" t="s">
        <v>57</v>
      </c>
      <c r="P966" s="6">
        <v>32</v>
      </c>
      <c r="Q966" s="11">
        <v>4.9000000000000004</v>
      </c>
      <c r="R966" s="7" t="b">
        <v>0</v>
      </c>
      <c r="S966" s="7" t="s">
        <v>30</v>
      </c>
      <c r="T966" s="6">
        <v>2644</v>
      </c>
      <c r="U966" s="7" t="s">
        <v>58</v>
      </c>
      <c r="V966" s="12" t="s">
        <v>59</v>
      </c>
      <c r="W966" s="7" t="s">
        <v>40</v>
      </c>
      <c r="X966" s="6">
        <f t="shared" si="63"/>
        <v>492</v>
      </c>
      <c r="Y966" t="str" cm="1">
        <f t="array" ref="Y966">_xlfn.IFS(E966=7.99,"BASIC",E966=11.99,"STANDARD",E966=15.99,"PREMIUM")</f>
        <v>PREMIUM</v>
      </c>
      <c r="Z966" s="4">
        <f t="shared" si="61"/>
        <v>2.333333333333333</v>
      </c>
      <c r="AA966" s="3" t="str" cm="1">
        <f t="array" ref="AA966">_xlfn.IFS(
(F966/(X966/7)) &lt; 5, "Casual",
AND((F966/(X966/7)) &gt;= 5, (F966/(X966/7)) &lt; 15), "Regular",
(F966/(X966/7)) &gt;= 15, "Power"
)</f>
        <v>Casual</v>
      </c>
      <c r="AB966" s="3">
        <f t="shared" si="60"/>
        <v>0.17787418655097614</v>
      </c>
      <c r="AC966" t="str">
        <f t="shared" si="62"/>
        <v>Viewers</v>
      </c>
    </row>
    <row r="967" spans="1:29" x14ac:dyDescent="0.3">
      <c r="A967" s="6">
        <v>8593</v>
      </c>
      <c r="B967" s="7" t="s">
        <v>153</v>
      </c>
      <c r="C967" s="10">
        <v>45496</v>
      </c>
      <c r="D967" s="10">
        <v>45636</v>
      </c>
      <c r="E967" s="13">
        <v>15.99</v>
      </c>
      <c r="F967" s="6">
        <v>65</v>
      </c>
      <c r="G967" s="7" t="s">
        <v>63</v>
      </c>
      <c r="H967" s="6">
        <v>4</v>
      </c>
      <c r="I967" s="6">
        <v>3</v>
      </c>
      <c r="J967" s="7" t="b">
        <v>0</v>
      </c>
      <c r="K967" s="6">
        <v>238</v>
      </c>
      <c r="L967" s="6">
        <v>39</v>
      </c>
      <c r="M967" s="7" t="s">
        <v>92</v>
      </c>
      <c r="N967" s="7" t="s">
        <v>75</v>
      </c>
      <c r="O967" s="7" t="s">
        <v>37</v>
      </c>
      <c r="P967" s="6">
        <v>23</v>
      </c>
      <c r="Q967" s="11">
        <v>4.7</v>
      </c>
      <c r="R967" s="7" t="b">
        <v>0</v>
      </c>
      <c r="S967" s="7" t="s">
        <v>30</v>
      </c>
      <c r="T967" s="6">
        <v>2678</v>
      </c>
      <c r="U967" s="7" t="s">
        <v>58</v>
      </c>
      <c r="V967" s="12" t="s">
        <v>69</v>
      </c>
      <c r="W967" s="7" t="s">
        <v>40</v>
      </c>
      <c r="X967" s="6">
        <f t="shared" si="63"/>
        <v>140</v>
      </c>
      <c r="Y967" t="str" cm="1">
        <f t="array" ref="Y967">_xlfn.IFS(E967=7.99,"BASIC",E967=11.99,"STANDARD",E967=15.99,"PREMIUM")</f>
        <v>PREMIUM</v>
      </c>
      <c r="Z967" s="4">
        <f t="shared" si="61"/>
        <v>3.25</v>
      </c>
      <c r="AA967" s="3" t="str" cm="1">
        <f t="array" ref="AA967">_xlfn.IFS(
(F967/(X967/7)) &lt; 5, "Casual",
AND((F967/(X967/7)) &gt;= 5, (F967/(X967/7)) &lt; 15), "Regular",
(F967/(X967/7)) &gt;= 15, "Power"
)</f>
        <v>Casual</v>
      </c>
      <c r="AB967" s="3">
        <f t="shared" si="60"/>
        <v>0.23465703971119134</v>
      </c>
      <c r="AC967" t="str">
        <f t="shared" si="62"/>
        <v>Viewers</v>
      </c>
    </row>
    <row r="968" spans="1:29" x14ac:dyDescent="0.3">
      <c r="A968" s="6">
        <v>6278</v>
      </c>
      <c r="B968" s="7" t="s">
        <v>357</v>
      </c>
      <c r="C968" s="10">
        <v>45095</v>
      </c>
      <c r="D968" s="10">
        <v>45621</v>
      </c>
      <c r="E968" s="13">
        <v>7.99</v>
      </c>
      <c r="F968" s="6">
        <v>388</v>
      </c>
      <c r="G968" s="7" t="s">
        <v>36</v>
      </c>
      <c r="H968" s="6">
        <v>1</v>
      </c>
      <c r="I968" s="6">
        <v>6</v>
      </c>
      <c r="J968" s="7" t="b">
        <v>1</v>
      </c>
      <c r="K968" s="6">
        <v>861</v>
      </c>
      <c r="L968" s="6">
        <v>59</v>
      </c>
      <c r="M968" s="7" t="s">
        <v>27</v>
      </c>
      <c r="N968" s="7" t="s">
        <v>44</v>
      </c>
      <c r="O968" s="7" t="s">
        <v>29</v>
      </c>
      <c r="P968" s="6">
        <v>42</v>
      </c>
      <c r="Q968" s="11">
        <v>4.4000000000000004</v>
      </c>
      <c r="R968" s="7" t="b">
        <v>0</v>
      </c>
      <c r="S968" s="7" t="s">
        <v>30</v>
      </c>
      <c r="T968" s="6">
        <v>1129</v>
      </c>
      <c r="U968" s="7" t="s">
        <v>65</v>
      </c>
      <c r="V968" s="12" t="s">
        <v>69</v>
      </c>
      <c r="W968" s="7" t="s">
        <v>60</v>
      </c>
      <c r="X968" s="6">
        <f t="shared" si="63"/>
        <v>526</v>
      </c>
      <c r="Y968" t="str" cm="1">
        <f t="array" ref="Y968">_xlfn.IFS(E968=7.99,"BASIC",E968=11.99,"STANDARD",E968=15.99,"PREMIUM")</f>
        <v>BASIC</v>
      </c>
      <c r="Z968" s="4">
        <f t="shared" si="61"/>
        <v>5.163498098859316</v>
      </c>
      <c r="AA968" s="3" t="str" cm="1">
        <f t="array" ref="AA968">_xlfn.IFS(
(F968/(X968/7)) &lt; 5, "Casual",
AND((F968/(X968/7)) &gt;= 5, (F968/(X968/7)) &lt; 15), "Regular",
(F968/(X968/7)) &gt;= 15, "Power"
)</f>
        <v>Regular</v>
      </c>
      <c r="AB968" s="3">
        <f t="shared" si="60"/>
        <v>0.42173913043478262</v>
      </c>
      <c r="AC968" t="str">
        <f t="shared" si="62"/>
        <v>Viewers</v>
      </c>
    </row>
    <row r="969" spans="1:29" x14ac:dyDescent="0.3">
      <c r="A969" s="6">
        <v>1388</v>
      </c>
      <c r="B969" s="7" t="s">
        <v>157</v>
      </c>
      <c r="C969" s="10">
        <v>45310</v>
      </c>
      <c r="D969" s="10">
        <v>45636</v>
      </c>
      <c r="E969" s="13">
        <v>15.99</v>
      </c>
      <c r="F969" s="6">
        <v>412</v>
      </c>
      <c r="G969" s="7" t="s">
        <v>100</v>
      </c>
      <c r="H969" s="6">
        <v>3</v>
      </c>
      <c r="I969" s="6">
        <v>3</v>
      </c>
      <c r="J969" s="7" t="b">
        <v>1</v>
      </c>
      <c r="K969" s="6">
        <v>999</v>
      </c>
      <c r="L969" s="6">
        <v>127</v>
      </c>
      <c r="M969" s="7" t="s">
        <v>27</v>
      </c>
      <c r="N969" s="7" t="s">
        <v>75</v>
      </c>
      <c r="O969" s="7" t="s">
        <v>29</v>
      </c>
      <c r="P969" s="6">
        <v>4</v>
      </c>
      <c r="Q969" s="11">
        <v>4</v>
      </c>
      <c r="R969" s="7" t="b">
        <v>0</v>
      </c>
      <c r="S969" s="7" t="s">
        <v>30</v>
      </c>
      <c r="T969" s="6">
        <v>1258</v>
      </c>
      <c r="U969" s="7" t="s">
        <v>38</v>
      </c>
      <c r="V969" s="12" t="s">
        <v>59</v>
      </c>
      <c r="W969" s="7" t="s">
        <v>33</v>
      </c>
      <c r="X969" s="6">
        <f t="shared" si="63"/>
        <v>326</v>
      </c>
      <c r="Y969" t="str" cm="1">
        <f t="array" ref="Y969">_xlfn.IFS(E969=7.99,"BASIC",E969=11.99,"STANDARD",E969=15.99,"PREMIUM")</f>
        <v>PREMIUM</v>
      </c>
      <c r="Z969" s="4">
        <f t="shared" si="61"/>
        <v>8.8466257668711652</v>
      </c>
      <c r="AA969" s="3" t="str" cm="1">
        <f t="array" ref="AA969">_xlfn.IFS(
(F969/(X969/7)) &lt; 5, "Casual",
AND((F969/(X969/7)) &gt;= 5, (F969/(X969/7)) &lt; 15), "Regular",
(F969/(X969/7)) &gt;= 15, "Power"
)</f>
        <v>Regular</v>
      </c>
      <c r="AB969" s="3">
        <f t="shared" ref="AB969:AB1001" si="64">(F969/(K969+L969))</f>
        <v>0.36589698046181174</v>
      </c>
      <c r="AC969" t="str">
        <f t="shared" si="62"/>
        <v>Viewers</v>
      </c>
    </row>
    <row r="970" spans="1:29" x14ac:dyDescent="0.3">
      <c r="A970" s="6">
        <v>2521</v>
      </c>
      <c r="B970" s="7" t="s">
        <v>143</v>
      </c>
      <c r="C970" s="10">
        <v>45412</v>
      </c>
      <c r="D970" s="10">
        <v>45623</v>
      </c>
      <c r="E970" s="13">
        <v>15.99</v>
      </c>
      <c r="F970" s="6">
        <v>267</v>
      </c>
      <c r="G970" s="7" t="s">
        <v>26</v>
      </c>
      <c r="H970" s="6">
        <v>4</v>
      </c>
      <c r="I970" s="6">
        <v>4</v>
      </c>
      <c r="J970" s="7" t="b">
        <v>0</v>
      </c>
      <c r="K970" s="6">
        <v>118</v>
      </c>
      <c r="L970" s="6">
        <v>6</v>
      </c>
      <c r="M970" s="7" t="s">
        <v>27</v>
      </c>
      <c r="N970" s="7" t="s">
        <v>75</v>
      </c>
      <c r="O970" s="7" t="s">
        <v>64</v>
      </c>
      <c r="P970" s="6">
        <v>57</v>
      </c>
      <c r="Q970" s="11">
        <v>5</v>
      </c>
      <c r="R970" s="7" t="b">
        <v>0</v>
      </c>
      <c r="S970" s="7" t="s">
        <v>30</v>
      </c>
      <c r="T970" s="6">
        <v>3213</v>
      </c>
      <c r="U970" s="7" t="s">
        <v>31</v>
      </c>
      <c r="V970" s="12" t="s">
        <v>79</v>
      </c>
      <c r="W970" s="7" t="s">
        <v>40</v>
      </c>
      <c r="X970" s="6">
        <f t="shared" si="63"/>
        <v>211</v>
      </c>
      <c r="Y970" t="str" cm="1">
        <f t="array" ref="Y970">_xlfn.IFS(E970=7.99,"BASIC",E970=11.99,"STANDARD",E970=15.99,"PREMIUM")</f>
        <v>PREMIUM</v>
      </c>
      <c r="Z970" s="4">
        <f t="shared" si="61"/>
        <v>8.8578199052132707</v>
      </c>
      <c r="AA970" s="3" t="str" cm="1">
        <f t="array" ref="AA970">_xlfn.IFS(
(F970/(X970/7)) &lt; 5, "Casual",
AND((F970/(X970/7)) &gt;= 5, (F970/(X970/7)) &lt; 15), "Regular",
(F970/(X970/7)) &gt;= 15, "Power"
)</f>
        <v>Regular</v>
      </c>
      <c r="AB970" s="3">
        <f t="shared" si="64"/>
        <v>2.153225806451613</v>
      </c>
      <c r="AC970" t="str">
        <f t="shared" si="62"/>
        <v>Viewers</v>
      </c>
    </row>
    <row r="971" spans="1:29" x14ac:dyDescent="0.3">
      <c r="A971" s="6">
        <v>1269</v>
      </c>
      <c r="B971" s="7" t="s">
        <v>726</v>
      </c>
      <c r="C971" s="10">
        <v>44935</v>
      </c>
      <c r="D971" s="10">
        <v>45625</v>
      </c>
      <c r="E971" s="13">
        <v>15.99</v>
      </c>
      <c r="F971" s="6">
        <v>29</v>
      </c>
      <c r="G971" s="7" t="s">
        <v>26</v>
      </c>
      <c r="H971" s="6">
        <v>3</v>
      </c>
      <c r="I971" s="6">
        <v>2</v>
      </c>
      <c r="J971" s="7" t="b">
        <v>0</v>
      </c>
      <c r="K971" s="6">
        <v>404</v>
      </c>
      <c r="L971" s="6">
        <v>177</v>
      </c>
      <c r="M971" s="7" t="s">
        <v>27</v>
      </c>
      <c r="N971" s="7" t="s">
        <v>75</v>
      </c>
      <c r="O971" s="7" t="s">
        <v>57</v>
      </c>
      <c r="P971" s="6">
        <v>81</v>
      </c>
      <c r="Q971" s="11">
        <v>4.4000000000000004</v>
      </c>
      <c r="R971" s="7" t="b">
        <v>0</v>
      </c>
      <c r="S971" s="7" t="s">
        <v>30</v>
      </c>
      <c r="T971" s="6">
        <v>4127</v>
      </c>
      <c r="U971" s="7" t="s">
        <v>76</v>
      </c>
      <c r="V971" s="12" t="s">
        <v>59</v>
      </c>
      <c r="W971" s="7" t="s">
        <v>40</v>
      </c>
      <c r="X971" s="6">
        <f t="shared" si="63"/>
        <v>690</v>
      </c>
      <c r="Y971" t="str" cm="1">
        <f t="array" ref="Y971">_xlfn.IFS(E971=7.99,"BASIC",E971=11.99,"STANDARD",E971=15.99,"PREMIUM")</f>
        <v>PREMIUM</v>
      </c>
      <c r="Z971" s="4">
        <f t="shared" si="61"/>
        <v>0.29420289855072462</v>
      </c>
      <c r="AA971" s="3" t="str" cm="1">
        <f t="array" ref="AA971">_xlfn.IFS(
(F971/(X971/7)) &lt; 5, "Casual",
AND((F971/(X971/7)) &gt;= 5, (F971/(X971/7)) &lt; 15), "Regular",
(F971/(X971/7)) &gt;= 15, "Power"
)</f>
        <v>Casual</v>
      </c>
      <c r="AB971" s="3">
        <f t="shared" si="64"/>
        <v>4.9913941480206538E-2</v>
      </c>
      <c r="AC971" t="str">
        <f t="shared" si="62"/>
        <v xml:space="preserve"> Browsers</v>
      </c>
    </row>
    <row r="972" spans="1:29" x14ac:dyDescent="0.3">
      <c r="A972" s="6">
        <v>9959</v>
      </c>
      <c r="B972" s="7" t="s">
        <v>266</v>
      </c>
      <c r="C972" s="10">
        <v>45546</v>
      </c>
      <c r="D972" s="10">
        <v>45636</v>
      </c>
      <c r="E972" s="13">
        <v>15.99</v>
      </c>
      <c r="F972" s="6">
        <v>454</v>
      </c>
      <c r="G972" s="7" t="s">
        <v>26</v>
      </c>
      <c r="H972" s="6">
        <v>5</v>
      </c>
      <c r="I972" s="6">
        <v>6</v>
      </c>
      <c r="J972" s="7" t="b">
        <v>1</v>
      </c>
      <c r="K972" s="6">
        <v>938</v>
      </c>
      <c r="L972" s="6">
        <v>75</v>
      </c>
      <c r="M972" s="7" t="s">
        <v>74</v>
      </c>
      <c r="N972" s="7" t="s">
        <v>44</v>
      </c>
      <c r="O972" s="7" t="s">
        <v>37</v>
      </c>
      <c r="P972" s="6">
        <v>51</v>
      </c>
      <c r="Q972" s="11">
        <v>3.1</v>
      </c>
      <c r="R972" s="7" t="b">
        <v>0</v>
      </c>
      <c r="S972" s="7" t="s">
        <v>30</v>
      </c>
      <c r="T972" s="6">
        <v>1961</v>
      </c>
      <c r="U972" s="7" t="s">
        <v>58</v>
      </c>
      <c r="V972" s="12" t="s">
        <v>39</v>
      </c>
      <c r="W972" s="7" t="s">
        <v>93</v>
      </c>
      <c r="X972" s="6">
        <f t="shared" si="63"/>
        <v>90</v>
      </c>
      <c r="Y972" t="str" cm="1">
        <f t="array" ref="Y972">_xlfn.IFS(E972=7.99,"BASIC",E972=11.99,"STANDARD",E972=15.99,"PREMIUM")</f>
        <v>PREMIUM</v>
      </c>
      <c r="Z972" s="4">
        <f t="shared" si="61"/>
        <v>35.31111111111111</v>
      </c>
      <c r="AA972" s="3" t="str" cm="1">
        <f t="array" ref="AA972">_xlfn.IFS(
(F972/(X972/7)) &lt; 5, "Casual",
AND((F972/(X972/7)) &gt;= 5, (F972/(X972/7)) &lt; 15), "Regular",
(F972/(X972/7)) &gt;= 15, "Power"
)</f>
        <v>Power</v>
      </c>
      <c r="AB972" s="3">
        <f t="shared" si="64"/>
        <v>0.44817374136229021</v>
      </c>
      <c r="AC972" t="str">
        <f t="shared" si="62"/>
        <v>Viewers</v>
      </c>
    </row>
    <row r="973" spans="1:29" x14ac:dyDescent="0.3">
      <c r="A973" s="6">
        <v>7549</v>
      </c>
      <c r="B973" s="7" t="s">
        <v>720</v>
      </c>
      <c r="C973" s="10">
        <v>45442</v>
      </c>
      <c r="D973" s="10">
        <v>45624</v>
      </c>
      <c r="E973" s="13">
        <v>15.99</v>
      </c>
      <c r="F973" s="6">
        <v>119</v>
      </c>
      <c r="G973" s="7" t="s">
        <v>100</v>
      </c>
      <c r="H973" s="6">
        <v>1</v>
      </c>
      <c r="I973" s="6">
        <v>5</v>
      </c>
      <c r="J973" s="7" t="b">
        <v>1</v>
      </c>
      <c r="K973" s="6">
        <v>112</v>
      </c>
      <c r="L973" s="6">
        <v>181</v>
      </c>
      <c r="M973" s="7" t="s">
        <v>92</v>
      </c>
      <c r="N973" s="7" t="s">
        <v>56</v>
      </c>
      <c r="O973" s="7" t="s">
        <v>37</v>
      </c>
      <c r="P973" s="6">
        <v>47</v>
      </c>
      <c r="Q973" s="11">
        <v>3.2</v>
      </c>
      <c r="R973" s="7" t="b">
        <v>1</v>
      </c>
      <c r="S973" s="7" t="s">
        <v>30</v>
      </c>
      <c r="T973" s="6">
        <v>1708</v>
      </c>
      <c r="U973" s="7" t="s">
        <v>38</v>
      </c>
      <c r="V973" s="12" t="s">
        <v>59</v>
      </c>
      <c r="W973" s="7" t="s">
        <v>93</v>
      </c>
      <c r="X973" s="6">
        <f t="shared" si="63"/>
        <v>182</v>
      </c>
      <c r="Y973" t="str" cm="1">
        <f t="array" ref="Y973">_xlfn.IFS(E973=7.99,"BASIC",E973=11.99,"STANDARD",E973=15.99,"PREMIUM")</f>
        <v>PREMIUM</v>
      </c>
      <c r="Z973" s="4">
        <f t="shared" si="61"/>
        <v>4.5769230769230766</v>
      </c>
      <c r="AA973" s="3" t="str" cm="1">
        <f t="array" ref="AA973">_xlfn.IFS(
(F973/(X973/7)) &lt; 5, "Casual",
AND((F973/(X973/7)) &gt;= 5, (F973/(X973/7)) &lt; 15), "Regular",
(F973/(X973/7)) &gt;= 15, "Power"
)</f>
        <v>Casual</v>
      </c>
      <c r="AB973" s="3">
        <f t="shared" si="64"/>
        <v>0.4061433447098976</v>
      </c>
      <c r="AC973" t="str">
        <f t="shared" si="62"/>
        <v>Viewers</v>
      </c>
    </row>
    <row r="974" spans="1:29" x14ac:dyDescent="0.3">
      <c r="A974" s="6">
        <v>4747</v>
      </c>
      <c r="B974" s="7" t="s">
        <v>224</v>
      </c>
      <c r="C974" s="10">
        <v>45332</v>
      </c>
      <c r="D974" s="10">
        <v>45635</v>
      </c>
      <c r="E974" s="13">
        <v>11.99</v>
      </c>
      <c r="F974" s="6">
        <v>311</v>
      </c>
      <c r="G974" s="7" t="s">
        <v>26</v>
      </c>
      <c r="H974" s="6">
        <v>5</v>
      </c>
      <c r="I974" s="6">
        <v>1</v>
      </c>
      <c r="J974" s="7" t="b">
        <v>1</v>
      </c>
      <c r="K974" s="6">
        <v>430</v>
      </c>
      <c r="L974" s="6">
        <v>188</v>
      </c>
      <c r="M974" s="7" t="s">
        <v>49</v>
      </c>
      <c r="N974" s="7" t="s">
        <v>56</v>
      </c>
      <c r="O974" s="7" t="s">
        <v>78</v>
      </c>
      <c r="P974" s="6">
        <v>78</v>
      </c>
      <c r="Q974" s="11">
        <v>4.4000000000000004</v>
      </c>
      <c r="R974" s="7" t="b">
        <v>1</v>
      </c>
      <c r="S974" s="7" t="s">
        <v>30</v>
      </c>
      <c r="T974" s="6">
        <v>2288</v>
      </c>
      <c r="U974" s="7" t="s">
        <v>58</v>
      </c>
      <c r="V974" s="12" t="s">
        <v>79</v>
      </c>
      <c r="W974" s="7" t="s">
        <v>60</v>
      </c>
      <c r="X974" s="6">
        <f t="shared" si="63"/>
        <v>303</v>
      </c>
      <c r="Y974" t="str" cm="1">
        <f t="array" ref="Y974">_xlfn.IFS(E974=7.99,"BASIC",E974=11.99,"STANDARD",E974=15.99,"PREMIUM")</f>
        <v>STANDARD</v>
      </c>
      <c r="Z974" s="4">
        <f t="shared" si="61"/>
        <v>7.1848184818481853</v>
      </c>
      <c r="AA974" s="3" t="str" cm="1">
        <f t="array" ref="AA974">_xlfn.IFS(
(F974/(X974/7)) &lt; 5, "Casual",
AND((F974/(X974/7)) &gt;= 5, (F974/(X974/7)) &lt; 15), "Regular",
(F974/(X974/7)) &gt;= 15, "Power"
)</f>
        <v>Regular</v>
      </c>
      <c r="AB974" s="3">
        <f t="shared" si="64"/>
        <v>0.50323624595469252</v>
      </c>
      <c r="AC974" t="str">
        <f t="shared" si="62"/>
        <v>Viewers</v>
      </c>
    </row>
    <row r="975" spans="1:29" x14ac:dyDescent="0.3">
      <c r="A975" s="6">
        <v>8320</v>
      </c>
      <c r="B975" s="7" t="s">
        <v>549</v>
      </c>
      <c r="C975" s="10">
        <v>45293</v>
      </c>
      <c r="D975" s="10">
        <v>45635</v>
      </c>
      <c r="E975" s="13">
        <v>15.99</v>
      </c>
      <c r="F975" s="6">
        <v>122</v>
      </c>
      <c r="G975" s="7" t="s">
        <v>73</v>
      </c>
      <c r="H975" s="6">
        <v>2</v>
      </c>
      <c r="I975" s="6">
        <v>2</v>
      </c>
      <c r="J975" s="7" t="b">
        <v>0</v>
      </c>
      <c r="K975" s="6">
        <v>626</v>
      </c>
      <c r="L975" s="6">
        <v>69</v>
      </c>
      <c r="M975" s="7" t="s">
        <v>27</v>
      </c>
      <c r="N975" s="7" t="s">
        <v>28</v>
      </c>
      <c r="O975" s="7" t="s">
        <v>45</v>
      </c>
      <c r="P975" s="6">
        <v>17</v>
      </c>
      <c r="Q975" s="11">
        <v>4.2</v>
      </c>
      <c r="R975" s="7" t="b">
        <v>1</v>
      </c>
      <c r="S975" s="7" t="s">
        <v>30</v>
      </c>
      <c r="T975" s="6">
        <v>4570</v>
      </c>
      <c r="U975" s="7" t="s">
        <v>65</v>
      </c>
      <c r="V975" s="12" t="s">
        <v>32</v>
      </c>
      <c r="W975" s="7" t="s">
        <v>60</v>
      </c>
      <c r="X975" s="6">
        <f t="shared" si="63"/>
        <v>342</v>
      </c>
      <c r="Y975" t="str" cm="1">
        <f t="array" ref="Y975">_xlfn.IFS(E975=7.99,"BASIC",E975=11.99,"STANDARD",E975=15.99,"PREMIUM")</f>
        <v>PREMIUM</v>
      </c>
      <c r="Z975" s="4">
        <f t="shared" si="61"/>
        <v>2.4970760233918132</v>
      </c>
      <c r="AA975" s="3" t="str" cm="1">
        <f t="array" ref="AA975">_xlfn.IFS(
(F975/(X975/7)) &lt; 5, "Casual",
AND((F975/(X975/7)) &gt;= 5, (F975/(X975/7)) &lt; 15), "Regular",
(F975/(X975/7)) &gt;= 15, "Power"
)</f>
        <v>Casual</v>
      </c>
      <c r="AB975" s="3">
        <f t="shared" si="64"/>
        <v>0.17553956834532375</v>
      </c>
      <c r="AC975" t="str">
        <f t="shared" si="62"/>
        <v>Viewers</v>
      </c>
    </row>
    <row r="976" spans="1:29" x14ac:dyDescent="0.3">
      <c r="A976" s="6">
        <v>1333</v>
      </c>
      <c r="B976" s="7" t="s">
        <v>106</v>
      </c>
      <c r="C976" s="10">
        <v>45398</v>
      </c>
      <c r="D976" s="10">
        <v>45615</v>
      </c>
      <c r="E976" s="13">
        <v>15.99</v>
      </c>
      <c r="F976" s="6">
        <v>300</v>
      </c>
      <c r="G976" s="7" t="s">
        <v>48</v>
      </c>
      <c r="H976" s="6">
        <v>5</v>
      </c>
      <c r="I976" s="6">
        <v>4</v>
      </c>
      <c r="J976" s="7" t="b">
        <v>1</v>
      </c>
      <c r="K976" s="6">
        <v>819</v>
      </c>
      <c r="L976" s="6">
        <v>143</v>
      </c>
      <c r="M976" s="7" t="s">
        <v>43</v>
      </c>
      <c r="N976" s="7" t="s">
        <v>56</v>
      </c>
      <c r="O976" s="7" t="s">
        <v>37</v>
      </c>
      <c r="P976" s="6">
        <v>23</v>
      </c>
      <c r="Q976" s="11">
        <v>5</v>
      </c>
      <c r="R976" s="7" t="b">
        <v>0</v>
      </c>
      <c r="S976" s="7" t="s">
        <v>30</v>
      </c>
      <c r="T976" s="6">
        <v>2547</v>
      </c>
      <c r="U976" s="7" t="s">
        <v>38</v>
      </c>
      <c r="V976" s="12" t="s">
        <v>69</v>
      </c>
      <c r="W976" s="7" t="s">
        <v>40</v>
      </c>
      <c r="X976" s="6">
        <f t="shared" si="63"/>
        <v>217</v>
      </c>
      <c r="Y976" t="str" cm="1">
        <f t="array" ref="Y976">_xlfn.IFS(E976=7.99,"BASIC",E976=11.99,"STANDARD",E976=15.99,"PREMIUM")</f>
        <v>PREMIUM</v>
      </c>
      <c r="Z976" s="4">
        <f t="shared" si="61"/>
        <v>9.67741935483871</v>
      </c>
      <c r="AA976" s="3" t="str" cm="1">
        <f t="array" ref="AA976">_xlfn.IFS(
(F976/(X976/7)) &lt; 5, "Casual",
AND((F976/(X976/7)) &gt;= 5, (F976/(X976/7)) &lt; 15), "Regular",
(F976/(X976/7)) &gt;= 15, "Power"
)</f>
        <v>Regular</v>
      </c>
      <c r="AB976" s="3">
        <f t="shared" si="64"/>
        <v>0.31185031185031187</v>
      </c>
      <c r="AC976" t="str">
        <f t="shared" si="62"/>
        <v>Viewers</v>
      </c>
    </row>
    <row r="977" spans="1:30" x14ac:dyDescent="0.3">
      <c r="A977" s="6">
        <v>5254</v>
      </c>
      <c r="B977" s="7" t="s">
        <v>542</v>
      </c>
      <c r="C977" s="10">
        <v>45546</v>
      </c>
      <c r="D977" s="10">
        <v>45626</v>
      </c>
      <c r="E977" s="13">
        <v>15.99</v>
      </c>
      <c r="F977" s="6">
        <v>59</v>
      </c>
      <c r="G977" s="7" t="s">
        <v>100</v>
      </c>
      <c r="H977" s="6">
        <v>4</v>
      </c>
      <c r="I977" s="6">
        <v>3</v>
      </c>
      <c r="J977" s="7" t="b">
        <v>0</v>
      </c>
      <c r="K977" s="6">
        <v>718</v>
      </c>
      <c r="L977" s="6">
        <v>3</v>
      </c>
      <c r="M977" s="7" t="s">
        <v>43</v>
      </c>
      <c r="N977" s="7" t="s">
        <v>44</v>
      </c>
      <c r="O977" s="7" t="s">
        <v>37</v>
      </c>
      <c r="P977" s="6">
        <v>43</v>
      </c>
      <c r="Q977" s="11">
        <v>4.2</v>
      </c>
      <c r="R977" s="7" t="b">
        <v>1</v>
      </c>
      <c r="S977" s="7" t="s">
        <v>30</v>
      </c>
      <c r="T977" s="6">
        <v>4655</v>
      </c>
      <c r="U977" s="7" t="s">
        <v>38</v>
      </c>
      <c r="V977" s="12" t="s">
        <v>59</v>
      </c>
      <c r="W977" s="7" t="s">
        <v>33</v>
      </c>
      <c r="X977" s="6">
        <f t="shared" si="63"/>
        <v>80</v>
      </c>
      <c r="Y977" t="str" cm="1">
        <f t="array" ref="Y977">_xlfn.IFS(E977=7.99,"BASIC",E977=11.99,"STANDARD",E977=15.99,"PREMIUM")</f>
        <v>PREMIUM</v>
      </c>
      <c r="Z977" s="4">
        <f t="shared" si="61"/>
        <v>5.1624999999999996</v>
      </c>
      <c r="AA977" s="3" t="str" cm="1">
        <f t="array" ref="AA977">_xlfn.IFS(
(F977/(X977/7)) &lt; 5, "Casual",
AND((F977/(X977/7)) &gt;= 5, (F977/(X977/7)) &lt; 15), "Regular",
(F977/(X977/7)) &gt;= 15, "Power"
)</f>
        <v>Regular</v>
      </c>
      <c r="AB977" s="3">
        <f t="shared" si="64"/>
        <v>8.1830790568654652E-2</v>
      </c>
      <c r="AC977" t="str">
        <f t="shared" si="62"/>
        <v xml:space="preserve"> Browsers</v>
      </c>
    </row>
    <row r="978" spans="1:30" x14ac:dyDescent="0.3">
      <c r="A978" s="6">
        <v>6842</v>
      </c>
      <c r="B978" s="7" t="s">
        <v>648</v>
      </c>
      <c r="C978" s="10">
        <v>45099</v>
      </c>
      <c r="D978" s="10">
        <v>45634</v>
      </c>
      <c r="E978" s="13">
        <v>15.99</v>
      </c>
      <c r="F978" s="6">
        <v>34</v>
      </c>
      <c r="G978" s="7" t="s">
        <v>36</v>
      </c>
      <c r="H978" s="6">
        <v>1</v>
      </c>
      <c r="I978" s="6">
        <v>4</v>
      </c>
      <c r="J978" s="7" t="b">
        <v>1</v>
      </c>
      <c r="K978" s="6">
        <v>109</v>
      </c>
      <c r="L978" s="6">
        <v>174</v>
      </c>
      <c r="M978" s="7" t="s">
        <v>43</v>
      </c>
      <c r="N978" s="7" t="s">
        <v>44</v>
      </c>
      <c r="O978" s="7" t="s">
        <v>29</v>
      </c>
      <c r="P978" s="6">
        <v>74</v>
      </c>
      <c r="Q978" s="11">
        <v>4.4000000000000004</v>
      </c>
      <c r="R978" s="7" t="b">
        <v>1</v>
      </c>
      <c r="S978" s="7" t="s">
        <v>30</v>
      </c>
      <c r="T978" s="6">
        <v>1656</v>
      </c>
      <c r="U978" s="7" t="s">
        <v>76</v>
      </c>
      <c r="V978" s="12" t="s">
        <v>79</v>
      </c>
      <c r="W978" s="7" t="s">
        <v>33</v>
      </c>
      <c r="X978" s="6">
        <f t="shared" si="63"/>
        <v>535</v>
      </c>
      <c r="Y978" t="str" cm="1">
        <f t="array" ref="Y978">_xlfn.IFS(E978=7.99,"BASIC",E978=11.99,"STANDARD",E978=15.99,"PREMIUM")</f>
        <v>PREMIUM</v>
      </c>
      <c r="Z978" s="4">
        <f t="shared" si="61"/>
        <v>0.44485981308411215</v>
      </c>
      <c r="AA978" s="3" t="str" cm="1">
        <f t="array" ref="AA978">_xlfn.IFS(
(F978/(X978/7)) &lt; 5, "Casual",
AND((F978/(X978/7)) &gt;= 5, (F978/(X978/7)) &lt; 15), "Regular",
(F978/(X978/7)) &gt;= 15, "Power"
)</f>
        <v>Casual</v>
      </c>
      <c r="AB978" s="3">
        <f t="shared" si="64"/>
        <v>0.12014134275618374</v>
      </c>
      <c r="AC978" t="str">
        <f t="shared" si="62"/>
        <v xml:space="preserve"> Browsers</v>
      </c>
    </row>
    <row r="979" spans="1:30" x14ac:dyDescent="0.3">
      <c r="A979" s="6">
        <v>9333</v>
      </c>
      <c r="B979" s="7" t="s">
        <v>635</v>
      </c>
      <c r="C979" s="10">
        <v>45277</v>
      </c>
      <c r="D979" s="10">
        <v>45643</v>
      </c>
      <c r="E979" s="13">
        <v>11.99</v>
      </c>
      <c r="F979" s="6">
        <v>23</v>
      </c>
      <c r="G979" s="7" t="s">
        <v>73</v>
      </c>
      <c r="H979" s="6">
        <v>2</v>
      </c>
      <c r="I979" s="6">
        <v>1</v>
      </c>
      <c r="J979" s="7" t="b">
        <v>0</v>
      </c>
      <c r="K979" s="6">
        <v>544</v>
      </c>
      <c r="L979" s="6">
        <v>25</v>
      </c>
      <c r="M979" s="7" t="s">
        <v>55</v>
      </c>
      <c r="N979" s="7" t="s">
        <v>75</v>
      </c>
      <c r="O979" s="7" t="s">
        <v>37</v>
      </c>
      <c r="P979" s="6">
        <v>47</v>
      </c>
      <c r="Q979" s="11">
        <v>3.6</v>
      </c>
      <c r="R979" s="7" t="b">
        <v>0</v>
      </c>
      <c r="S979" s="7" t="s">
        <v>30</v>
      </c>
      <c r="T979" s="6">
        <v>2761</v>
      </c>
      <c r="U979" s="7" t="s">
        <v>65</v>
      </c>
      <c r="V979" s="12" t="s">
        <v>39</v>
      </c>
      <c r="W979" s="7" t="s">
        <v>40</v>
      </c>
      <c r="X979" s="6">
        <f t="shared" si="63"/>
        <v>366</v>
      </c>
      <c r="Y979" t="str" cm="1">
        <f t="array" ref="Y979">_xlfn.IFS(E979=7.99,"BASIC",E979=11.99,"STANDARD",E979=15.99,"PREMIUM")</f>
        <v>STANDARD</v>
      </c>
      <c r="Z979" s="4">
        <f t="shared" si="61"/>
        <v>0.43989071038251365</v>
      </c>
      <c r="AA979" s="3" t="str" cm="1">
        <f t="array" ref="AA979">_xlfn.IFS(
(F979/(X979/7)) &lt; 5, "Casual",
AND((F979/(X979/7)) &gt;= 5, (F979/(X979/7)) &lt; 15), "Regular",
(F979/(X979/7)) &gt;= 15, "Power"
)</f>
        <v>Casual</v>
      </c>
      <c r="AB979" s="3">
        <f t="shared" si="64"/>
        <v>4.0421792618629174E-2</v>
      </c>
      <c r="AC979" t="str">
        <f t="shared" si="62"/>
        <v xml:space="preserve"> Browsers</v>
      </c>
    </row>
    <row r="980" spans="1:30" x14ac:dyDescent="0.3">
      <c r="A980" s="6">
        <v>9122</v>
      </c>
      <c r="B980" s="7" t="s">
        <v>729</v>
      </c>
      <c r="C980" s="10">
        <v>45507</v>
      </c>
      <c r="D980" s="10">
        <v>45637</v>
      </c>
      <c r="E980" s="13">
        <v>15.99</v>
      </c>
      <c r="F980" s="6">
        <v>168</v>
      </c>
      <c r="G980" s="7" t="s">
        <v>26</v>
      </c>
      <c r="H980" s="6">
        <v>3</v>
      </c>
      <c r="I980" s="6">
        <v>2</v>
      </c>
      <c r="J980" s="7" t="b">
        <v>1</v>
      </c>
      <c r="K980" s="6">
        <v>25</v>
      </c>
      <c r="L980" s="6">
        <v>171</v>
      </c>
      <c r="M980" s="7" t="s">
        <v>92</v>
      </c>
      <c r="N980" s="7" t="s">
        <v>28</v>
      </c>
      <c r="O980" s="7" t="s">
        <v>29</v>
      </c>
      <c r="P980" s="6">
        <v>79</v>
      </c>
      <c r="Q980" s="11">
        <v>4</v>
      </c>
      <c r="R980" s="7" t="b">
        <v>0</v>
      </c>
      <c r="S980" s="7" t="s">
        <v>30</v>
      </c>
      <c r="T980" s="6">
        <v>773</v>
      </c>
      <c r="U980" s="7" t="s">
        <v>38</v>
      </c>
      <c r="V980" s="12" t="s">
        <v>39</v>
      </c>
      <c r="W980" s="7" t="s">
        <v>40</v>
      </c>
      <c r="X980" s="6">
        <f t="shared" si="63"/>
        <v>130</v>
      </c>
      <c r="Y980" t="str" cm="1">
        <f t="array" ref="Y980">_xlfn.IFS(E980=7.99,"BASIC",E980=11.99,"STANDARD",E980=15.99,"PREMIUM")</f>
        <v>PREMIUM</v>
      </c>
      <c r="Z980" s="4">
        <f t="shared" si="61"/>
        <v>9.046153846153846</v>
      </c>
      <c r="AA980" s="3" t="str" cm="1">
        <f t="array" ref="AA980">_xlfn.IFS(
(F980/(X980/7)) &lt; 5, "Casual",
AND((F980/(X980/7)) &gt;= 5, (F980/(X980/7)) &lt; 15), "Regular",
(F980/(X980/7)) &gt;= 15, "Power"
)</f>
        <v>Regular</v>
      </c>
      <c r="AB980" s="3">
        <f t="shared" si="64"/>
        <v>0.8571428571428571</v>
      </c>
      <c r="AC980" t="str">
        <f t="shared" si="62"/>
        <v>Viewers</v>
      </c>
    </row>
    <row r="981" spans="1:30" x14ac:dyDescent="0.3">
      <c r="A981" s="6">
        <v>6221</v>
      </c>
      <c r="B981" s="7" t="s">
        <v>143</v>
      </c>
      <c r="C981" s="10">
        <v>45612</v>
      </c>
      <c r="D981" s="10">
        <v>45621</v>
      </c>
      <c r="E981" s="13">
        <v>11.99</v>
      </c>
      <c r="F981" s="6">
        <v>306</v>
      </c>
      <c r="G981" s="7" t="s">
        <v>26</v>
      </c>
      <c r="H981" s="6">
        <v>5</v>
      </c>
      <c r="I981" s="6">
        <v>1</v>
      </c>
      <c r="J981" s="7" t="b">
        <v>1</v>
      </c>
      <c r="K981" s="6">
        <v>513</v>
      </c>
      <c r="L981" s="6">
        <v>70</v>
      </c>
      <c r="M981" s="7" t="s">
        <v>27</v>
      </c>
      <c r="N981" s="7" t="s">
        <v>56</v>
      </c>
      <c r="O981" s="7" t="s">
        <v>57</v>
      </c>
      <c r="P981" s="6">
        <v>86</v>
      </c>
      <c r="Q981" s="11">
        <v>3.7</v>
      </c>
      <c r="R981" s="7" t="b">
        <v>0</v>
      </c>
      <c r="S981" s="7" t="s">
        <v>30</v>
      </c>
      <c r="T981" s="6">
        <v>1652</v>
      </c>
      <c r="U981" s="7" t="s">
        <v>38</v>
      </c>
      <c r="V981" s="12" t="s">
        <v>59</v>
      </c>
      <c r="W981" s="7" t="s">
        <v>33</v>
      </c>
      <c r="X981" s="6">
        <f t="shared" si="63"/>
        <v>9</v>
      </c>
      <c r="Y981" t="str" cm="1">
        <f t="array" ref="Y981">_xlfn.IFS(E981=7.99,"BASIC",E981=11.99,"STANDARD",E981=15.99,"PREMIUM")</f>
        <v>STANDARD</v>
      </c>
      <c r="Z981" s="4">
        <f t="shared" si="61"/>
        <v>237.99999999999997</v>
      </c>
      <c r="AA981" s="3" t="str" cm="1">
        <f t="array" ref="AA981">_xlfn.IFS(
(F981/(X981/7)) &lt; 5, "Casual",
AND((F981/(X981/7)) &gt;= 5, (F981/(X981/7)) &lt; 15), "Regular",
(F981/(X981/7)) &gt;= 15, "Power"
)</f>
        <v>Power</v>
      </c>
      <c r="AB981" s="3">
        <f t="shared" si="64"/>
        <v>0.52487135506003435</v>
      </c>
      <c r="AC981" t="str">
        <f t="shared" si="62"/>
        <v>Viewers</v>
      </c>
    </row>
    <row r="982" spans="1:30" x14ac:dyDescent="0.3">
      <c r="A982" s="6">
        <v>9957</v>
      </c>
      <c r="B982" s="7" t="s">
        <v>357</v>
      </c>
      <c r="C982" s="10">
        <v>45238</v>
      </c>
      <c r="D982" s="10">
        <v>45639</v>
      </c>
      <c r="E982" s="13">
        <v>15.99</v>
      </c>
      <c r="F982" s="6">
        <v>433</v>
      </c>
      <c r="G982" s="7" t="s">
        <v>51</v>
      </c>
      <c r="H982" s="6">
        <v>2</v>
      </c>
      <c r="I982" s="6">
        <v>6</v>
      </c>
      <c r="J982" s="7" t="b">
        <v>1</v>
      </c>
      <c r="K982" s="6">
        <v>1000</v>
      </c>
      <c r="L982" s="6">
        <v>48</v>
      </c>
      <c r="M982" s="7" t="s">
        <v>92</v>
      </c>
      <c r="N982" s="7" t="s">
        <v>44</v>
      </c>
      <c r="O982" s="7" t="s">
        <v>57</v>
      </c>
      <c r="P982" s="6">
        <v>92</v>
      </c>
      <c r="Q982" s="11">
        <v>3.7</v>
      </c>
      <c r="R982" s="7" t="b">
        <v>0</v>
      </c>
      <c r="S982" s="7" t="s">
        <v>30</v>
      </c>
      <c r="T982" s="6">
        <v>1037</v>
      </c>
      <c r="U982" s="7" t="s">
        <v>76</v>
      </c>
      <c r="V982" s="12" t="s">
        <v>79</v>
      </c>
      <c r="W982" s="7" t="s">
        <v>33</v>
      </c>
      <c r="X982" s="6">
        <f t="shared" si="63"/>
        <v>401</v>
      </c>
      <c r="Y982" t="str" cm="1">
        <f t="array" ref="Y982">_xlfn.IFS(E982=7.99,"BASIC",E982=11.99,"STANDARD",E982=15.99,"PREMIUM")</f>
        <v>PREMIUM</v>
      </c>
      <c r="Z982" s="4">
        <f t="shared" si="61"/>
        <v>7.5586034912718203</v>
      </c>
      <c r="AA982" s="3" t="str" cm="1">
        <f t="array" ref="AA982">_xlfn.IFS(
(F982/(X982/7)) &lt; 5, "Casual",
AND((F982/(X982/7)) &gt;= 5, (F982/(X982/7)) &lt; 15), "Regular",
(F982/(X982/7)) &gt;= 15, "Power"
)</f>
        <v>Regular</v>
      </c>
      <c r="AB982" s="3">
        <f t="shared" si="64"/>
        <v>0.41316793893129772</v>
      </c>
      <c r="AC982" t="str">
        <f t="shared" si="62"/>
        <v>Viewers</v>
      </c>
    </row>
    <row r="983" spans="1:30" x14ac:dyDescent="0.3">
      <c r="A983" s="6">
        <v>4680</v>
      </c>
      <c r="B983" s="7" t="s">
        <v>730</v>
      </c>
      <c r="C983" s="10">
        <f>_xlfn.XLOOKUP(A983,'Data Anomalies -Pls Read It'!A:A,'Data Anomalies -Pls Read It'!D:D,1,0)</f>
        <v>45637</v>
      </c>
      <c r="D983" s="10">
        <f>_xlfn.XLOOKUP(A983,'Data Anomalies -Pls Read It'!A:A,'Data Anomalies -Pls Read It'!C:C,1,0)</f>
        <v>45642</v>
      </c>
      <c r="E983" s="13">
        <v>11.99</v>
      </c>
      <c r="F983" s="6">
        <v>221</v>
      </c>
      <c r="G983" s="7" t="s">
        <v>100</v>
      </c>
      <c r="H983" s="6">
        <v>5</v>
      </c>
      <c r="I983" s="6">
        <v>5</v>
      </c>
      <c r="J983" s="7" t="b">
        <v>1</v>
      </c>
      <c r="K983" s="6">
        <v>749</v>
      </c>
      <c r="L983" s="6">
        <v>66</v>
      </c>
      <c r="M983" s="7" t="s">
        <v>27</v>
      </c>
      <c r="N983" s="7" t="s">
        <v>75</v>
      </c>
      <c r="O983" s="7" t="s">
        <v>37</v>
      </c>
      <c r="P983" s="6">
        <v>37</v>
      </c>
      <c r="Q983" s="11">
        <v>3.3</v>
      </c>
      <c r="R983" s="7" t="b">
        <v>1</v>
      </c>
      <c r="S983" s="7" t="s">
        <v>30</v>
      </c>
      <c r="T983" s="6">
        <v>4505</v>
      </c>
      <c r="U983" s="7" t="s">
        <v>58</v>
      </c>
      <c r="V983" s="12" t="s">
        <v>32</v>
      </c>
      <c r="W983" s="7" t="s">
        <v>93</v>
      </c>
      <c r="X983" s="6">
        <f t="shared" si="63"/>
        <v>5</v>
      </c>
      <c r="Y983" t="str" cm="1">
        <f t="array" ref="Y983">_xlfn.IFS(E983=7.99,"BASIC",E983=11.99,"STANDARD",E983=15.99,"PREMIUM")</f>
        <v>STANDARD</v>
      </c>
      <c r="Z983" s="4">
        <f t="shared" si="61"/>
        <v>309.39999999999998</v>
      </c>
      <c r="AA983" s="3" t="str" cm="1">
        <f t="array" ref="AA983">_xlfn.IFS(
(F983/(X983/7)) &lt; 5, "Casual",
AND((F983/(X983/7)) &gt;= 5, (F983/(X983/7)) &lt; 15), "Regular",
(F983/(X983/7)) &gt;= 15, "Power"
)</f>
        <v>Power</v>
      </c>
      <c r="AB983" s="3">
        <f t="shared" si="64"/>
        <v>0.27116564417177913</v>
      </c>
      <c r="AC983" t="str">
        <f t="shared" si="62"/>
        <v>Viewers</v>
      </c>
      <c r="AD983" t="s">
        <v>779</v>
      </c>
    </row>
    <row r="984" spans="1:30" x14ac:dyDescent="0.3">
      <c r="A984" s="6">
        <v>5974</v>
      </c>
      <c r="B984" s="7" t="s">
        <v>731</v>
      </c>
      <c r="C984" s="10">
        <v>45585</v>
      </c>
      <c r="D984" s="10">
        <v>45619</v>
      </c>
      <c r="E984" s="13">
        <v>15.99</v>
      </c>
      <c r="F984" s="6">
        <v>236</v>
      </c>
      <c r="G984" s="7" t="s">
        <v>51</v>
      </c>
      <c r="H984" s="6">
        <v>3</v>
      </c>
      <c r="I984" s="6">
        <v>5</v>
      </c>
      <c r="J984" s="7" t="b">
        <v>1</v>
      </c>
      <c r="K984" s="6">
        <v>600</v>
      </c>
      <c r="L984" s="6">
        <v>199</v>
      </c>
      <c r="M984" s="7" t="s">
        <v>49</v>
      </c>
      <c r="N984" s="7" t="s">
        <v>75</v>
      </c>
      <c r="O984" s="7" t="s">
        <v>37</v>
      </c>
      <c r="P984" s="6">
        <v>56</v>
      </c>
      <c r="Q984" s="11">
        <v>3.7</v>
      </c>
      <c r="R984" s="7" t="b">
        <v>0</v>
      </c>
      <c r="S984" s="7" t="s">
        <v>30</v>
      </c>
      <c r="T984" s="6">
        <v>3648</v>
      </c>
      <c r="U984" s="7" t="s">
        <v>76</v>
      </c>
      <c r="V984" s="12" t="s">
        <v>59</v>
      </c>
      <c r="W984" s="7" t="s">
        <v>40</v>
      </c>
      <c r="X984" s="6">
        <f t="shared" si="63"/>
        <v>34</v>
      </c>
      <c r="Y984" t="str" cm="1">
        <f t="array" ref="Y984">_xlfn.IFS(E984=7.99,"BASIC",E984=11.99,"STANDARD",E984=15.99,"PREMIUM")</f>
        <v>PREMIUM</v>
      </c>
      <c r="Z984" s="4">
        <f t="shared" si="61"/>
        <v>48.588235294117652</v>
      </c>
      <c r="AA984" s="3" t="str" cm="1">
        <f t="array" ref="AA984">_xlfn.IFS(
(F984/(X984/7)) &lt; 5, "Casual",
AND((F984/(X984/7)) &gt;= 5, (F984/(X984/7)) &lt; 15), "Regular",
(F984/(X984/7)) &gt;= 15, "Power"
)</f>
        <v>Power</v>
      </c>
      <c r="AB984" s="3">
        <f t="shared" si="64"/>
        <v>0.29536921151439299</v>
      </c>
      <c r="AC984" t="str">
        <f t="shared" si="62"/>
        <v>Viewers</v>
      </c>
    </row>
    <row r="985" spans="1:30" x14ac:dyDescent="0.3">
      <c r="A985" s="6">
        <v>6938</v>
      </c>
      <c r="B985" s="7" t="s">
        <v>382</v>
      </c>
      <c r="C985" s="10">
        <v>45417</v>
      </c>
      <c r="D985" s="10">
        <v>45638</v>
      </c>
      <c r="E985" s="13">
        <v>11.99</v>
      </c>
      <c r="F985" s="6">
        <v>75</v>
      </c>
      <c r="G985" s="7" t="s">
        <v>26</v>
      </c>
      <c r="H985" s="6">
        <v>4</v>
      </c>
      <c r="I985" s="6">
        <v>6</v>
      </c>
      <c r="J985" s="7" t="b">
        <v>0</v>
      </c>
      <c r="K985" s="6">
        <v>897</v>
      </c>
      <c r="L985" s="6">
        <v>59</v>
      </c>
      <c r="M985" s="7" t="s">
        <v>74</v>
      </c>
      <c r="N985" s="7" t="s">
        <v>56</v>
      </c>
      <c r="O985" s="7" t="s">
        <v>29</v>
      </c>
      <c r="P985" s="6">
        <v>11</v>
      </c>
      <c r="Q985" s="11">
        <v>3.4</v>
      </c>
      <c r="R985" s="7" t="b">
        <v>0</v>
      </c>
      <c r="S985" s="7" t="s">
        <v>30</v>
      </c>
      <c r="T985" s="6">
        <v>4015</v>
      </c>
      <c r="U985" s="7" t="s">
        <v>38</v>
      </c>
      <c r="V985" s="12" t="s">
        <v>59</v>
      </c>
      <c r="W985" s="7" t="s">
        <v>93</v>
      </c>
      <c r="X985" s="6">
        <f t="shared" si="63"/>
        <v>221</v>
      </c>
      <c r="Y985" t="str" cm="1">
        <f t="array" ref="Y985">_xlfn.IFS(E985=7.99,"BASIC",E985=11.99,"STANDARD",E985=15.99,"PREMIUM")</f>
        <v>STANDARD</v>
      </c>
      <c r="Z985" s="4">
        <f t="shared" si="61"/>
        <v>2.3755656108597285</v>
      </c>
      <c r="AA985" s="3" t="str" cm="1">
        <f t="array" ref="AA985">_xlfn.IFS(
(F985/(X985/7)) &lt; 5, "Casual",
AND((F985/(X985/7)) &gt;= 5, (F985/(X985/7)) &lt; 15), "Regular",
(F985/(X985/7)) &gt;= 15, "Power"
)</f>
        <v>Casual</v>
      </c>
      <c r="AB985" s="3">
        <f t="shared" si="64"/>
        <v>7.8451882845188281E-2</v>
      </c>
      <c r="AC985" t="str">
        <f t="shared" si="62"/>
        <v xml:space="preserve"> Browsers</v>
      </c>
    </row>
    <row r="986" spans="1:30" x14ac:dyDescent="0.3">
      <c r="A986" s="6">
        <v>1175</v>
      </c>
      <c r="B986" s="7" t="s">
        <v>584</v>
      </c>
      <c r="C986" s="10">
        <v>45363</v>
      </c>
      <c r="D986" s="10">
        <v>45617</v>
      </c>
      <c r="E986" s="13">
        <v>15.99</v>
      </c>
      <c r="F986" s="6">
        <v>325</v>
      </c>
      <c r="G986" s="7" t="s">
        <v>73</v>
      </c>
      <c r="H986" s="6">
        <v>3</v>
      </c>
      <c r="I986" s="6">
        <v>6</v>
      </c>
      <c r="J986" s="7" t="b">
        <v>1</v>
      </c>
      <c r="K986" s="6">
        <v>412</v>
      </c>
      <c r="L986" s="6">
        <v>117</v>
      </c>
      <c r="M986" s="7" t="s">
        <v>74</v>
      </c>
      <c r="N986" s="7" t="s">
        <v>56</v>
      </c>
      <c r="O986" s="7" t="s">
        <v>29</v>
      </c>
      <c r="P986" s="6">
        <v>48</v>
      </c>
      <c r="Q986" s="11">
        <v>4</v>
      </c>
      <c r="R986" s="7" t="b">
        <v>1</v>
      </c>
      <c r="S986" s="7" t="s">
        <v>30</v>
      </c>
      <c r="T986" s="6">
        <v>2050</v>
      </c>
      <c r="U986" s="7" t="s">
        <v>76</v>
      </c>
      <c r="V986" s="12" t="s">
        <v>39</v>
      </c>
      <c r="W986" s="7" t="s">
        <v>93</v>
      </c>
      <c r="X986" s="6">
        <f t="shared" si="63"/>
        <v>254</v>
      </c>
      <c r="Y986" t="str" cm="1">
        <f t="array" ref="Y986">_xlfn.IFS(E986=7.99,"BASIC",E986=11.99,"STANDARD",E986=15.99,"PREMIUM")</f>
        <v>PREMIUM</v>
      </c>
      <c r="Z986" s="4">
        <f t="shared" si="61"/>
        <v>8.9566929133858277</v>
      </c>
      <c r="AA986" s="3" t="str" cm="1">
        <f t="array" ref="AA986">_xlfn.IFS(
(F986/(X986/7)) &lt; 5, "Casual",
AND((F986/(X986/7)) &gt;= 5, (F986/(X986/7)) &lt; 15), "Regular",
(F986/(X986/7)) &gt;= 15, "Power"
)</f>
        <v>Regular</v>
      </c>
      <c r="AB986" s="3">
        <f t="shared" si="64"/>
        <v>0.61436672967863892</v>
      </c>
      <c r="AC986" t="str">
        <f t="shared" si="62"/>
        <v>Viewers</v>
      </c>
    </row>
    <row r="987" spans="1:30" x14ac:dyDescent="0.3">
      <c r="A987" s="6">
        <v>1260</v>
      </c>
      <c r="B987" s="7" t="s">
        <v>453</v>
      </c>
      <c r="C987" s="10">
        <v>45363</v>
      </c>
      <c r="D987" s="10">
        <v>45629</v>
      </c>
      <c r="E987" s="13">
        <v>7.99</v>
      </c>
      <c r="F987" s="6">
        <v>217</v>
      </c>
      <c r="G987" s="7" t="s">
        <v>51</v>
      </c>
      <c r="H987" s="6">
        <v>5</v>
      </c>
      <c r="I987" s="6">
        <v>2</v>
      </c>
      <c r="J987" s="7" t="b">
        <v>0</v>
      </c>
      <c r="K987" s="6">
        <v>669</v>
      </c>
      <c r="L987" s="6">
        <v>155</v>
      </c>
      <c r="M987" s="7" t="s">
        <v>74</v>
      </c>
      <c r="N987" s="7" t="s">
        <v>44</v>
      </c>
      <c r="O987" s="7" t="s">
        <v>45</v>
      </c>
      <c r="P987" s="6">
        <v>40</v>
      </c>
      <c r="Q987" s="11">
        <v>4.8</v>
      </c>
      <c r="R987" s="7" t="b">
        <v>1</v>
      </c>
      <c r="S987" s="7" t="s">
        <v>30</v>
      </c>
      <c r="T987" s="6">
        <v>2390</v>
      </c>
      <c r="U987" s="7" t="s">
        <v>76</v>
      </c>
      <c r="V987" s="12" t="s">
        <v>32</v>
      </c>
      <c r="W987" s="7" t="s">
        <v>33</v>
      </c>
      <c r="X987" s="6">
        <f t="shared" si="63"/>
        <v>266</v>
      </c>
      <c r="Y987" t="str" cm="1">
        <f t="array" ref="Y987">_xlfn.IFS(E987=7.99,"BASIC",E987=11.99,"STANDARD",E987=15.99,"PREMIUM")</f>
        <v>BASIC</v>
      </c>
      <c r="Z987" s="4">
        <f t="shared" si="61"/>
        <v>5.7105263157894735</v>
      </c>
      <c r="AA987" s="3" t="str" cm="1">
        <f t="array" ref="AA987">_xlfn.IFS(
(F987/(X987/7)) &lt; 5, "Casual",
AND((F987/(X987/7)) &gt;= 5, (F987/(X987/7)) &lt; 15), "Regular",
(F987/(X987/7)) &gt;= 15, "Power"
)</f>
        <v>Regular</v>
      </c>
      <c r="AB987" s="3">
        <f t="shared" si="64"/>
        <v>0.26334951456310679</v>
      </c>
      <c r="AC987" t="str">
        <f t="shared" si="62"/>
        <v>Viewers</v>
      </c>
    </row>
    <row r="988" spans="1:30" x14ac:dyDescent="0.3">
      <c r="A988" s="6">
        <v>4645</v>
      </c>
      <c r="B988" s="7" t="s">
        <v>130</v>
      </c>
      <c r="C988" s="10">
        <v>45076</v>
      </c>
      <c r="D988" s="10">
        <v>45640</v>
      </c>
      <c r="E988" s="13">
        <v>7.99</v>
      </c>
      <c r="F988" s="6">
        <v>178</v>
      </c>
      <c r="G988" s="7" t="s">
        <v>26</v>
      </c>
      <c r="H988" s="6">
        <v>4</v>
      </c>
      <c r="I988" s="6">
        <v>5</v>
      </c>
      <c r="J988" s="7" t="b">
        <v>1</v>
      </c>
      <c r="K988" s="6">
        <v>323</v>
      </c>
      <c r="L988" s="6">
        <v>130</v>
      </c>
      <c r="M988" s="7" t="s">
        <v>74</v>
      </c>
      <c r="N988" s="7" t="s">
        <v>75</v>
      </c>
      <c r="O988" s="7" t="s">
        <v>78</v>
      </c>
      <c r="P988" s="6">
        <v>29</v>
      </c>
      <c r="Q988" s="11">
        <v>3</v>
      </c>
      <c r="R988" s="7" t="b">
        <v>1</v>
      </c>
      <c r="S988" s="7" t="s">
        <v>30</v>
      </c>
      <c r="T988" s="6">
        <v>3079</v>
      </c>
      <c r="U988" s="7" t="s">
        <v>38</v>
      </c>
      <c r="V988" s="12" t="s">
        <v>32</v>
      </c>
      <c r="W988" s="7" t="s">
        <v>93</v>
      </c>
      <c r="X988" s="6">
        <f t="shared" si="63"/>
        <v>564</v>
      </c>
      <c r="Y988" t="str" cm="1">
        <f t="array" ref="Y988">_xlfn.IFS(E988=7.99,"BASIC",E988=11.99,"STANDARD",E988=15.99,"PREMIUM")</f>
        <v>BASIC</v>
      </c>
      <c r="Z988" s="4">
        <f t="shared" si="61"/>
        <v>2.2092198581560285</v>
      </c>
      <c r="AA988" s="3" t="str" cm="1">
        <f t="array" ref="AA988">_xlfn.IFS(
(F988/(X988/7)) &lt; 5, "Casual",
AND((F988/(X988/7)) &gt;= 5, (F988/(X988/7)) &lt; 15), "Regular",
(F988/(X988/7)) &gt;= 15, "Power"
)</f>
        <v>Casual</v>
      </c>
      <c r="AB988" s="3">
        <f t="shared" si="64"/>
        <v>0.39293598233995586</v>
      </c>
      <c r="AC988" t="str">
        <f t="shared" si="62"/>
        <v>Viewers</v>
      </c>
    </row>
    <row r="989" spans="1:30" x14ac:dyDescent="0.3">
      <c r="A989" s="6">
        <v>1637</v>
      </c>
      <c r="B989" s="7" t="s">
        <v>122</v>
      </c>
      <c r="C989" s="10">
        <v>45387</v>
      </c>
      <c r="D989" s="10">
        <v>45615</v>
      </c>
      <c r="E989" s="13">
        <v>15.99</v>
      </c>
      <c r="F989" s="6">
        <v>74</v>
      </c>
      <c r="G989" s="7" t="s">
        <v>48</v>
      </c>
      <c r="H989" s="6">
        <v>4</v>
      </c>
      <c r="I989" s="6">
        <v>3</v>
      </c>
      <c r="J989" s="7" t="b">
        <v>1</v>
      </c>
      <c r="K989" s="6">
        <v>646</v>
      </c>
      <c r="L989" s="6">
        <v>38</v>
      </c>
      <c r="M989" s="7" t="s">
        <v>49</v>
      </c>
      <c r="N989" s="7" t="s">
        <v>75</v>
      </c>
      <c r="O989" s="7" t="s">
        <v>29</v>
      </c>
      <c r="P989" s="6">
        <v>37</v>
      </c>
      <c r="Q989" s="11">
        <v>4.0999999999999996</v>
      </c>
      <c r="R989" s="7" t="b">
        <v>0</v>
      </c>
      <c r="S989" s="7" t="s">
        <v>30</v>
      </c>
      <c r="T989" s="6">
        <v>4111</v>
      </c>
      <c r="U989" s="7" t="s">
        <v>76</v>
      </c>
      <c r="V989" s="12" t="s">
        <v>69</v>
      </c>
      <c r="W989" s="7" t="s">
        <v>33</v>
      </c>
      <c r="X989" s="6">
        <f t="shared" si="63"/>
        <v>228</v>
      </c>
      <c r="Y989" t="str" cm="1">
        <f t="array" ref="Y989">_xlfn.IFS(E989=7.99,"BASIC",E989=11.99,"STANDARD",E989=15.99,"PREMIUM")</f>
        <v>PREMIUM</v>
      </c>
      <c r="Z989" s="4">
        <f t="shared" si="61"/>
        <v>2.2719298245614037</v>
      </c>
      <c r="AA989" s="3" t="str" cm="1">
        <f t="array" ref="AA989">_xlfn.IFS(
(F989/(X989/7)) &lt; 5, "Casual",
AND((F989/(X989/7)) &gt;= 5, (F989/(X989/7)) &lt; 15), "Regular",
(F989/(X989/7)) &gt;= 15, "Power"
)</f>
        <v>Casual</v>
      </c>
      <c r="AB989" s="3">
        <f t="shared" si="64"/>
        <v>0.10818713450292397</v>
      </c>
      <c r="AC989" t="str">
        <f t="shared" si="62"/>
        <v xml:space="preserve"> Browsers</v>
      </c>
    </row>
    <row r="990" spans="1:30" x14ac:dyDescent="0.3">
      <c r="A990" s="6">
        <v>7960</v>
      </c>
      <c r="B990" s="7" t="s">
        <v>521</v>
      </c>
      <c r="C990" s="10">
        <v>44935</v>
      </c>
      <c r="D990" s="10">
        <v>45618</v>
      </c>
      <c r="E990" s="13">
        <v>15.99</v>
      </c>
      <c r="F990" s="6">
        <v>373</v>
      </c>
      <c r="G990" s="7" t="s">
        <v>73</v>
      </c>
      <c r="H990" s="6">
        <v>1</v>
      </c>
      <c r="I990" s="6">
        <v>3</v>
      </c>
      <c r="J990" s="7" t="b">
        <v>0</v>
      </c>
      <c r="K990" s="6">
        <v>507</v>
      </c>
      <c r="L990" s="6">
        <v>130</v>
      </c>
      <c r="M990" s="7" t="s">
        <v>43</v>
      </c>
      <c r="N990" s="7" t="s">
        <v>56</v>
      </c>
      <c r="O990" s="7" t="s">
        <v>64</v>
      </c>
      <c r="P990" s="6">
        <v>41</v>
      </c>
      <c r="Q990" s="11">
        <v>3.3</v>
      </c>
      <c r="R990" s="7" t="b">
        <v>1</v>
      </c>
      <c r="S990" s="7" t="s">
        <v>30</v>
      </c>
      <c r="T990" s="6">
        <v>3221</v>
      </c>
      <c r="U990" s="7" t="s">
        <v>31</v>
      </c>
      <c r="V990" s="12" t="s">
        <v>59</v>
      </c>
      <c r="W990" s="7" t="s">
        <v>60</v>
      </c>
      <c r="X990" s="6">
        <f t="shared" si="63"/>
        <v>683</v>
      </c>
      <c r="Y990" t="str" cm="1">
        <f t="array" ref="Y990">_xlfn.IFS(E990=7.99,"BASIC",E990=11.99,"STANDARD",E990=15.99,"PREMIUM")</f>
        <v>PREMIUM</v>
      </c>
      <c r="Z990" s="4">
        <f t="shared" si="61"/>
        <v>3.8228404099560764</v>
      </c>
      <c r="AA990" s="3" t="str" cm="1">
        <f t="array" ref="AA990">_xlfn.IFS(
(F990/(X990/7)) &lt; 5, "Casual",
AND((F990/(X990/7)) &gt;= 5, (F990/(X990/7)) &lt; 15), "Regular",
(F990/(X990/7)) &gt;= 15, "Power"
)</f>
        <v>Casual</v>
      </c>
      <c r="AB990" s="3">
        <f t="shared" si="64"/>
        <v>0.58555729984301408</v>
      </c>
      <c r="AC990" t="str">
        <f t="shared" si="62"/>
        <v>Viewers</v>
      </c>
    </row>
    <row r="991" spans="1:30" x14ac:dyDescent="0.3">
      <c r="A991" s="6">
        <v>9693</v>
      </c>
      <c r="B991" s="7" t="s">
        <v>733</v>
      </c>
      <c r="C991" s="10">
        <v>45379</v>
      </c>
      <c r="D991" s="10">
        <v>45626</v>
      </c>
      <c r="E991" s="13">
        <v>15.99</v>
      </c>
      <c r="F991" s="6">
        <v>64</v>
      </c>
      <c r="G991" s="7" t="s">
        <v>73</v>
      </c>
      <c r="H991" s="6">
        <v>5</v>
      </c>
      <c r="I991" s="6">
        <v>1</v>
      </c>
      <c r="J991" s="7" t="b">
        <v>0</v>
      </c>
      <c r="K991" s="6">
        <v>881</v>
      </c>
      <c r="L991" s="6">
        <v>15</v>
      </c>
      <c r="M991" s="7" t="s">
        <v>49</v>
      </c>
      <c r="N991" s="7" t="s">
        <v>28</v>
      </c>
      <c r="O991" s="7" t="s">
        <v>45</v>
      </c>
      <c r="P991" s="6">
        <v>22</v>
      </c>
      <c r="Q991" s="11">
        <v>3.6</v>
      </c>
      <c r="R991" s="7" t="b">
        <v>0</v>
      </c>
      <c r="S991" s="7" t="s">
        <v>30</v>
      </c>
      <c r="T991" s="6">
        <v>2461</v>
      </c>
      <c r="U991" s="7" t="s">
        <v>76</v>
      </c>
      <c r="V991" s="12" t="s">
        <v>59</v>
      </c>
      <c r="W991" s="7" t="s">
        <v>93</v>
      </c>
      <c r="X991" s="6">
        <f t="shared" si="63"/>
        <v>247</v>
      </c>
      <c r="Y991" t="str" cm="1">
        <f t="array" ref="Y991">_xlfn.IFS(E991=7.99,"BASIC",E991=11.99,"STANDARD",E991=15.99,"PREMIUM")</f>
        <v>PREMIUM</v>
      </c>
      <c r="Z991" s="4">
        <f t="shared" si="61"/>
        <v>1.8137651821862348</v>
      </c>
      <c r="AA991" s="3" t="str" cm="1">
        <f t="array" ref="AA991">_xlfn.IFS(
(F991/(X991/7)) &lt; 5, "Casual",
AND((F991/(X991/7)) &gt;= 5, (F991/(X991/7)) &lt; 15), "Regular",
(F991/(X991/7)) &gt;= 15, "Power"
)</f>
        <v>Casual</v>
      </c>
      <c r="AB991" s="3">
        <f t="shared" si="64"/>
        <v>7.1428571428571425E-2</v>
      </c>
      <c r="AC991" t="str">
        <f t="shared" si="62"/>
        <v xml:space="preserve"> Browsers</v>
      </c>
    </row>
    <row r="992" spans="1:30" x14ac:dyDescent="0.3">
      <c r="A992" s="6">
        <v>8743</v>
      </c>
      <c r="B992" s="7" t="s">
        <v>201</v>
      </c>
      <c r="C992" s="10">
        <v>45321</v>
      </c>
      <c r="D992" s="10">
        <v>45621</v>
      </c>
      <c r="E992" s="13">
        <v>11.99</v>
      </c>
      <c r="F992" s="6">
        <v>129</v>
      </c>
      <c r="G992" s="7" t="s">
        <v>26</v>
      </c>
      <c r="H992" s="6">
        <v>3</v>
      </c>
      <c r="I992" s="6">
        <v>5</v>
      </c>
      <c r="J992" s="7" t="b">
        <v>1</v>
      </c>
      <c r="K992" s="6">
        <v>594</v>
      </c>
      <c r="L992" s="6">
        <v>127</v>
      </c>
      <c r="M992" s="7" t="s">
        <v>55</v>
      </c>
      <c r="N992" s="7" t="s">
        <v>28</v>
      </c>
      <c r="O992" s="7" t="s">
        <v>37</v>
      </c>
      <c r="P992" s="6">
        <v>79</v>
      </c>
      <c r="Q992" s="11">
        <v>3.9</v>
      </c>
      <c r="R992" s="7" t="b">
        <v>0</v>
      </c>
      <c r="S992" s="7" t="s">
        <v>30</v>
      </c>
      <c r="T992" s="6">
        <v>2858</v>
      </c>
      <c r="U992" s="7" t="s">
        <v>31</v>
      </c>
      <c r="V992" s="12" t="s">
        <v>69</v>
      </c>
      <c r="W992" s="7" t="s">
        <v>60</v>
      </c>
      <c r="X992" s="6">
        <f t="shared" si="63"/>
        <v>300</v>
      </c>
      <c r="Y992" t="str" cm="1">
        <f t="array" ref="Y992">_xlfn.IFS(E992=7.99,"BASIC",E992=11.99,"STANDARD",E992=15.99,"PREMIUM")</f>
        <v>STANDARD</v>
      </c>
      <c r="Z992" s="4">
        <f t="shared" si="61"/>
        <v>3.0100000000000002</v>
      </c>
      <c r="AA992" s="3" t="str" cm="1">
        <f t="array" ref="AA992">_xlfn.IFS(
(F992/(X992/7)) &lt; 5, "Casual",
AND((F992/(X992/7)) &gt;= 5, (F992/(X992/7)) &lt; 15), "Regular",
(F992/(X992/7)) &gt;= 15, "Power"
)</f>
        <v>Casual</v>
      </c>
      <c r="AB992" s="3">
        <f t="shared" si="64"/>
        <v>0.17891816920943135</v>
      </c>
      <c r="AC992" t="str">
        <f t="shared" si="62"/>
        <v>Viewers</v>
      </c>
    </row>
    <row r="993" spans="1:29" x14ac:dyDescent="0.3">
      <c r="A993" s="6">
        <v>3379</v>
      </c>
      <c r="B993" s="7" t="s">
        <v>695</v>
      </c>
      <c r="C993" s="10">
        <v>45177</v>
      </c>
      <c r="D993" s="10">
        <v>45638</v>
      </c>
      <c r="E993" s="13">
        <v>15.99</v>
      </c>
      <c r="F993" s="6">
        <v>297</v>
      </c>
      <c r="G993" s="7" t="s">
        <v>48</v>
      </c>
      <c r="H993" s="6">
        <v>3</v>
      </c>
      <c r="I993" s="6">
        <v>1</v>
      </c>
      <c r="J993" s="7" t="b">
        <v>1</v>
      </c>
      <c r="K993" s="6">
        <v>667</v>
      </c>
      <c r="L993" s="6">
        <v>75</v>
      </c>
      <c r="M993" s="7" t="s">
        <v>55</v>
      </c>
      <c r="N993" s="7" t="s">
        <v>28</v>
      </c>
      <c r="O993" s="7" t="s">
        <v>37</v>
      </c>
      <c r="P993" s="6">
        <v>89</v>
      </c>
      <c r="Q993" s="11">
        <v>4.5</v>
      </c>
      <c r="R993" s="7" t="b">
        <v>0</v>
      </c>
      <c r="S993" s="7" t="s">
        <v>30</v>
      </c>
      <c r="T993" s="6">
        <v>4076</v>
      </c>
      <c r="U993" s="7" t="s">
        <v>76</v>
      </c>
      <c r="V993" s="12" t="s">
        <v>79</v>
      </c>
      <c r="W993" s="7" t="s">
        <v>93</v>
      </c>
      <c r="X993" s="6">
        <f t="shared" si="63"/>
        <v>461</v>
      </c>
      <c r="Y993" t="str" cm="1">
        <f t="array" ref="Y993">_xlfn.IFS(E993=7.99,"BASIC",E993=11.99,"STANDARD",E993=15.99,"PREMIUM")</f>
        <v>PREMIUM</v>
      </c>
      <c r="Z993" s="4">
        <f t="shared" si="61"/>
        <v>4.5097613882863339</v>
      </c>
      <c r="AA993" s="3" t="str" cm="1">
        <f t="array" ref="AA993">_xlfn.IFS(
(F993/(X993/7)) &lt; 5, "Casual",
AND((F993/(X993/7)) &gt;= 5, (F993/(X993/7)) &lt; 15), "Regular",
(F993/(X993/7)) &gt;= 15, "Power"
)</f>
        <v>Casual</v>
      </c>
      <c r="AB993" s="3">
        <f t="shared" si="64"/>
        <v>0.40026954177897572</v>
      </c>
      <c r="AC993" t="str">
        <f t="shared" si="62"/>
        <v>Viewers</v>
      </c>
    </row>
    <row r="994" spans="1:29" x14ac:dyDescent="0.3">
      <c r="A994" s="6">
        <v>7696</v>
      </c>
      <c r="B994" s="7" t="s">
        <v>224</v>
      </c>
      <c r="C994" s="10">
        <v>45237</v>
      </c>
      <c r="D994" s="10">
        <v>45626</v>
      </c>
      <c r="E994" s="13">
        <v>15.99</v>
      </c>
      <c r="F994" s="6">
        <v>235</v>
      </c>
      <c r="G994" s="7" t="s">
        <v>26</v>
      </c>
      <c r="H994" s="6">
        <v>2</v>
      </c>
      <c r="I994" s="6">
        <v>5</v>
      </c>
      <c r="J994" s="7" t="b">
        <v>0</v>
      </c>
      <c r="K994" s="6">
        <v>709</v>
      </c>
      <c r="L994" s="6">
        <v>151</v>
      </c>
      <c r="M994" s="7" t="s">
        <v>49</v>
      </c>
      <c r="N994" s="7" t="s">
        <v>44</v>
      </c>
      <c r="O994" s="7" t="s">
        <v>37</v>
      </c>
      <c r="P994" s="6">
        <v>72</v>
      </c>
      <c r="Q994" s="11">
        <v>3.7</v>
      </c>
      <c r="R994" s="7" t="b">
        <v>0</v>
      </c>
      <c r="S994" s="7" t="s">
        <v>30</v>
      </c>
      <c r="T994" s="6">
        <v>2163</v>
      </c>
      <c r="U994" s="7" t="s">
        <v>65</v>
      </c>
      <c r="V994" s="12" t="s">
        <v>69</v>
      </c>
      <c r="W994" s="7" t="s">
        <v>93</v>
      </c>
      <c r="X994" s="6">
        <f t="shared" si="63"/>
        <v>389</v>
      </c>
      <c r="Y994" t="str" cm="1">
        <f t="array" ref="Y994">_xlfn.IFS(E994=7.99,"BASIC",E994=11.99,"STANDARD",E994=15.99,"PREMIUM")</f>
        <v>PREMIUM</v>
      </c>
      <c r="Z994" s="4">
        <f t="shared" si="61"/>
        <v>4.2287917737789202</v>
      </c>
      <c r="AA994" s="3" t="str" cm="1">
        <f t="array" ref="AA994">_xlfn.IFS(
(F994/(X994/7)) &lt; 5, "Casual",
AND((F994/(X994/7)) &gt;= 5, (F994/(X994/7)) &lt; 15), "Regular",
(F994/(X994/7)) &gt;= 15, "Power"
)</f>
        <v>Casual</v>
      </c>
      <c r="AB994" s="3">
        <f t="shared" si="64"/>
        <v>0.27325581395348836</v>
      </c>
      <c r="AC994" t="str">
        <f t="shared" si="62"/>
        <v>Viewers</v>
      </c>
    </row>
    <row r="995" spans="1:29" x14ac:dyDescent="0.3">
      <c r="A995" s="6">
        <v>8552</v>
      </c>
      <c r="B995" s="7" t="s">
        <v>23</v>
      </c>
      <c r="C995" s="10">
        <v>45252</v>
      </c>
      <c r="D995" s="10">
        <v>45623</v>
      </c>
      <c r="E995" s="13">
        <v>15.99</v>
      </c>
      <c r="F995" s="6">
        <v>390</v>
      </c>
      <c r="G995" s="7" t="s">
        <v>26</v>
      </c>
      <c r="H995" s="6">
        <v>2</v>
      </c>
      <c r="I995" s="6">
        <v>4</v>
      </c>
      <c r="J995" s="7" t="b">
        <v>0</v>
      </c>
      <c r="K995" s="6">
        <v>537</v>
      </c>
      <c r="L995" s="6">
        <v>101</v>
      </c>
      <c r="M995" s="7" t="s">
        <v>49</v>
      </c>
      <c r="N995" s="7" t="s">
        <v>44</v>
      </c>
      <c r="O995" s="7" t="s">
        <v>57</v>
      </c>
      <c r="P995" s="6">
        <v>64</v>
      </c>
      <c r="Q995" s="11">
        <v>3</v>
      </c>
      <c r="R995" s="7" t="b">
        <v>1</v>
      </c>
      <c r="S995" s="7" t="s">
        <v>30</v>
      </c>
      <c r="T995" s="6">
        <v>3726</v>
      </c>
      <c r="U995" s="7" t="s">
        <v>38</v>
      </c>
      <c r="V995" s="12" t="s">
        <v>79</v>
      </c>
      <c r="W995" s="7" t="s">
        <v>60</v>
      </c>
      <c r="X995" s="6">
        <f t="shared" si="63"/>
        <v>371</v>
      </c>
      <c r="Y995" t="str" cm="1">
        <f t="array" ref="Y995">_xlfn.IFS(E995=7.99,"BASIC",E995=11.99,"STANDARD",E995=15.99,"PREMIUM")</f>
        <v>PREMIUM</v>
      </c>
      <c r="Z995" s="4">
        <f t="shared" si="61"/>
        <v>7.3584905660377355</v>
      </c>
      <c r="AA995" s="3" t="str" cm="1">
        <f t="array" ref="AA995">_xlfn.IFS(
(F995/(X995/7)) &lt; 5, "Casual",
AND((F995/(X995/7)) &gt;= 5, (F995/(X995/7)) &lt; 15), "Regular",
(F995/(X995/7)) &gt;= 15, "Power"
)</f>
        <v>Regular</v>
      </c>
      <c r="AB995" s="3">
        <f t="shared" si="64"/>
        <v>0.61128526645768022</v>
      </c>
      <c r="AC995" t="str">
        <f t="shared" si="62"/>
        <v>Viewers</v>
      </c>
    </row>
    <row r="996" spans="1:29" x14ac:dyDescent="0.3">
      <c r="A996" s="6">
        <v>5065</v>
      </c>
      <c r="B996" s="7" t="s">
        <v>257</v>
      </c>
      <c r="C996" s="10">
        <v>44981</v>
      </c>
      <c r="D996" s="10">
        <v>45626</v>
      </c>
      <c r="E996" s="13">
        <v>11.99</v>
      </c>
      <c r="F996" s="6">
        <v>362</v>
      </c>
      <c r="G996" s="7" t="s">
        <v>100</v>
      </c>
      <c r="H996" s="6">
        <v>2</v>
      </c>
      <c r="I996" s="6">
        <v>6</v>
      </c>
      <c r="J996" s="7" t="b">
        <v>1</v>
      </c>
      <c r="K996" s="6">
        <v>490</v>
      </c>
      <c r="L996" s="6">
        <v>22</v>
      </c>
      <c r="M996" s="7" t="s">
        <v>49</v>
      </c>
      <c r="N996" s="7" t="s">
        <v>75</v>
      </c>
      <c r="O996" s="7" t="s">
        <v>37</v>
      </c>
      <c r="P996" s="6">
        <v>62</v>
      </c>
      <c r="Q996" s="11">
        <v>4.7</v>
      </c>
      <c r="R996" s="7" t="b">
        <v>1</v>
      </c>
      <c r="S996" s="7" t="s">
        <v>30</v>
      </c>
      <c r="T996" s="6">
        <v>47</v>
      </c>
      <c r="U996" s="7" t="s">
        <v>38</v>
      </c>
      <c r="V996" s="12" t="s">
        <v>79</v>
      </c>
      <c r="W996" s="7" t="s">
        <v>93</v>
      </c>
      <c r="X996" s="6">
        <f t="shared" si="63"/>
        <v>645</v>
      </c>
      <c r="Y996" t="str" cm="1">
        <f t="array" ref="Y996">_xlfn.IFS(E996=7.99,"BASIC",E996=11.99,"STANDARD",E996=15.99,"PREMIUM")</f>
        <v>STANDARD</v>
      </c>
      <c r="Z996" s="4">
        <f t="shared" si="61"/>
        <v>3.9286821705426358</v>
      </c>
      <c r="AA996" s="3" t="str" cm="1">
        <f t="array" ref="AA996">_xlfn.IFS(
(F996/(X996/7)) &lt; 5, "Casual",
AND((F996/(X996/7)) &gt;= 5, (F996/(X996/7)) &lt; 15), "Regular",
(F996/(X996/7)) &gt;= 15, "Power"
)</f>
        <v>Casual</v>
      </c>
      <c r="AB996" s="3">
        <f t="shared" si="64"/>
        <v>0.70703125</v>
      </c>
      <c r="AC996" t="str">
        <f t="shared" si="62"/>
        <v>Viewers</v>
      </c>
    </row>
    <row r="997" spans="1:29" x14ac:dyDescent="0.3">
      <c r="A997" s="6">
        <v>6878</v>
      </c>
      <c r="B997" s="7" t="s">
        <v>52</v>
      </c>
      <c r="C997" s="10">
        <v>45408</v>
      </c>
      <c r="D997" s="10">
        <v>45623</v>
      </c>
      <c r="E997" s="13">
        <v>7.99</v>
      </c>
      <c r="F997" s="6">
        <v>136</v>
      </c>
      <c r="G997" s="7" t="s">
        <v>48</v>
      </c>
      <c r="H997" s="6">
        <v>5</v>
      </c>
      <c r="I997" s="6">
        <v>5</v>
      </c>
      <c r="J997" s="7" t="b">
        <v>1</v>
      </c>
      <c r="K997" s="6">
        <v>20</v>
      </c>
      <c r="L997" s="6">
        <v>18</v>
      </c>
      <c r="M997" s="7" t="s">
        <v>43</v>
      </c>
      <c r="N997" s="7" t="s">
        <v>44</v>
      </c>
      <c r="O997" s="7" t="s">
        <v>29</v>
      </c>
      <c r="P997" s="6">
        <v>7</v>
      </c>
      <c r="Q997" s="11">
        <v>4.4000000000000004</v>
      </c>
      <c r="R997" s="7" t="b">
        <v>1</v>
      </c>
      <c r="S997" s="7" t="s">
        <v>30</v>
      </c>
      <c r="T997" s="6">
        <v>4742</v>
      </c>
      <c r="U997" s="7" t="s">
        <v>76</v>
      </c>
      <c r="V997" s="12" t="s">
        <v>32</v>
      </c>
      <c r="W997" s="7" t="s">
        <v>33</v>
      </c>
      <c r="X997" s="6">
        <f t="shared" si="63"/>
        <v>215</v>
      </c>
      <c r="Y997" t="str" cm="1">
        <f t="array" ref="Y997">_xlfn.IFS(E997=7.99,"BASIC",E997=11.99,"STANDARD",E997=15.99,"PREMIUM")</f>
        <v>BASIC</v>
      </c>
      <c r="Z997" s="4">
        <f t="shared" si="61"/>
        <v>4.4279069767441861</v>
      </c>
      <c r="AA997" s="3" t="str" cm="1">
        <f t="array" ref="AA997">_xlfn.IFS(
(F997/(X997/7)) &lt; 5, "Casual",
AND((F997/(X997/7)) &gt;= 5, (F997/(X997/7)) &lt; 15), "Regular",
(F997/(X997/7)) &gt;= 15, "Power"
)</f>
        <v>Casual</v>
      </c>
      <c r="AB997" s="3">
        <f t="shared" si="64"/>
        <v>3.5789473684210527</v>
      </c>
      <c r="AC997" t="str">
        <f t="shared" si="62"/>
        <v>Viewers</v>
      </c>
    </row>
    <row r="998" spans="1:29" x14ac:dyDescent="0.3">
      <c r="A998" s="6">
        <v>5681</v>
      </c>
      <c r="B998" s="7" t="s">
        <v>254</v>
      </c>
      <c r="C998" s="10">
        <v>45420</v>
      </c>
      <c r="D998" s="10">
        <v>45634</v>
      </c>
      <c r="E998" s="13">
        <v>11.99</v>
      </c>
      <c r="F998" s="6">
        <v>159</v>
      </c>
      <c r="G998" s="7" t="s">
        <v>100</v>
      </c>
      <c r="H998" s="6">
        <v>4</v>
      </c>
      <c r="I998" s="6">
        <v>6</v>
      </c>
      <c r="J998" s="7" t="b">
        <v>1</v>
      </c>
      <c r="K998" s="6">
        <v>824</v>
      </c>
      <c r="L998" s="6">
        <v>31</v>
      </c>
      <c r="M998" s="7" t="s">
        <v>55</v>
      </c>
      <c r="N998" s="7" t="s">
        <v>75</v>
      </c>
      <c r="O998" s="7" t="s">
        <v>64</v>
      </c>
      <c r="P998" s="6">
        <v>13</v>
      </c>
      <c r="Q998" s="11">
        <v>3.3</v>
      </c>
      <c r="R998" s="7" t="b">
        <v>0</v>
      </c>
      <c r="S998" s="7" t="s">
        <v>30</v>
      </c>
      <c r="T998" s="6">
        <v>2910</v>
      </c>
      <c r="U998" s="7" t="s">
        <v>38</v>
      </c>
      <c r="V998" s="12" t="s">
        <v>59</v>
      </c>
      <c r="W998" s="7" t="s">
        <v>60</v>
      </c>
      <c r="X998" s="6">
        <f t="shared" si="63"/>
        <v>214</v>
      </c>
      <c r="Y998" t="str" cm="1">
        <f t="array" ref="Y998">_xlfn.IFS(E998=7.99,"BASIC",E998=11.99,"STANDARD",E998=15.99,"PREMIUM")</f>
        <v>STANDARD</v>
      </c>
      <c r="Z998" s="4">
        <f t="shared" si="61"/>
        <v>5.2009345794392523</v>
      </c>
      <c r="AA998" s="3" t="str" cm="1">
        <f t="array" ref="AA998">_xlfn.IFS(
(F998/(X998/7)) &lt; 5, "Casual",
AND((F998/(X998/7)) &gt;= 5, (F998/(X998/7)) &lt; 15), "Regular",
(F998/(X998/7)) &gt;= 15, "Power"
)</f>
        <v>Regular</v>
      </c>
      <c r="AB998" s="3">
        <f t="shared" si="64"/>
        <v>0.18596491228070175</v>
      </c>
      <c r="AC998" t="str">
        <f t="shared" si="62"/>
        <v>Viewers</v>
      </c>
    </row>
    <row r="999" spans="1:29" x14ac:dyDescent="0.3">
      <c r="A999" s="6">
        <v>4448</v>
      </c>
      <c r="B999" s="7" t="s">
        <v>179</v>
      </c>
      <c r="C999" s="10">
        <v>45374</v>
      </c>
      <c r="D999" s="10">
        <v>45642</v>
      </c>
      <c r="E999" s="13">
        <v>11.99</v>
      </c>
      <c r="F999" s="6">
        <v>99</v>
      </c>
      <c r="G999" s="7" t="s">
        <v>48</v>
      </c>
      <c r="H999" s="6">
        <v>4</v>
      </c>
      <c r="I999" s="6">
        <v>2</v>
      </c>
      <c r="J999" s="7" t="b">
        <v>0</v>
      </c>
      <c r="K999" s="6">
        <v>319</v>
      </c>
      <c r="L999" s="6">
        <v>187</v>
      </c>
      <c r="M999" s="7" t="s">
        <v>68</v>
      </c>
      <c r="N999" s="7" t="s">
        <v>56</v>
      </c>
      <c r="O999" s="7" t="s">
        <v>64</v>
      </c>
      <c r="P999" s="6">
        <v>58</v>
      </c>
      <c r="Q999" s="11">
        <v>3.6</v>
      </c>
      <c r="R999" s="7" t="b">
        <v>0</v>
      </c>
      <c r="S999" s="7" t="s">
        <v>30</v>
      </c>
      <c r="T999" s="6">
        <v>1180</v>
      </c>
      <c r="U999" s="7" t="s">
        <v>76</v>
      </c>
      <c r="V999" s="12" t="s">
        <v>32</v>
      </c>
      <c r="W999" s="7" t="s">
        <v>60</v>
      </c>
      <c r="X999" s="6">
        <f t="shared" si="63"/>
        <v>268</v>
      </c>
      <c r="Y999" t="str" cm="1">
        <f t="array" ref="Y999">_xlfn.IFS(E999=7.99,"BASIC",E999=11.99,"STANDARD",E999=15.99,"PREMIUM")</f>
        <v>STANDARD</v>
      </c>
      <c r="Z999" s="4">
        <f t="shared" si="61"/>
        <v>2.5858208955223883</v>
      </c>
      <c r="AA999" s="3" t="str" cm="1">
        <f t="array" ref="AA999">_xlfn.IFS(
(F999/(X999/7)) &lt; 5, "Casual",
AND((F999/(X999/7)) &gt;= 5, (F999/(X999/7)) &lt; 15), "Regular",
(F999/(X999/7)) &gt;= 15, "Power"
)</f>
        <v>Casual</v>
      </c>
      <c r="AB999" s="3">
        <f t="shared" si="64"/>
        <v>0.19565217391304349</v>
      </c>
      <c r="AC999" t="str">
        <f t="shared" si="62"/>
        <v>Viewers</v>
      </c>
    </row>
    <row r="1000" spans="1:29" x14ac:dyDescent="0.3">
      <c r="A1000" s="6">
        <v>5795</v>
      </c>
      <c r="B1000" s="7" t="s">
        <v>224</v>
      </c>
      <c r="C1000" s="10">
        <v>45255</v>
      </c>
      <c r="D1000" s="10">
        <v>45639</v>
      </c>
      <c r="E1000" s="13">
        <v>11.99</v>
      </c>
      <c r="F1000" s="6">
        <v>157</v>
      </c>
      <c r="G1000" s="7" t="s">
        <v>26</v>
      </c>
      <c r="H1000" s="6">
        <v>4</v>
      </c>
      <c r="I1000" s="6">
        <v>2</v>
      </c>
      <c r="J1000" s="7" t="b">
        <v>0</v>
      </c>
      <c r="K1000" s="6">
        <v>754</v>
      </c>
      <c r="L1000" s="6">
        <v>23</v>
      </c>
      <c r="M1000" s="7" t="s">
        <v>74</v>
      </c>
      <c r="N1000" s="7" t="s">
        <v>44</v>
      </c>
      <c r="O1000" s="7" t="s">
        <v>57</v>
      </c>
      <c r="P1000" s="6">
        <v>43</v>
      </c>
      <c r="Q1000" s="11">
        <v>4.4000000000000004</v>
      </c>
      <c r="R1000" s="7" t="b">
        <v>0</v>
      </c>
      <c r="S1000" s="7" t="s">
        <v>30</v>
      </c>
      <c r="T1000" s="6">
        <v>1965</v>
      </c>
      <c r="U1000" s="7" t="s">
        <v>65</v>
      </c>
      <c r="V1000" s="12" t="s">
        <v>39</v>
      </c>
      <c r="W1000" s="7" t="s">
        <v>60</v>
      </c>
      <c r="X1000" s="6">
        <f t="shared" si="63"/>
        <v>384</v>
      </c>
      <c r="Y1000" t="str" cm="1">
        <f t="array" ref="Y1000">_xlfn.IFS(E1000=7.99,"BASIC",E1000=11.99,"STANDARD",E1000=15.99,"PREMIUM")</f>
        <v>STANDARD</v>
      </c>
      <c r="Z1000" s="4">
        <f t="shared" si="61"/>
        <v>2.861979166666667</v>
      </c>
      <c r="AA1000" s="3" t="str" cm="1">
        <f t="array" ref="AA1000">_xlfn.IFS(
(F1000/(X1000/7)) &lt; 5, "Casual",
AND((F1000/(X1000/7)) &gt;= 5, (F1000/(X1000/7)) &lt; 15), "Regular",
(F1000/(X1000/7)) &gt;= 15, "Power"
)</f>
        <v>Casual</v>
      </c>
      <c r="AB1000" s="3">
        <f t="shared" si="64"/>
        <v>0.20205920205920205</v>
      </c>
      <c r="AC1000" t="str">
        <f t="shared" si="62"/>
        <v>Viewers</v>
      </c>
    </row>
    <row r="1001" spans="1:29" x14ac:dyDescent="0.3">
      <c r="A1001" s="6">
        <v>5320</v>
      </c>
      <c r="B1001" s="7" t="s">
        <v>201</v>
      </c>
      <c r="C1001" s="10">
        <v>45197</v>
      </c>
      <c r="D1001" s="10">
        <v>45635</v>
      </c>
      <c r="E1001" s="13">
        <v>11.99</v>
      </c>
      <c r="F1001" s="6">
        <v>123</v>
      </c>
      <c r="G1001" s="7" t="s">
        <v>51</v>
      </c>
      <c r="H1001" s="6">
        <v>1</v>
      </c>
      <c r="I1001" s="6">
        <v>6</v>
      </c>
      <c r="J1001" s="7" t="b">
        <v>0</v>
      </c>
      <c r="K1001" s="6">
        <v>718</v>
      </c>
      <c r="L1001" s="6">
        <v>25</v>
      </c>
      <c r="M1001" s="7" t="s">
        <v>27</v>
      </c>
      <c r="N1001" s="7" t="s">
        <v>28</v>
      </c>
      <c r="O1001" s="7" t="s">
        <v>37</v>
      </c>
      <c r="P1001" s="6">
        <v>73</v>
      </c>
      <c r="Q1001" s="11">
        <v>4.4000000000000004</v>
      </c>
      <c r="R1001" s="7" t="b">
        <v>0</v>
      </c>
      <c r="S1001" s="7" t="s">
        <v>30</v>
      </c>
      <c r="T1001" s="6">
        <v>3179</v>
      </c>
      <c r="U1001" s="7" t="s">
        <v>58</v>
      </c>
      <c r="V1001" s="12" t="s">
        <v>39</v>
      </c>
      <c r="W1001" s="7" t="s">
        <v>60</v>
      </c>
      <c r="X1001" s="6">
        <f t="shared" si="63"/>
        <v>438</v>
      </c>
      <c r="Y1001" t="str" cm="1">
        <f t="array" ref="Y1001">_xlfn.IFS(E1001=7.99,"BASIC",E1001=11.99,"STANDARD",E1001=15.99,"PREMIUM")</f>
        <v>STANDARD</v>
      </c>
      <c r="Z1001" s="4">
        <f t="shared" si="61"/>
        <v>1.9657534246575343</v>
      </c>
      <c r="AA1001" s="3" t="str" cm="1">
        <f t="array" ref="AA1001">_xlfn.IFS(
(F1001/(X1001/7)) &lt; 5, "Casual",
AND((F1001/(X1001/7)) &gt;= 5, (F1001/(X1001/7)) &lt; 15), "Regular",
(F1001/(X1001/7)) &gt;= 15, "Power"
)</f>
        <v>Casual</v>
      </c>
      <c r="AB1001" s="3">
        <f t="shared" si="64"/>
        <v>0.16554508748317631</v>
      </c>
      <c r="AC1001" t="str">
        <f>IF(F1001/(K1001+L1001) &lt; 0.15," Browsers","Viewers")</f>
        <v>Viewers</v>
      </c>
    </row>
    <row r="1006" spans="1:29" x14ac:dyDescent="0.3">
      <c r="C1006" s="10"/>
    </row>
    <row r="1007" spans="1:29" x14ac:dyDescent="0.3">
      <c r="C1007" s="10"/>
    </row>
    <row r="1008" spans="1:29" x14ac:dyDescent="0.3">
      <c r="C1008" s="10"/>
    </row>
    <row r="1009" spans="3:3" x14ac:dyDescent="0.3">
      <c r="C1009" s="10"/>
    </row>
    <row r="1010" spans="3:3" x14ac:dyDescent="0.3">
      <c r="C1010" s="10"/>
    </row>
    <row r="1011" spans="3:3" x14ac:dyDescent="0.3">
      <c r="C1011" s="10"/>
    </row>
    <row r="1012" spans="3:3" x14ac:dyDescent="0.3">
      <c r="C1012" s="10"/>
    </row>
    <row r="1013" spans="3:3" x14ac:dyDescent="0.3">
      <c r="C1013" s="10"/>
    </row>
    <row r="1014" spans="3:3" x14ac:dyDescent="0.3">
      <c r="C1014" s="10"/>
    </row>
    <row r="1015" spans="3:3" x14ac:dyDescent="0.3">
      <c r="C1015" s="10"/>
    </row>
    <row r="1016" spans="3:3" x14ac:dyDescent="0.3">
      <c r="C1016" s="10"/>
    </row>
    <row r="1017" spans="3:3" x14ac:dyDescent="0.3">
      <c r="C1017" s="10"/>
    </row>
    <row r="1018" spans="3:3" x14ac:dyDescent="0.3">
      <c r="C1018" s="10"/>
    </row>
    <row r="1019" spans="3:3" x14ac:dyDescent="0.3">
      <c r="C1019" s="10"/>
    </row>
    <row r="1020" spans="3:3" x14ac:dyDescent="0.3">
      <c r="C1020" s="10"/>
    </row>
    <row r="1021" spans="3:3" x14ac:dyDescent="0.3">
      <c r="C1021" s="10"/>
    </row>
    <row r="1022" spans="3:3" x14ac:dyDescent="0.3">
      <c r="C1022" s="10"/>
    </row>
    <row r="1023" spans="3:3" x14ac:dyDescent="0.3">
      <c r="C1023" s="10"/>
    </row>
    <row r="1024" spans="3:3" x14ac:dyDescent="0.3">
      <c r="C1024" s="10"/>
    </row>
  </sheetData>
  <conditionalFormatting sqref="A2:A1001">
    <cfRule type="duplicateValues" dxfId="1" priority="2"/>
  </conditionalFormatting>
  <conditionalFormatting sqref="B2:B1001">
    <cfRule type="duplicateValues" dxfId="0"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30FC2-A96A-48B1-A3B8-3B7E4A37BE5C}">
  <dimension ref="B1:AO41"/>
  <sheetViews>
    <sheetView showGridLines="0" topLeftCell="Z1" workbookViewId="0">
      <pane ySplit="1" topLeftCell="A9" activePane="bottomLeft" state="frozen"/>
      <selection pane="bottomLeft" activeCell="AF25" sqref="AF25"/>
    </sheetView>
  </sheetViews>
  <sheetFormatPr defaultRowHeight="14.4" x14ac:dyDescent="0.3"/>
  <cols>
    <col min="1" max="1" width="5.77734375" customWidth="1"/>
    <col min="2" max="2" width="5.77734375" style="25" customWidth="1"/>
    <col min="3" max="9" width="20.77734375" customWidth="1"/>
    <col min="10" max="10" width="5.77734375" style="25" customWidth="1"/>
    <col min="11" max="11" width="5.77734375" customWidth="1"/>
    <col min="12" max="15" width="22.77734375" customWidth="1"/>
    <col min="16" max="16" width="5.77734375" style="25" customWidth="1"/>
    <col min="17" max="17" width="5.77734375" customWidth="1"/>
    <col min="18" max="25" width="20.77734375" customWidth="1"/>
    <col min="26" max="26" width="5.77734375" style="25" customWidth="1"/>
    <col min="27" max="27" width="5.77734375" customWidth="1"/>
    <col min="28" max="33" width="20.77734375" customWidth="1"/>
    <col min="34" max="34" width="5.77734375" style="25" customWidth="1"/>
    <col min="35" max="35" width="5.77734375" customWidth="1"/>
    <col min="36" max="40" width="15.77734375" customWidth="1"/>
    <col min="41" max="41" width="5.77734375" style="25" customWidth="1"/>
    <col min="42" max="42" width="5.77734375" customWidth="1"/>
  </cols>
  <sheetData>
    <row r="1" spans="2:41" s="32" customFormat="1" ht="28.8" customHeight="1" x14ac:dyDescent="0.3">
      <c r="B1" s="31"/>
      <c r="C1" s="86" t="s">
        <v>810</v>
      </c>
      <c r="D1" s="86"/>
      <c r="E1" s="86"/>
      <c r="F1" s="86"/>
      <c r="G1" s="86"/>
      <c r="H1" s="86"/>
      <c r="I1" s="86"/>
      <c r="J1" s="31"/>
      <c r="L1" s="86" t="s">
        <v>751</v>
      </c>
      <c r="M1" s="86"/>
      <c r="N1" s="86"/>
      <c r="O1" s="86"/>
      <c r="P1" s="30"/>
      <c r="R1" s="86" t="s">
        <v>765</v>
      </c>
      <c r="S1" s="86"/>
      <c r="T1" s="86"/>
      <c r="U1" s="86"/>
      <c r="V1" s="86"/>
      <c r="W1" s="86"/>
      <c r="X1" s="86"/>
      <c r="Y1" s="86"/>
      <c r="Z1" s="30"/>
      <c r="AB1" s="86" t="s">
        <v>769</v>
      </c>
      <c r="AC1" s="86"/>
      <c r="AD1" s="86"/>
      <c r="AE1" s="86"/>
      <c r="AF1" s="86"/>
      <c r="AG1" s="86"/>
      <c r="AH1" s="30"/>
      <c r="AJ1" s="86" t="s">
        <v>807</v>
      </c>
      <c r="AK1" s="86"/>
      <c r="AL1" s="86"/>
      <c r="AM1" s="86"/>
      <c r="AN1" s="86"/>
      <c r="AO1" s="30"/>
    </row>
    <row r="2" spans="2:41" s="29" customFormat="1" ht="33.6" customHeight="1" x14ac:dyDescent="0.3">
      <c r="B2" s="28"/>
      <c r="C2" s="87" t="s">
        <v>808</v>
      </c>
      <c r="D2" s="87"/>
      <c r="E2" s="87"/>
      <c r="F2" s="33"/>
      <c r="G2" s="87" t="s">
        <v>809</v>
      </c>
      <c r="H2" s="87"/>
      <c r="I2" s="87"/>
      <c r="J2" s="28"/>
      <c r="L2" s="88" t="s">
        <v>814</v>
      </c>
      <c r="M2" s="88"/>
      <c r="N2" s="89" t="s">
        <v>813</v>
      </c>
      <c r="O2" s="89"/>
      <c r="P2" s="28"/>
      <c r="R2" s="87" t="s">
        <v>815</v>
      </c>
      <c r="S2" s="87"/>
      <c r="T2" s="87"/>
      <c r="U2" s="87" t="s">
        <v>816</v>
      </c>
      <c r="V2" s="87"/>
      <c r="W2" s="87" t="s">
        <v>817</v>
      </c>
      <c r="X2" s="87"/>
      <c r="Y2" s="87"/>
      <c r="Z2" s="28"/>
      <c r="AB2" s="88" t="s">
        <v>818</v>
      </c>
      <c r="AC2" s="88"/>
      <c r="AD2" s="88"/>
      <c r="AE2" s="88" t="s">
        <v>819</v>
      </c>
      <c r="AF2" s="88"/>
      <c r="AG2" s="88"/>
      <c r="AH2" s="28"/>
      <c r="AJ2" s="88" t="s">
        <v>826</v>
      </c>
      <c r="AK2" s="88"/>
      <c r="AL2" s="88"/>
      <c r="AM2" s="88" t="s">
        <v>827</v>
      </c>
      <c r="AN2" s="88"/>
      <c r="AO2" s="28"/>
    </row>
    <row r="3" spans="2:41" x14ac:dyDescent="0.3">
      <c r="AJ3" s="2"/>
    </row>
    <row r="4" spans="2:41" x14ac:dyDescent="0.3">
      <c r="D4" s="17" t="s">
        <v>805</v>
      </c>
      <c r="E4" s="15" t="s">
        <v>748</v>
      </c>
      <c r="F4" s="15" t="s">
        <v>749</v>
      </c>
      <c r="H4" s="35" t="s">
        <v>805</v>
      </c>
      <c r="I4" s="35" t="s">
        <v>828</v>
      </c>
      <c r="L4" s="17" t="s">
        <v>753</v>
      </c>
      <c r="M4" s="15" t="s">
        <v>756</v>
      </c>
      <c r="N4" s="15" t="s">
        <v>757</v>
      </c>
      <c r="R4" s="17" t="s">
        <v>740</v>
      </c>
      <c r="S4" s="17" t="s">
        <v>744</v>
      </c>
      <c r="T4" s="15"/>
      <c r="U4" s="15"/>
      <c r="V4" s="15"/>
      <c r="W4" s="15"/>
      <c r="X4" s="15"/>
      <c r="Y4" s="15"/>
      <c r="AJ4" s="48" t="s">
        <v>805</v>
      </c>
      <c r="AK4" s="15" t="s">
        <v>792</v>
      </c>
    </row>
    <row r="5" spans="2:41" x14ac:dyDescent="0.3">
      <c r="D5" s="15" t="s">
        <v>741</v>
      </c>
      <c r="E5" s="15">
        <v>323</v>
      </c>
      <c r="F5" s="37">
        <v>2580.7699999999877</v>
      </c>
      <c r="H5" s="36" t="s">
        <v>741</v>
      </c>
      <c r="I5" s="36">
        <v>7.99</v>
      </c>
      <c r="L5" s="15" t="s">
        <v>59</v>
      </c>
      <c r="M5" s="14">
        <v>522.77777777777783</v>
      </c>
      <c r="N5" s="14">
        <v>109.94444444444444</v>
      </c>
      <c r="R5" s="17" t="s">
        <v>753</v>
      </c>
      <c r="S5" s="15" t="s">
        <v>26</v>
      </c>
      <c r="T5" s="15" t="s">
        <v>73</v>
      </c>
      <c r="U5" s="15" t="s">
        <v>51</v>
      </c>
      <c r="V5" s="15" t="s">
        <v>36</v>
      </c>
      <c r="W5" s="15" t="s">
        <v>63</v>
      </c>
      <c r="X5" s="15" t="s">
        <v>100</v>
      </c>
      <c r="Y5" s="15" t="s">
        <v>48</v>
      </c>
      <c r="AB5" s="17" t="s">
        <v>770</v>
      </c>
      <c r="AC5" s="15" t="s">
        <v>740</v>
      </c>
      <c r="AE5" s="17" t="s">
        <v>777</v>
      </c>
      <c r="AF5" s="15" t="s">
        <v>740</v>
      </c>
      <c r="AG5" s="15" t="s">
        <v>752</v>
      </c>
    </row>
    <row r="6" spans="2:41" x14ac:dyDescent="0.3">
      <c r="D6" s="15" t="s">
        <v>743</v>
      </c>
      <c r="E6" s="15">
        <v>345</v>
      </c>
      <c r="F6" s="37">
        <v>4136.5499999999638</v>
      </c>
      <c r="H6" s="36" t="s">
        <v>743</v>
      </c>
      <c r="I6" s="36">
        <v>11.99</v>
      </c>
      <c r="L6" s="15" t="s">
        <v>39</v>
      </c>
      <c r="M6" s="14">
        <v>502.71</v>
      </c>
      <c r="N6" s="14">
        <v>93.155000000000001</v>
      </c>
      <c r="R6" s="15" t="s">
        <v>59</v>
      </c>
      <c r="S6" s="15">
        <v>26</v>
      </c>
      <c r="T6" s="15">
        <v>23</v>
      </c>
      <c r="U6" s="15">
        <v>36</v>
      </c>
      <c r="V6" s="15">
        <v>25</v>
      </c>
      <c r="W6" s="15">
        <v>23</v>
      </c>
      <c r="X6" s="15">
        <v>24</v>
      </c>
      <c r="Y6" s="15">
        <v>23</v>
      </c>
      <c r="AB6" s="15" t="s">
        <v>30</v>
      </c>
      <c r="AC6" s="15">
        <v>1000</v>
      </c>
      <c r="AE6" s="15" t="s">
        <v>806</v>
      </c>
      <c r="AF6" s="15">
        <v>499</v>
      </c>
      <c r="AG6" s="14">
        <v>257.42484969939881</v>
      </c>
      <c r="AJ6" s="17" t="s">
        <v>740</v>
      </c>
      <c r="AK6" s="17" t="s">
        <v>744</v>
      </c>
      <c r="AL6" s="15"/>
      <c r="AM6" s="15"/>
      <c r="AN6" s="15"/>
    </row>
    <row r="7" spans="2:41" x14ac:dyDescent="0.3">
      <c r="D7" s="15" t="s">
        <v>742</v>
      </c>
      <c r="E7" s="15">
        <v>332</v>
      </c>
      <c r="F7" s="37">
        <v>5308.6799999999566</v>
      </c>
      <c r="H7" s="36" t="s">
        <v>742</v>
      </c>
      <c r="I7" s="36">
        <v>15.99</v>
      </c>
      <c r="L7" s="15" t="s">
        <v>32</v>
      </c>
      <c r="M7" s="14">
        <v>532.0386473429952</v>
      </c>
      <c r="N7" s="14">
        <v>98.80193236714976</v>
      </c>
      <c r="R7" s="15" t="s">
        <v>39</v>
      </c>
      <c r="S7" s="15">
        <v>33</v>
      </c>
      <c r="T7" s="15">
        <v>29</v>
      </c>
      <c r="U7" s="15">
        <v>21</v>
      </c>
      <c r="V7" s="15">
        <v>31</v>
      </c>
      <c r="W7" s="15">
        <v>36</v>
      </c>
      <c r="X7" s="15">
        <v>27</v>
      </c>
      <c r="Y7" s="15">
        <v>23</v>
      </c>
      <c r="AB7" s="15" t="s">
        <v>739</v>
      </c>
      <c r="AC7" s="15">
        <v>1000</v>
      </c>
      <c r="AE7" s="15" t="s">
        <v>790</v>
      </c>
      <c r="AF7" s="15">
        <v>501</v>
      </c>
      <c r="AG7" s="14">
        <v>251.61876247504989</v>
      </c>
      <c r="AJ7" s="17" t="s">
        <v>791</v>
      </c>
      <c r="AK7" s="15" t="s">
        <v>56</v>
      </c>
      <c r="AL7" s="15" t="s">
        <v>75</v>
      </c>
      <c r="AM7" s="15" t="s">
        <v>44</v>
      </c>
      <c r="AN7" s="15" t="s">
        <v>28</v>
      </c>
    </row>
    <row r="8" spans="2:41" x14ac:dyDescent="0.3">
      <c r="D8" s="15" t="s">
        <v>739</v>
      </c>
      <c r="E8" s="15">
        <v>1000</v>
      </c>
      <c r="F8" s="37">
        <v>12025.99999999984</v>
      </c>
      <c r="H8" s="13"/>
      <c r="I8" s="13"/>
      <c r="L8" s="15" t="s">
        <v>69</v>
      </c>
      <c r="M8" s="14">
        <v>500.98557692307691</v>
      </c>
      <c r="N8" s="14">
        <v>105.87980769230769</v>
      </c>
      <c r="R8" s="15" t="s">
        <v>32</v>
      </c>
      <c r="S8" s="15">
        <v>32</v>
      </c>
      <c r="T8" s="15">
        <v>29</v>
      </c>
      <c r="U8" s="15">
        <v>22</v>
      </c>
      <c r="V8" s="15">
        <v>27</v>
      </c>
      <c r="W8" s="15">
        <v>34</v>
      </c>
      <c r="X8" s="15">
        <v>32</v>
      </c>
      <c r="Y8" s="15">
        <v>31</v>
      </c>
      <c r="AE8" s="15" t="s">
        <v>739</v>
      </c>
      <c r="AF8" s="15">
        <v>1000</v>
      </c>
      <c r="AG8" s="14">
        <v>254.51599999999999</v>
      </c>
      <c r="AJ8" s="15" t="s">
        <v>68</v>
      </c>
      <c r="AK8" s="15">
        <v>22</v>
      </c>
      <c r="AL8" s="15">
        <v>44</v>
      </c>
      <c r="AM8" s="15">
        <v>38</v>
      </c>
      <c r="AN8" s="15">
        <v>36</v>
      </c>
    </row>
    <row r="9" spans="2:41" x14ac:dyDescent="0.3">
      <c r="L9" s="15" t="s">
        <v>79</v>
      </c>
      <c r="M9" s="14">
        <v>521.55121951219508</v>
      </c>
      <c r="N9" s="14">
        <v>91.951219512195124</v>
      </c>
      <c r="R9" s="15" t="s">
        <v>69</v>
      </c>
      <c r="S9" s="15">
        <v>34</v>
      </c>
      <c r="T9" s="15">
        <v>26</v>
      </c>
      <c r="U9" s="15">
        <v>22</v>
      </c>
      <c r="V9" s="15">
        <v>31</v>
      </c>
      <c r="W9" s="15">
        <v>32</v>
      </c>
      <c r="X9" s="15">
        <v>36</v>
      </c>
      <c r="Y9" s="15">
        <v>27</v>
      </c>
      <c r="AJ9" s="15" t="s">
        <v>43</v>
      </c>
      <c r="AK9" s="15">
        <v>34</v>
      </c>
      <c r="AL9" s="15">
        <v>27</v>
      </c>
      <c r="AM9" s="15">
        <v>36</v>
      </c>
      <c r="AN9" s="15">
        <v>42</v>
      </c>
    </row>
    <row r="10" spans="2:41" x14ac:dyDescent="0.3">
      <c r="L10" s="15" t="s">
        <v>739</v>
      </c>
      <c r="M10" s="14">
        <v>515.89700000000005</v>
      </c>
      <c r="N10" s="14">
        <v>99.745999999999995</v>
      </c>
      <c r="R10" s="15" t="s">
        <v>79</v>
      </c>
      <c r="S10" s="15">
        <v>25</v>
      </c>
      <c r="T10" s="15">
        <v>39</v>
      </c>
      <c r="U10" s="15">
        <v>29</v>
      </c>
      <c r="V10" s="15">
        <v>28</v>
      </c>
      <c r="W10" s="15">
        <v>32</v>
      </c>
      <c r="X10" s="15">
        <v>27</v>
      </c>
      <c r="Y10" s="15">
        <v>25</v>
      </c>
      <c r="AB10" s="17" t="s">
        <v>771</v>
      </c>
      <c r="AC10" s="15" t="s">
        <v>740</v>
      </c>
      <c r="AJ10" s="15" t="s">
        <v>92</v>
      </c>
      <c r="AK10" s="15">
        <v>39</v>
      </c>
      <c r="AL10" s="15">
        <v>41</v>
      </c>
      <c r="AM10" s="15">
        <v>31</v>
      </c>
      <c r="AN10" s="15">
        <v>40</v>
      </c>
    </row>
    <row r="11" spans="2:41" x14ac:dyDescent="0.3">
      <c r="D11" s="17" t="s">
        <v>750</v>
      </c>
      <c r="E11" s="17" t="s">
        <v>744</v>
      </c>
      <c r="F11" s="15"/>
      <c r="G11" s="15"/>
      <c r="J11" s="26"/>
      <c r="AB11" s="47" t="s">
        <v>772</v>
      </c>
      <c r="AC11" s="15">
        <v>207</v>
      </c>
      <c r="AE11" s="17" t="s">
        <v>740</v>
      </c>
      <c r="AF11" s="17" t="s">
        <v>744</v>
      </c>
      <c r="AG11" s="15"/>
      <c r="AJ11" s="15" t="s">
        <v>74</v>
      </c>
      <c r="AK11" s="15">
        <v>31</v>
      </c>
      <c r="AL11" s="15">
        <v>35</v>
      </c>
      <c r="AM11" s="15">
        <v>43</v>
      </c>
      <c r="AN11" s="15">
        <v>37</v>
      </c>
    </row>
    <row r="12" spans="2:41" x14ac:dyDescent="0.3">
      <c r="D12" s="17" t="s">
        <v>754</v>
      </c>
      <c r="E12" s="15" t="s">
        <v>741</v>
      </c>
      <c r="F12" s="15" t="s">
        <v>743</v>
      </c>
      <c r="G12" s="15" t="s">
        <v>742</v>
      </c>
      <c r="J12" s="26"/>
      <c r="AB12" s="47" t="s">
        <v>773</v>
      </c>
      <c r="AC12" s="15">
        <v>215</v>
      </c>
      <c r="AE12" s="17" t="s">
        <v>820</v>
      </c>
      <c r="AF12" s="15" t="s">
        <v>790</v>
      </c>
      <c r="AG12" s="15" t="s">
        <v>789</v>
      </c>
      <c r="AJ12" s="15" t="s">
        <v>55</v>
      </c>
      <c r="AK12" s="15">
        <v>25</v>
      </c>
      <c r="AL12" s="15">
        <v>29</v>
      </c>
      <c r="AM12" s="15">
        <v>39</v>
      </c>
      <c r="AN12" s="15">
        <v>23</v>
      </c>
    </row>
    <row r="13" spans="2:41" x14ac:dyDescent="0.3">
      <c r="D13" s="15" t="s">
        <v>745</v>
      </c>
      <c r="E13" s="37">
        <v>31.96</v>
      </c>
      <c r="F13" s="37">
        <v>95.919999999999987</v>
      </c>
      <c r="G13" s="37">
        <v>95.94</v>
      </c>
      <c r="J13" s="26"/>
      <c r="L13" s="17" t="s">
        <v>753</v>
      </c>
      <c r="M13" s="15" t="s">
        <v>755</v>
      </c>
      <c r="R13" s="17" t="s">
        <v>766</v>
      </c>
      <c r="S13" s="15" t="s">
        <v>829</v>
      </c>
      <c r="T13" s="15" t="s">
        <v>768</v>
      </c>
      <c r="AB13" s="47" t="s">
        <v>774</v>
      </c>
      <c r="AC13" s="15">
        <v>196</v>
      </c>
      <c r="AE13" s="15" t="s">
        <v>787</v>
      </c>
      <c r="AF13" s="15">
        <v>258</v>
      </c>
      <c r="AG13" s="15">
        <v>221</v>
      </c>
      <c r="AJ13" s="15" t="s">
        <v>49</v>
      </c>
      <c r="AK13" s="15">
        <v>33</v>
      </c>
      <c r="AL13" s="15">
        <v>38</v>
      </c>
      <c r="AM13" s="15">
        <v>31</v>
      </c>
      <c r="AN13" s="15">
        <v>48</v>
      </c>
    </row>
    <row r="14" spans="2:41" x14ac:dyDescent="0.3">
      <c r="D14" s="24" t="s">
        <v>804</v>
      </c>
      <c r="E14" s="37">
        <v>31.96</v>
      </c>
      <c r="F14" s="37">
        <v>95.919999999999987</v>
      </c>
      <c r="G14" s="37">
        <v>95.94</v>
      </c>
      <c r="J14" s="27"/>
      <c r="L14" s="15" t="s">
        <v>59</v>
      </c>
      <c r="M14" s="14">
        <v>237.0611111111111</v>
      </c>
      <c r="R14" s="15" t="s">
        <v>31</v>
      </c>
      <c r="S14" s="15">
        <v>209</v>
      </c>
      <c r="T14" s="18">
        <v>0.20899999999999999</v>
      </c>
      <c r="AB14" s="47" t="s">
        <v>775</v>
      </c>
      <c r="AC14" s="15">
        <v>191</v>
      </c>
      <c r="AE14" s="15" t="s">
        <v>788</v>
      </c>
      <c r="AF14" s="15">
        <v>80</v>
      </c>
      <c r="AG14" s="15">
        <v>99</v>
      </c>
      <c r="AJ14" s="15" t="s">
        <v>27</v>
      </c>
      <c r="AK14" s="15">
        <v>44</v>
      </c>
      <c r="AL14" s="15">
        <v>40</v>
      </c>
      <c r="AM14" s="15">
        <v>31</v>
      </c>
      <c r="AN14" s="15">
        <v>43</v>
      </c>
    </row>
    <row r="15" spans="2:41" x14ac:dyDescent="0.3">
      <c r="D15" s="15" t="s">
        <v>746</v>
      </c>
      <c r="E15" s="37">
        <v>1382.2699999999998</v>
      </c>
      <c r="F15" s="37">
        <v>1978.35</v>
      </c>
      <c r="G15" s="37">
        <v>2766.2700000000009</v>
      </c>
      <c r="J15" s="27"/>
      <c r="L15" s="15" t="s">
        <v>39</v>
      </c>
      <c r="M15" s="14">
        <v>268.52</v>
      </c>
      <c r="R15" s="15" t="s">
        <v>76</v>
      </c>
      <c r="S15" s="15">
        <v>215</v>
      </c>
      <c r="T15" s="18">
        <v>0.215</v>
      </c>
      <c r="AB15" s="47" t="s">
        <v>776</v>
      </c>
      <c r="AC15" s="15">
        <v>191</v>
      </c>
      <c r="AE15" s="15" t="s">
        <v>786</v>
      </c>
      <c r="AF15" s="15">
        <v>163</v>
      </c>
      <c r="AG15" s="15">
        <v>179</v>
      </c>
      <c r="AJ15" s="15" t="s">
        <v>739</v>
      </c>
      <c r="AK15" s="15">
        <v>228</v>
      </c>
      <c r="AL15" s="15">
        <v>254</v>
      </c>
      <c r="AM15" s="15">
        <v>249</v>
      </c>
      <c r="AN15" s="15">
        <v>269</v>
      </c>
    </row>
    <row r="16" spans="2:41" x14ac:dyDescent="0.3">
      <c r="D16" s="24" t="s">
        <v>793</v>
      </c>
      <c r="E16" s="37">
        <v>87.89</v>
      </c>
      <c r="F16" s="37">
        <v>119.89999999999998</v>
      </c>
      <c r="G16" s="37">
        <v>367.7700000000001</v>
      </c>
      <c r="J16" s="27"/>
      <c r="L16" s="15" t="s">
        <v>32</v>
      </c>
      <c r="M16" s="14">
        <v>244.95652173913044</v>
      </c>
      <c r="R16" s="15" t="s">
        <v>65</v>
      </c>
      <c r="S16" s="15">
        <v>178</v>
      </c>
      <c r="T16" s="18">
        <v>0.17799999999999999</v>
      </c>
      <c r="AB16" s="15" t="s">
        <v>739</v>
      </c>
      <c r="AC16" s="15">
        <v>1000</v>
      </c>
      <c r="AE16" s="15" t="s">
        <v>739</v>
      </c>
      <c r="AF16" s="15">
        <v>501</v>
      </c>
      <c r="AG16" s="15">
        <v>499</v>
      </c>
    </row>
    <row r="17" spans="4:39" x14ac:dyDescent="0.3">
      <c r="D17" s="24" t="s">
        <v>794</v>
      </c>
      <c r="E17" s="37">
        <v>95.88</v>
      </c>
      <c r="F17" s="37">
        <v>275.7700000000001</v>
      </c>
      <c r="G17" s="37">
        <v>175.89000000000001</v>
      </c>
      <c r="J17" s="27"/>
      <c r="L17" s="15" t="s">
        <v>69</v>
      </c>
      <c r="M17" s="14">
        <v>255.66346153846155</v>
      </c>
      <c r="R17" s="15" t="s">
        <v>38</v>
      </c>
      <c r="S17" s="15">
        <v>189</v>
      </c>
      <c r="T17" s="18">
        <v>0.189</v>
      </c>
    </row>
    <row r="18" spans="4:39" x14ac:dyDescent="0.3">
      <c r="D18" s="24" t="s">
        <v>795</v>
      </c>
      <c r="E18" s="37">
        <v>127.83999999999997</v>
      </c>
      <c r="F18" s="37">
        <v>131.88999999999999</v>
      </c>
      <c r="G18" s="37">
        <v>175.89000000000001</v>
      </c>
      <c r="L18" s="15" t="s">
        <v>79</v>
      </c>
      <c r="M18" s="14">
        <v>264.66829268292685</v>
      </c>
      <c r="R18" s="15" t="s">
        <v>58</v>
      </c>
      <c r="S18" s="15">
        <v>209</v>
      </c>
      <c r="T18" s="18">
        <v>0.20899999999999999</v>
      </c>
      <c r="AE18" s="91" t="s">
        <v>820</v>
      </c>
      <c r="AF18" s="91"/>
      <c r="AG18" s="91"/>
      <c r="AJ18" s="17" t="s">
        <v>740</v>
      </c>
      <c r="AK18" s="17" t="s">
        <v>744</v>
      </c>
      <c r="AL18" s="15"/>
      <c r="AM18" s="15"/>
    </row>
    <row r="19" spans="4:39" x14ac:dyDescent="0.3">
      <c r="D19" s="24" t="s">
        <v>796</v>
      </c>
      <c r="E19" s="37">
        <v>175.78000000000003</v>
      </c>
      <c r="F19" s="37">
        <v>179.85000000000002</v>
      </c>
      <c r="G19" s="37">
        <v>143.91</v>
      </c>
      <c r="L19" s="15" t="s">
        <v>739</v>
      </c>
      <c r="M19" s="14">
        <v>254.51599999999999</v>
      </c>
      <c r="R19" s="15" t="s">
        <v>739</v>
      </c>
      <c r="S19" s="15">
        <v>1000</v>
      </c>
      <c r="T19" s="18">
        <v>1</v>
      </c>
      <c r="AE19" s="90" t="s">
        <v>821</v>
      </c>
      <c r="AF19" s="90"/>
      <c r="AG19" s="90"/>
      <c r="AJ19" s="17" t="s">
        <v>791</v>
      </c>
      <c r="AK19" s="15" t="s">
        <v>741</v>
      </c>
      <c r="AL19" s="15" t="s">
        <v>743</v>
      </c>
      <c r="AM19" s="15" t="s">
        <v>742</v>
      </c>
    </row>
    <row r="20" spans="4:39" ht="15" thickBot="1" x14ac:dyDescent="0.35">
      <c r="D20" s="24" t="s">
        <v>797</v>
      </c>
      <c r="E20" s="37">
        <v>135.82999999999998</v>
      </c>
      <c r="F20" s="37">
        <v>203.83000000000004</v>
      </c>
      <c r="G20" s="37">
        <v>175.89000000000001</v>
      </c>
      <c r="AJ20" s="15" t="s">
        <v>68</v>
      </c>
      <c r="AK20" s="15">
        <v>39</v>
      </c>
      <c r="AL20" s="15">
        <v>50</v>
      </c>
      <c r="AM20" s="15">
        <v>51</v>
      </c>
    </row>
    <row r="21" spans="4:39" x14ac:dyDescent="0.3">
      <c r="D21" s="24" t="s">
        <v>798</v>
      </c>
      <c r="E21" s="37">
        <v>135.82999999999998</v>
      </c>
      <c r="F21" s="37">
        <v>143.88</v>
      </c>
      <c r="G21" s="37">
        <v>239.85000000000005</v>
      </c>
      <c r="L21" s="84" t="s">
        <v>811</v>
      </c>
      <c r="M21" s="85"/>
      <c r="AE21" s="38"/>
      <c r="AF21" s="39"/>
      <c r="AG21" s="40" t="s">
        <v>823</v>
      </c>
      <c r="AJ21" s="15" t="s">
        <v>43</v>
      </c>
      <c r="AK21" s="15">
        <v>46</v>
      </c>
      <c r="AL21" s="15">
        <v>44</v>
      </c>
      <c r="AM21" s="15">
        <v>49</v>
      </c>
    </row>
    <row r="22" spans="4:39" x14ac:dyDescent="0.3">
      <c r="D22" s="24" t="s">
        <v>799</v>
      </c>
      <c r="E22" s="37">
        <v>87.89</v>
      </c>
      <c r="F22" s="37">
        <v>191.84000000000003</v>
      </c>
      <c r="G22" s="37">
        <v>143.91</v>
      </c>
      <c r="L22" s="82" t="s">
        <v>812</v>
      </c>
      <c r="M22" s="83"/>
      <c r="R22" s="17" t="s">
        <v>767</v>
      </c>
      <c r="S22" s="15" t="s">
        <v>829</v>
      </c>
      <c r="T22" s="15" t="s">
        <v>752</v>
      </c>
      <c r="AE22" s="41" t="s">
        <v>820</v>
      </c>
      <c r="AF22" s="34" t="s">
        <v>822</v>
      </c>
      <c r="AG22" s="42" t="s">
        <v>824</v>
      </c>
      <c r="AJ22" s="15" t="s">
        <v>92</v>
      </c>
      <c r="AK22" s="15">
        <v>54</v>
      </c>
      <c r="AL22" s="15">
        <v>50</v>
      </c>
      <c r="AM22" s="15">
        <v>47</v>
      </c>
    </row>
    <row r="23" spans="4:39" ht="15" thickBot="1" x14ac:dyDescent="0.35">
      <c r="D23" s="24" t="s">
        <v>800</v>
      </c>
      <c r="E23" s="37">
        <v>87.89</v>
      </c>
      <c r="F23" s="37">
        <v>119.89999999999998</v>
      </c>
      <c r="G23" s="37">
        <v>175.89000000000001</v>
      </c>
      <c r="R23" s="15" t="s">
        <v>60</v>
      </c>
      <c r="S23" s="15">
        <v>222</v>
      </c>
      <c r="T23" s="14">
        <v>272.32882882882882</v>
      </c>
      <c r="AE23" s="43"/>
      <c r="AF23" s="44"/>
      <c r="AG23" s="45" t="s">
        <v>825</v>
      </c>
      <c r="AJ23" s="15" t="s">
        <v>74</v>
      </c>
      <c r="AK23" s="15">
        <v>49</v>
      </c>
      <c r="AL23" s="15">
        <v>51</v>
      </c>
      <c r="AM23" s="15">
        <v>46</v>
      </c>
    </row>
    <row r="24" spans="4:39" x14ac:dyDescent="0.3">
      <c r="D24" s="24" t="s">
        <v>801</v>
      </c>
      <c r="E24" s="37">
        <v>111.85999999999999</v>
      </c>
      <c r="F24" s="37">
        <v>131.88999999999999</v>
      </c>
      <c r="G24" s="37">
        <v>351.78000000000009</v>
      </c>
      <c r="L24" s="17" t="s">
        <v>763</v>
      </c>
      <c r="M24" s="15" t="s">
        <v>764</v>
      </c>
      <c r="R24" s="15" t="s">
        <v>93</v>
      </c>
      <c r="S24" s="15">
        <v>251</v>
      </c>
      <c r="T24" s="14">
        <v>247.07968127490039</v>
      </c>
      <c r="AJ24" s="15" t="s">
        <v>55</v>
      </c>
      <c r="AK24" s="15">
        <v>34</v>
      </c>
      <c r="AL24" s="15">
        <v>45</v>
      </c>
      <c r="AM24" s="15">
        <v>37</v>
      </c>
    </row>
    <row r="25" spans="4:39" x14ac:dyDescent="0.3">
      <c r="D25" s="24" t="s">
        <v>802</v>
      </c>
      <c r="E25" s="37">
        <v>119.84999999999998</v>
      </c>
      <c r="F25" s="37">
        <v>155.87</v>
      </c>
      <c r="G25" s="37">
        <v>191.88000000000002</v>
      </c>
      <c r="L25" s="15" t="s">
        <v>758</v>
      </c>
      <c r="M25" s="14">
        <v>260.286432160804</v>
      </c>
      <c r="R25" s="15" t="s">
        <v>40</v>
      </c>
      <c r="S25" s="15">
        <v>256</v>
      </c>
      <c r="T25" s="14">
        <v>255.39453125</v>
      </c>
      <c r="AJ25" s="15" t="s">
        <v>49</v>
      </c>
      <c r="AK25" s="15">
        <v>48</v>
      </c>
      <c r="AL25" s="15">
        <v>52</v>
      </c>
      <c r="AM25" s="15">
        <v>50</v>
      </c>
    </row>
    <row r="26" spans="4:39" x14ac:dyDescent="0.3">
      <c r="D26" s="24" t="s">
        <v>803</v>
      </c>
      <c r="E26" s="37">
        <v>79.900000000000006</v>
      </c>
      <c r="F26" s="37">
        <v>143.88</v>
      </c>
      <c r="G26" s="37">
        <v>303.81000000000006</v>
      </c>
      <c r="L26" s="15" t="s">
        <v>759</v>
      </c>
      <c r="M26" s="14">
        <v>254.64772727272728</v>
      </c>
      <c r="R26" s="15" t="s">
        <v>33</v>
      </c>
      <c r="S26" s="15">
        <v>271</v>
      </c>
      <c r="T26" s="14">
        <v>245.98154981549814</v>
      </c>
      <c r="AJ26" s="15" t="s">
        <v>27</v>
      </c>
      <c r="AK26" s="15">
        <v>53</v>
      </c>
      <c r="AL26" s="15">
        <v>53</v>
      </c>
      <c r="AM26" s="15">
        <v>52</v>
      </c>
    </row>
    <row r="27" spans="4:39" x14ac:dyDescent="0.3">
      <c r="D27" s="24" t="s">
        <v>804</v>
      </c>
      <c r="E27" s="37">
        <v>135.82999999999998</v>
      </c>
      <c r="F27" s="37">
        <v>179.85000000000002</v>
      </c>
      <c r="G27" s="37">
        <v>319.80000000000007</v>
      </c>
      <c r="L27" s="15" t="s">
        <v>760</v>
      </c>
      <c r="M27" s="14">
        <v>247.54761904761904</v>
      </c>
      <c r="R27" s="15" t="s">
        <v>739</v>
      </c>
      <c r="S27" s="15">
        <v>1000</v>
      </c>
      <c r="T27" s="14">
        <v>254.51599999999999</v>
      </c>
      <c r="AJ27" s="15" t="s">
        <v>739</v>
      </c>
      <c r="AK27" s="15">
        <v>323</v>
      </c>
      <c r="AL27" s="15">
        <v>345</v>
      </c>
      <c r="AM27" s="15">
        <v>332</v>
      </c>
    </row>
    <row r="28" spans="4:39" x14ac:dyDescent="0.3">
      <c r="D28" s="15" t="s">
        <v>747</v>
      </c>
      <c r="E28" s="37">
        <v>1166.54</v>
      </c>
      <c r="F28" s="37">
        <v>2062.2799999999997</v>
      </c>
      <c r="G28" s="37">
        <v>2446.4700000000007</v>
      </c>
      <c r="L28" s="15" t="s">
        <v>761</v>
      </c>
      <c r="M28" s="14">
        <v>267.15499999999997</v>
      </c>
    </row>
    <row r="29" spans="4:39" x14ac:dyDescent="0.3">
      <c r="D29" s="24" t="s">
        <v>793</v>
      </c>
      <c r="E29" s="37">
        <v>103.86999999999999</v>
      </c>
      <c r="F29" s="37">
        <v>191.84000000000003</v>
      </c>
      <c r="G29" s="37">
        <v>191.88000000000002</v>
      </c>
      <c r="L29" s="15" t="s">
        <v>762</v>
      </c>
      <c r="M29" s="14">
        <v>244.11627906976744</v>
      </c>
    </row>
    <row r="30" spans="4:39" x14ac:dyDescent="0.3">
      <c r="D30" s="24" t="s">
        <v>794</v>
      </c>
      <c r="E30" s="37">
        <v>103.86999999999999</v>
      </c>
      <c r="F30" s="37">
        <v>155.87</v>
      </c>
      <c r="G30" s="37">
        <v>255.84000000000006</v>
      </c>
      <c r="L30" s="15" t="s">
        <v>739</v>
      </c>
      <c r="M30" s="14">
        <v>254.51599999999999</v>
      </c>
      <c r="AJ30" s="17" t="s">
        <v>791</v>
      </c>
      <c r="AK30" s="15" t="s">
        <v>829</v>
      </c>
      <c r="AL30" s="15" t="s">
        <v>764</v>
      </c>
    </row>
    <row r="31" spans="4:39" x14ac:dyDescent="0.3">
      <c r="D31" s="24" t="s">
        <v>795</v>
      </c>
      <c r="E31" s="37">
        <v>79.900000000000006</v>
      </c>
      <c r="F31" s="37">
        <v>167.86</v>
      </c>
      <c r="G31" s="37">
        <v>175.89000000000001</v>
      </c>
      <c r="AJ31" s="15" t="s">
        <v>64</v>
      </c>
      <c r="AK31" s="15">
        <v>168</v>
      </c>
      <c r="AL31" s="14">
        <v>248.38095238095238</v>
      </c>
    </row>
    <row r="32" spans="4:39" x14ac:dyDescent="0.3">
      <c r="D32" s="24" t="s">
        <v>796</v>
      </c>
      <c r="E32" s="37">
        <v>95.88</v>
      </c>
      <c r="F32" s="37">
        <v>191.84000000000003</v>
      </c>
      <c r="G32" s="37">
        <v>191.88000000000002</v>
      </c>
      <c r="AJ32" s="15" t="s">
        <v>78</v>
      </c>
      <c r="AK32" s="15">
        <v>171</v>
      </c>
      <c r="AL32" s="14">
        <v>273.46198830409355</v>
      </c>
    </row>
    <row r="33" spans="4:38" x14ac:dyDescent="0.3">
      <c r="D33" s="24" t="s">
        <v>797</v>
      </c>
      <c r="E33" s="37">
        <v>111.85999999999999</v>
      </c>
      <c r="F33" s="37">
        <v>167.86</v>
      </c>
      <c r="G33" s="37">
        <v>255.84000000000006</v>
      </c>
      <c r="AJ33" s="15" t="s">
        <v>37</v>
      </c>
      <c r="AK33" s="15">
        <v>167</v>
      </c>
      <c r="AL33" s="14">
        <v>244.79640718562874</v>
      </c>
    </row>
    <row r="34" spans="4:38" x14ac:dyDescent="0.3">
      <c r="D34" s="24" t="s">
        <v>798</v>
      </c>
      <c r="E34" s="37">
        <v>95.88</v>
      </c>
      <c r="F34" s="37">
        <v>203.83000000000004</v>
      </c>
      <c r="G34" s="37">
        <v>303.81000000000006</v>
      </c>
      <c r="AJ34" s="15" t="s">
        <v>29</v>
      </c>
      <c r="AK34" s="15">
        <v>162</v>
      </c>
      <c r="AL34" s="14">
        <v>253.35802469135803</v>
      </c>
    </row>
    <row r="35" spans="4:38" x14ac:dyDescent="0.3">
      <c r="D35" s="24" t="s">
        <v>799</v>
      </c>
      <c r="E35" s="37">
        <v>79.900000000000006</v>
      </c>
      <c r="F35" s="37">
        <v>215.82000000000005</v>
      </c>
      <c r="G35" s="37">
        <v>191.88000000000002</v>
      </c>
      <c r="AJ35" s="15" t="s">
        <v>45</v>
      </c>
      <c r="AK35" s="15">
        <v>179</v>
      </c>
      <c r="AL35" s="14">
        <v>243.33519553072625</v>
      </c>
    </row>
    <row r="36" spans="4:38" x14ac:dyDescent="0.3">
      <c r="D36" s="24" t="s">
        <v>800</v>
      </c>
      <c r="E36" s="37">
        <v>63.920000000000009</v>
      </c>
      <c r="F36" s="37">
        <v>179.85000000000002</v>
      </c>
      <c r="G36" s="37">
        <v>159.9</v>
      </c>
      <c r="AJ36" s="15" t="s">
        <v>57</v>
      </c>
      <c r="AK36" s="15">
        <v>153</v>
      </c>
      <c r="AL36" s="14">
        <v>264.99346405228761</v>
      </c>
    </row>
    <row r="37" spans="4:38" x14ac:dyDescent="0.3">
      <c r="D37" s="24" t="s">
        <v>801</v>
      </c>
      <c r="E37" s="37">
        <v>143.82</v>
      </c>
      <c r="F37" s="37">
        <v>179.85000000000002</v>
      </c>
      <c r="G37" s="37">
        <v>207.87000000000003</v>
      </c>
      <c r="AJ37" s="15" t="s">
        <v>739</v>
      </c>
      <c r="AK37" s="15">
        <v>1000</v>
      </c>
      <c r="AL37" s="14">
        <v>254.51599999999999</v>
      </c>
    </row>
    <row r="38" spans="4:38" x14ac:dyDescent="0.3">
      <c r="D38" s="24" t="s">
        <v>802</v>
      </c>
      <c r="E38" s="37">
        <v>159.80000000000001</v>
      </c>
      <c r="F38" s="37">
        <v>179.85000000000002</v>
      </c>
      <c r="G38" s="37">
        <v>175.89000000000001</v>
      </c>
    </row>
    <row r="39" spans="4:38" x14ac:dyDescent="0.3">
      <c r="D39" s="24" t="s">
        <v>803</v>
      </c>
      <c r="E39" s="37">
        <v>95.88</v>
      </c>
      <c r="F39" s="37">
        <v>107.90999999999998</v>
      </c>
      <c r="G39" s="37">
        <v>255.84000000000006</v>
      </c>
    </row>
    <row r="40" spans="4:38" x14ac:dyDescent="0.3">
      <c r="D40" s="24" t="s">
        <v>804</v>
      </c>
      <c r="E40" s="37">
        <v>31.96</v>
      </c>
      <c r="F40" s="37">
        <v>119.89999999999998</v>
      </c>
      <c r="G40" s="37">
        <v>79.95</v>
      </c>
    </row>
    <row r="41" spans="4:38" x14ac:dyDescent="0.3">
      <c r="D41" s="15" t="s">
        <v>739</v>
      </c>
      <c r="E41" s="37">
        <v>2580.77</v>
      </c>
      <c r="F41" s="37">
        <v>4136.55</v>
      </c>
      <c r="G41" s="37">
        <v>5308.6800000000012</v>
      </c>
    </row>
  </sheetData>
  <mergeCells count="20">
    <mergeCell ref="AM2:AN2"/>
    <mergeCell ref="AE19:AG19"/>
    <mergeCell ref="AE18:AG18"/>
    <mergeCell ref="R1:Y1"/>
    <mergeCell ref="AB1:AG1"/>
    <mergeCell ref="AJ1:AN1"/>
    <mergeCell ref="R2:T2"/>
    <mergeCell ref="U2:V2"/>
    <mergeCell ref="W2:Y2"/>
    <mergeCell ref="AB2:AD2"/>
    <mergeCell ref="AE2:AG2"/>
    <mergeCell ref="AJ2:AL2"/>
    <mergeCell ref="L22:M22"/>
    <mergeCell ref="L21:M21"/>
    <mergeCell ref="C1:I1"/>
    <mergeCell ref="C2:E2"/>
    <mergeCell ref="G2:I2"/>
    <mergeCell ref="L1:O1"/>
    <mergeCell ref="L2:M2"/>
    <mergeCell ref="N2:O2"/>
  </mergeCells>
  <conditionalFormatting pivot="1" sqref="S6:Y10">
    <cfRule type="colorScale" priority="4">
      <colorScale>
        <cfvo type="min"/>
        <cfvo type="max"/>
        <color rgb="FFFCFCFF"/>
        <color rgb="FF63BE7B"/>
      </colorScale>
    </cfRule>
  </conditionalFormatting>
  <pageMargins left="0.7" right="0.7" top="0.75" bottom="0.75" header="0.3" footer="0.3"/>
  <pageSetup orientation="portrait" r:id="rId1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AAE2-2C0D-4CD1-BC10-4E8BF2FB981A}">
  <dimension ref="B8:AM158"/>
  <sheetViews>
    <sheetView showGridLines="0" topLeftCell="A9" zoomScaleNormal="100" workbookViewId="0">
      <selection activeCell="J20" sqref="J20"/>
    </sheetView>
  </sheetViews>
  <sheetFormatPr defaultRowHeight="14.4" x14ac:dyDescent="0.3"/>
  <cols>
    <col min="1" max="1" width="8.88671875" style="52"/>
    <col min="2" max="14" width="20.77734375" style="52" customWidth="1"/>
    <col min="15" max="16" width="5.77734375" style="52" customWidth="1"/>
    <col min="17" max="24" width="20.77734375" style="52" customWidth="1"/>
    <col min="25" max="26" width="5.77734375" style="52" customWidth="1"/>
    <col min="27" max="32" width="20.77734375" style="52" customWidth="1"/>
    <col min="33" max="34" width="5.77734375" style="52" customWidth="1"/>
    <col min="35" max="39" width="20.77734375" style="52" customWidth="1"/>
    <col min="40" max="41" width="5.77734375" style="52" customWidth="1"/>
    <col min="42" max="16384" width="8.88671875" style="52"/>
  </cols>
  <sheetData>
    <row r="8" spans="2:39" ht="15" thickBot="1" x14ac:dyDescent="0.35"/>
    <row r="9" spans="2:39" ht="33.6" customHeight="1" thickBot="1" x14ac:dyDescent="0.35">
      <c r="B9" s="92" t="s">
        <v>810</v>
      </c>
      <c r="C9" s="93"/>
      <c r="D9" s="93"/>
      <c r="E9" s="93"/>
      <c r="F9" s="93"/>
      <c r="G9" s="93"/>
      <c r="H9" s="93"/>
      <c r="I9" s="94"/>
      <c r="Q9" s="53"/>
      <c r="R9" s="53"/>
      <c r="S9" s="53"/>
      <c r="T9" s="53"/>
      <c r="U9" s="53"/>
      <c r="V9" s="53"/>
      <c r="W9" s="53"/>
      <c r="X9" s="53"/>
      <c r="AA9" s="54"/>
      <c r="AB9" s="54"/>
      <c r="AC9" s="54"/>
      <c r="AD9" s="54"/>
      <c r="AE9" s="54"/>
      <c r="AF9" s="54"/>
      <c r="AI9" s="54"/>
      <c r="AJ9" s="54"/>
      <c r="AK9" s="54"/>
      <c r="AL9" s="54"/>
      <c r="AM9" s="54"/>
    </row>
    <row r="50" spans="2:9" ht="15" thickBot="1" x14ac:dyDescent="0.35"/>
    <row r="51" spans="2:9" ht="33.6" customHeight="1" thickBot="1" x14ac:dyDescent="0.35">
      <c r="B51" s="92" t="s">
        <v>751</v>
      </c>
      <c r="C51" s="93"/>
      <c r="D51" s="93"/>
      <c r="E51" s="93"/>
      <c r="F51" s="93"/>
      <c r="G51" s="93"/>
      <c r="H51" s="93"/>
      <c r="I51" s="94"/>
    </row>
    <row r="52" spans="2:9" ht="14.4" customHeight="1" x14ac:dyDescent="0.3">
      <c r="C52" s="54"/>
      <c r="D52" s="54"/>
      <c r="E52" s="53"/>
      <c r="F52" s="53"/>
    </row>
    <row r="86" spans="2:11" ht="15" thickBot="1" x14ac:dyDescent="0.35"/>
    <row r="87" spans="2:11" ht="33.6" customHeight="1" thickBot="1" x14ac:dyDescent="0.35">
      <c r="B87" s="92" t="s">
        <v>765</v>
      </c>
      <c r="C87" s="93"/>
      <c r="D87" s="93"/>
      <c r="E87" s="93"/>
      <c r="F87" s="93"/>
      <c r="G87" s="93"/>
      <c r="H87" s="93"/>
      <c r="I87" s="94"/>
      <c r="J87" s="55"/>
      <c r="K87" s="56"/>
    </row>
    <row r="88" spans="2:11" ht="39.6" customHeight="1" x14ac:dyDescent="0.3">
      <c r="B88" s="57" t="str">
        <f>'Pivot Table'!R5</f>
        <v>Age Group</v>
      </c>
      <c r="C88" s="58" t="str">
        <f>'Pivot Table'!S5</f>
        <v>Action</v>
      </c>
      <c r="D88" s="58" t="str">
        <f>'Pivot Table'!T5</f>
        <v>Comedy</v>
      </c>
      <c r="E88" s="58" t="str">
        <f>'Pivot Table'!U5</f>
        <v>Documentary</v>
      </c>
      <c r="F88" s="58" t="str">
        <f>'Pivot Table'!V5</f>
        <v>Drama</v>
      </c>
      <c r="G88" s="58" t="str">
        <f>'Pivot Table'!W5</f>
        <v>Horror</v>
      </c>
      <c r="H88" s="58" t="str">
        <f>'Pivot Table'!X5</f>
        <v>Romance</v>
      </c>
      <c r="I88" s="58" t="str">
        <f>'Pivot Table'!Y5</f>
        <v>Sci-Fi</v>
      </c>
    </row>
    <row r="89" spans="2:11" ht="40.049999999999997" customHeight="1" x14ac:dyDescent="0.3">
      <c r="B89" s="59" t="str">
        <f>'Pivot Table'!R6</f>
        <v>18-24</v>
      </c>
      <c r="C89" s="60">
        <f>'Pivot Table'!S6</f>
        <v>26</v>
      </c>
      <c r="D89" s="61">
        <f>'Pivot Table'!T6</f>
        <v>23</v>
      </c>
      <c r="E89" s="61">
        <f>'Pivot Table'!U6</f>
        <v>36</v>
      </c>
      <c r="F89" s="61">
        <f>'Pivot Table'!V6</f>
        <v>25</v>
      </c>
      <c r="G89" s="61">
        <f>'Pivot Table'!W6</f>
        <v>23</v>
      </c>
      <c r="H89" s="61">
        <f>'Pivot Table'!X6</f>
        <v>24</v>
      </c>
      <c r="I89" s="62">
        <f>'Pivot Table'!Y6</f>
        <v>23</v>
      </c>
    </row>
    <row r="90" spans="2:11" ht="40.049999999999997" customHeight="1" x14ac:dyDescent="0.3">
      <c r="B90" s="59" t="str">
        <f>'Pivot Table'!R7</f>
        <v>25-34</v>
      </c>
      <c r="C90" s="63">
        <f>'Pivot Table'!S7</f>
        <v>33</v>
      </c>
      <c r="D90" s="58">
        <f>'Pivot Table'!T7</f>
        <v>29</v>
      </c>
      <c r="E90" s="58">
        <f>'Pivot Table'!U7</f>
        <v>21</v>
      </c>
      <c r="F90" s="58">
        <f>'Pivot Table'!V7</f>
        <v>31</v>
      </c>
      <c r="G90" s="58">
        <f>'Pivot Table'!W7</f>
        <v>36</v>
      </c>
      <c r="H90" s="58">
        <f>'Pivot Table'!X7</f>
        <v>27</v>
      </c>
      <c r="I90" s="64">
        <f>'Pivot Table'!Y7</f>
        <v>23</v>
      </c>
    </row>
    <row r="91" spans="2:11" ht="40.049999999999997" customHeight="1" x14ac:dyDescent="0.3">
      <c r="B91" s="59" t="str">
        <f>'Pivot Table'!R8</f>
        <v>35-44</v>
      </c>
      <c r="C91" s="63">
        <f>'Pivot Table'!S8</f>
        <v>32</v>
      </c>
      <c r="D91" s="58">
        <f>'Pivot Table'!T8</f>
        <v>29</v>
      </c>
      <c r="E91" s="58">
        <f>'Pivot Table'!U8</f>
        <v>22</v>
      </c>
      <c r="F91" s="58">
        <f>'Pivot Table'!V8</f>
        <v>27</v>
      </c>
      <c r="G91" s="58">
        <f>'Pivot Table'!W8</f>
        <v>34</v>
      </c>
      <c r="H91" s="58">
        <f>'Pivot Table'!X8</f>
        <v>32</v>
      </c>
      <c r="I91" s="64">
        <f>'Pivot Table'!Y8</f>
        <v>31</v>
      </c>
    </row>
    <row r="92" spans="2:11" ht="40.049999999999997" customHeight="1" x14ac:dyDescent="0.3">
      <c r="B92" s="59" t="str">
        <f>'Pivot Table'!R9</f>
        <v>45-54</v>
      </c>
      <c r="C92" s="63">
        <f>'Pivot Table'!S9</f>
        <v>34</v>
      </c>
      <c r="D92" s="58">
        <f>'Pivot Table'!T9</f>
        <v>26</v>
      </c>
      <c r="E92" s="58">
        <f>'Pivot Table'!U9</f>
        <v>22</v>
      </c>
      <c r="F92" s="58">
        <f>'Pivot Table'!V9</f>
        <v>31</v>
      </c>
      <c r="G92" s="58">
        <f>'Pivot Table'!W9</f>
        <v>32</v>
      </c>
      <c r="H92" s="58">
        <f>'Pivot Table'!X9</f>
        <v>36</v>
      </c>
      <c r="I92" s="64">
        <f>'Pivot Table'!Y9</f>
        <v>27</v>
      </c>
    </row>
    <row r="93" spans="2:11" ht="40.049999999999997" customHeight="1" x14ac:dyDescent="0.3">
      <c r="B93" s="59" t="str">
        <f>'Pivot Table'!R10</f>
        <v>55+</v>
      </c>
      <c r="C93" s="65">
        <f>'Pivot Table'!S10</f>
        <v>25</v>
      </c>
      <c r="D93" s="66">
        <f>'Pivot Table'!T10</f>
        <v>39</v>
      </c>
      <c r="E93" s="66">
        <f>'Pivot Table'!U10</f>
        <v>29</v>
      </c>
      <c r="F93" s="66">
        <f>'Pivot Table'!V10</f>
        <v>28</v>
      </c>
      <c r="G93" s="66">
        <f>'Pivot Table'!W10</f>
        <v>32</v>
      </c>
      <c r="H93" s="66">
        <f>'Pivot Table'!X10</f>
        <v>27</v>
      </c>
      <c r="I93" s="67">
        <f>'Pivot Table'!Y10</f>
        <v>25</v>
      </c>
    </row>
    <row r="94" spans="2:11" ht="18.600000000000001" customHeight="1" x14ac:dyDescent="0.3">
      <c r="C94" s="59" t="str">
        <f t="shared" ref="C94:I94" si="0">C88</f>
        <v>Action</v>
      </c>
      <c r="D94" s="59" t="str">
        <f t="shared" si="0"/>
        <v>Comedy</v>
      </c>
      <c r="E94" s="59" t="str">
        <f t="shared" si="0"/>
        <v>Documentary</v>
      </c>
      <c r="F94" s="59" t="str">
        <f t="shared" si="0"/>
        <v>Drama</v>
      </c>
      <c r="G94" s="59" t="str">
        <f t="shared" si="0"/>
        <v>Horror</v>
      </c>
      <c r="H94" s="59" t="str">
        <f t="shared" si="0"/>
        <v>Romance</v>
      </c>
      <c r="I94" s="59" t="str">
        <f t="shared" si="0"/>
        <v>Sci-Fi</v>
      </c>
    </row>
    <row r="95" spans="2:11" ht="18.600000000000001" customHeight="1" x14ac:dyDescent="0.3">
      <c r="C95" s="59"/>
      <c r="D95" s="59"/>
      <c r="E95" s="59"/>
      <c r="F95" s="59"/>
      <c r="G95" s="59"/>
      <c r="H95" s="59"/>
      <c r="I95" s="59"/>
    </row>
    <row r="116" spans="2:9" ht="15" thickBot="1" x14ac:dyDescent="0.35"/>
    <row r="117" spans="2:9" ht="33.6" customHeight="1" thickBot="1" x14ac:dyDescent="0.35">
      <c r="B117" s="92" t="s">
        <v>769</v>
      </c>
      <c r="C117" s="93"/>
      <c r="D117" s="93"/>
      <c r="E117" s="93"/>
      <c r="F117" s="93"/>
      <c r="G117" s="93"/>
      <c r="H117" s="93"/>
      <c r="I117" s="94"/>
    </row>
    <row r="118" spans="2:9" ht="14.4" customHeight="1" x14ac:dyDescent="0.3">
      <c r="C118" s="54"/>
      <c r="D118" s="54"/>
      <c r="E118" s="54"/>
      <c r="F118" s="54"/>
      <c r="G118" s="54"/>
      <c r="H118" s="54"/>
    </row>
    <row r="155" spans="2:9" ht="21" x14ac:dyDescent="0.3">
      <c r="C155" s="56"/>
      <c r="F155" s="55"/>
      <c r="G155" s="55"/>
      <c r="H155" s="55"/>
      <c r="I155" s="56"/>
    </row>
    <row r="156" spans="2:9" ht="39.6" customHeight="1" x14ac:dyDescent="0.3">
      <c r="D156" s="54"/>
      <c r="E156" s="54"/>
      <c r="F156" s="54"/>
      <c r="G156" s="54"/>
      <c r="H156" s="54"/>
    </row>
    <row r="157" spans="2:9" ht="15" thickBot="1" x14ac:dyDescent="0.35"/>
    <row r="158" spans="2:9" ht="33.6" customHeight="1" thickBot="1" x14ac:dyDescent="0.35">
      <c r="B158" s="92" t="s">
        <v>807</v>
      </c>
      <c r="C158" s="93"/>
      <c r="D158" s="93"/>
      <c r="E158" s="93"/>
      <c r="F158" s="93"/>
      <c r="G158" s="93"/>
      <c r="H158" s="93"/>
      <c r="I158" s="94"/>
    </row>
  </sheetData>
  <mergeCells count="5">
    <mergeCell ref="B51:I51"/>
    <mergeCell ref="B87:I87"/>
    <mergeCell ref="B117:I117"/>
    <mergeCell ref="B158:I158"/>
    <mergeCell ref="B9:I9"/>
  </mergeCells>
  <conditionalFormatting sqref="B94:B95">
    <cfRule type="dataBar" priority="1">
      <dataBar>
        <cfvo type="min"/>
        <cfvo type="max"/>
        <color rgb="FF638EC6"/>
      </dataBar>
      <extLst>
        <ext xmlns:x14="http://schemas.microsoft.com/office/spreadsheetml/2009/9/main" uri="{B025F937-C7B1-47D3-B67F-A62EFF666E3E}">
          <x14:id>{F331B0D5-70A3-4310-81C5-454597E9A40B}</x14:id>
        </ext>
      </extLst>
    </cfRule>
  </conditionalFormatting>
  <conditionalFormatting sqref="C89:I93">
    <cfRule type="colorScale" priority="2">
      <colorScale>
        <cfvo type="min"/>
        <cfvo type="max"/>
        <color theme="4" tint="0.39997558519241921"/>
        <color theme="4" tint="-0.499984740745262"/>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F331B0D5-70A3-4310-81C5-454597E9A40B}">
            <x14:dataBar minLength="0" maxLength="100" gradient="0">
              <x14:cfvo type="autoMin"/>
              <x14:cfvo type="autoMax"/>
              <x14:negativeFillColor rgb="FFFF0000"/>
              <x14:axisColor rgb="FF000000"/>
            </x14:dataBar>
          </x14:cfRule>
          <xm:sqref>B94:B95</xm:sqref>
        </x14:conditionalFormatting>
      </x14:conditionalFormattings>
    </ex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streaming_service_data - </vt:lpstr>
      <vt:lpstr>Data Anomalies -Pls Read It</vt:lpstr>
      <vt:lpstr>Cleaned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komal</dc:creator>
  <cp:lastModifiedBy>komal jadhav</cp:lastModifiedBy>
  <dcterms:created xsi:type="dcterms:W3CDTF">2026-01-03T07:18:25Z</dcterms:created>
  <dcterms:modified xsi:type="dcterms:W3CDTF">2026-01-04T12:09:44Z</dcterms:modified>
</cp:coreProperties>
</file>